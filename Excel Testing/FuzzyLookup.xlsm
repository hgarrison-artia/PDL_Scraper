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hgarrison/Documents/PDL Checker/"/>
    </mc:Choice>
  </mc:AlternateContent>
  <xr:revisionPtr revIDLastSave="0" documentId="13_ncr:1_{D999519C-9CAB-074E-8B89-72AD18FB9F95}" xr6:coauthVersionLast="47" xr6:coauthVersionMax="47" xr10:uidLastSave="{00000000-0000-0000-0000-000000000000}"/>
  <bookViews>
    <workbookView xWindow="0" yWindow="500" windowWidth="51200" windowHeight="28300" xr2:uid="{7EBDE086-F9E4-4B44-92AE-15FA265D84D4}"/>
  </bookViews>
  <sheets>
    <sheet name="Algorithm 3" sheetId="1" r:id="rId1"/>
    <sheet name="Algorithm 3 Results" sheetId="2" r:id="rId2"/>
    <sheet name="Algorithm 2" sheetId="3" r:id="rId3"/>
    <sheet name="Algorithm 2 Results" sheetId="4" r:id="rId4"/>
    <sheet name="Sheet7" sheetId="7" r:id="rId5"/>
    <sheet name="Algorithm 1" sheetId="5" r:id="rId6"/>
    <sheet name="Algorithm 1 Results" sheetId="6" r:id="rId7"/>
  </sheets>
  <functionGroups builtInGroupCount="19"/>
  <definedNames>
    <definedName name="_xlnm._FilterDatabase" localSheetId="6" hidden="1">'Algorithm 1 Results'!$A$1:$E$867</definedName>
    <definedName name="_xlnm._FilterDatabase" localSheetId="2" hidden="1">'Algorithm 2'!$A$1:$AA$2157</definedName>
    <definedName name="_xlnm._FilterDatabase" localSheetId="3" hidden="1">'Algorithm 2 Results'!$A$1:$E$1</definedName>
    <definedName name="_xlnm._FilterDatabase" localSheetId="0" hidden="1">'Algorithm 3'!$A$1:$AA$2157</definedName>
    <definedName name="_xlnm._FilterDatabase" localSheetId="1" hidden="1">'Algorithm 3 Results'!$A$1:$E$867</definedName>
    <definedName name="_xleta.IF" hidden="1" xlm="1">#NAME?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5" l="1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H703" i="5"/>
  <c r="H704" i="5"/>
  <c r="H705" i="5"/>
  <c r="H706" i="5"/>
  <c r="H707" i="5"/>
  <c r="H708" i="5"/>
  <c r="H709" i="5"/>
  <c r="H710" i="5"/>
  <c r="H711" i="5"/>
  <c r="H712" i="5"/>
  <c r="H713" i="5"/>
  <c r="H714" i="5"/>
  <c r="H715" i="5"/>
  <c r="H716" i="5"/>
  <c r="H717" i="5"/>
  <c r="H718" i="5"/>
  <c r="H719" i="5"/>
  <c r="H720" i="5"/>
  <c r="H721" i="5"/>
  <c r="H722" i="5"/>
  <c r="H723" i="5"/>
  <c r="H724" i="5"/>
  <c r="H725" i="5"/>
  <c r="H726" i="5"/>
  <c r="H727" i="5"/>
  <c r="H728" i="5"/>
  <c r="H729" i="5"/>
  <c r="H730" i="5"/>
  <c r="H731" i="5"/>
  <c r="H732" i="5"/>
  <c r="H733" i="5"/>
  <c r="H734" i="5"/>
  <c r="H735" i="5"/>
  <c r="H736" i="5"/>
  <c r="H737" i="5"/>
  <c r="H738" i="5"/>
  <c r="H739" i="5"/>
  <c r="H740" i="5"/>
  <c r="H741" i="5"/>
  <c r="H742" i="5"/>
  <c r="H743" i="5"/>
  <c r="H744" i="5"/>
  <c r="H745" i="5"/>
  <c r="H746" i="5"/>
  <c r="H747" i="5"/>
  <c r="H748" i="5"/>
  <c r="H749" i="5"/>
  <c r="H750" i="5"/>
  <c r="H751" i="5"/>
  <c r="H752" i="5"/>
  <c r="H753" i="5"/>
  <c r="H754" i="5"/>
  <c r="H755" i="5"/>
  <c r="H756" i="5"/>
  <c r="H757" i="5"/>
  <c r="H758" i="5"/>
  <c r="H759" i="5"/>
  <c r="H760" i="5"/>
  <c r="H761" i="5"/>
  <c r="H762" i="5"/>
  <c r="H763" i="5"/>
  <c r="H764" i="5"/>
  <c r="H765" i="5"/>
  <c r="H766" i="5"/>
  <c r="H767" i="5"/>
  <c r="H768" i="5"/>
  <c r="H769" i="5"/>
  <c r="H770" i="5"/>
  <c r="H771" i="5"/>
  <c r="H772" i="5"/>
  <c r="H773" i="5"/>
  <c r="H774" i="5"/>
  <c r="H775" i="5"/>
  <c r="H776" i="5"/>
  <c r="H777" i="5"/>
  <c r="H778" i="5"/>
  <c r="H779" i="5"/>
  <c r="H780" i="5"/>
  <c r="H781" i="5"/>
  <c r="H782" i="5"/>
  <c r="H783" i="5"/>
  <c r="H784" i="5"/>
  <c r="H785" i="5"/>
  <c r="H786" i="5"/>
  <c r="H787" i="5"/>
  <c r="H788" i="5"/>
  <c r="H789" i="5"/>
  <c r="H790" i="5"/>
  <c r="H791" i="5"/>
  <c r="H792" i="5"/>
  <c r="H793" i="5"/>
  <c r="H794" i="5"/>
  <c r="H795" i="5"/>
  <c r="H796" i="5"/>
  <c r="H797" i="5"/>
  <c r="H798" i="5"/>
  <c r="H799" i="5"/>
  <c r="H800" i="5"/>
  <c r="H801" i="5"/>
  <c r="H802" i="5"/>
  <c r="H803" i="5"/>
  <c r="H804" i="5"/>
  <c r="H805" i="5"/>
  <c r="H806" i="5"/>
  <c r="H807" i="5"/>
  <c r="H808" i="5"/>
  <c r="H809" i="5"/>
  <c r="H810" i="5"/>
  <c r="H811" i="5"/>
  <c r="H812" i="5"/>
  <c r="H813" i="5"/>
  <c r="H814" i="5"/>
  <c r="H815" i="5"/>
  <c r="H816" i="5"/>
  <c r="H817" i="5"/>
  <c r="H818" i="5"/>
  <c r="H819" i="5"/>
  <c r="H820" i="5"/>
  <c r="H821" i="5"/>
  <c r="H822" i="5"/>
  <c r="H823" i="5"/>
  <c r="H824" i="5"/>
  <c r="H825" i="5"/>
  <c r="H826" i="5"/>
  <c r="H827" i="5"/>
  <c r="H828" i="5"/>
  <c r="H829" i="5"/>
  <c r="H830" i="5"/>
  <c r="H831" i="5"/>
  <c r="H832" i="5"/>
  <c r="H833" i="5"/>
  <c r="H834" i="5"/>
  <c r="H835" i="5"/>
  <c r="H836" i="5"/>
  <c r="H837" i="5"/>
  <c r="H838" i="5"/>
  <c r="H839" i="5"/>
  <c r="H840" i="5"/>
  <c r="H841" i="5"/>
  <c r="H842" i="5"/>
  <c r="H843" i="5"/>
  <c r="H844" i="5"/>
  <c r="H845" i="5"/>
  <c r="H846" i="5"/>
  <c r="H847" i="5"/>
  <c r="H848" i="5"/>
  <c r="H849" i="5"/>
  <c r="H850" i="5"/>
  <c r="H851" i="5"/>
  <c r="H852" i="5"/>
  <c r="H853" i="5"/>
  <c r="H854" i="5"/>
  <c r="H855" i="5"/>
  <c r="H856" i="5"/>
  <c r="H857" i="5"/>
  <c r="H858" i="5"/>
  <c r="H859" i="5"/>
  <c r="H860" i="5"/>
  <c r="H861" i="5"/>
  <c r="H862" i="5"/>
  <c r="H863" i="5"/>
  <c r="H864" i="5"/>
  <c r="H865" i="5"/>
  <c r="H866" i="5"/>
  <c r="H867" i="5"/>
  <c r="H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E6" i="5" a="1"/>
  <c r="E6" i="5" s="1"/>
  <c r="E7" i="5" a="1"/>
  <c r="E7" i="5" s="1"/>
  <c r="E8" i="5" a="1"/>
  <c r="E8" i="5" s="1"/>
  <c r="E9" i="5" a="1"/>
  <c r="E9" i="5" s="1"/>
  <c r="E20" i="5" a="1"/>
  <c r="E20" i="5"/>
  <c r="E23" i="5" a="1"/>
  <c r="E23" i="5" s="1"/>
  <c r="E24" i="5" a="1"/>
  <c r="E24" i="5" s="1"/>
  <c r="E30" i="5" a="1"/>
  <c r="E30" i="5" s="1"/>
  <c r="E36" i="5" a="1"/>
  <c r="E36" i="5"/>
  <c r="E38" i="5" a="1"/>
  <c r="E38" i="5" s="1"/>
  <c r="E53" i="5" a="1"/>
  <c r="E53" i="5" s="1"/>
  <c r="E54" i="5" a="1"/>
  <c r="E54" i="5" s="1"/>
  <c r="E60" i="5" a="1"/>
  <c r="E60" i="5"/>
  <c r="E63" i="5" a="1"/>
  <c r="E63" i="5" s="1"/>
  <c r="E70" i="5" a="1"/>
  <c r="E70" i="5" s="1"/>
  <c r="E72" i="5" a="1"/>
  <c r="E72" i="5" s="1"/>
  <c r="E77" i="5" a="1"/>
  <c r="E77" i="5" s="1"/>
  <c r="E81" i="5" a="1"/>
  <c r="E81" i="5" s="1"/>
  <c r="E82" i="5" a="1"/>
  <c r="E82" i="5" s="1"/>
  <c r="E83" i="5" a="1"/>
  <c r="E83" i="5" s="1"/>
  <c r="E88" i="5" a="1"/>
  <c r="E88" i="5" s="1"/>
  <c r="E101" i="5" a="1"/>
  <c r="E101" i="5" s="1"/>
  <c r="E104" i="5" a="1"/>
  <c r="E104" i="5" s="1"/>
  <c r="E105" i="5" a="1"/>
  <c r="E105" i="5" s="1"/>
  <c r="E112" i="5" a="1"/>
  <c r="E112" i="5"/>
  <c r="E113" i="5" a="1"/>
  <c r="E113" i="5" s="1"/>
  <c r="E115" i="5" a="1"/>
  <c r="E115" i="5" s="1"/>
  <c r="E117" i="5" a="1"/>
  <c r="E117" i="5" s="1"/>
  <c r="E131" i="5" a="1"/>
  <c r="E131" i="5" s="1"/>
  <c r="E137" i="5" a="1"/>
  <c r="E137" i="5" s="1"/>
  <c r="E144" i="5" a="1"/>
  <c r="E144" i="5"/>
  <c r="E166" i="5" a="1"/>
  <c r="E166" i="5" s="1"/>
  <c r="E167" i="5" a="1"/>
  <c r="E167" i="5" s="1"/>
  <c r="E169" i="5" a="1"/>
  <c r="E169" i="5" s="1"/>
  <c r="E172" i="5" a="1"/>
  <c r="E172" i="5"/>
  <c r="E173" i="5" a="1"/>
  <c r="E173" i="5" s="1"/>
  <c r="E174" i="5" a="1"/>
  <c r="E174" i="5" s="1"/>
  <c r="E175" i="5" a="1"/>
  <c r="E175" i="5" s="1"/>
  <c r="E177" i="5" a="1"/>
  <c r="E177" i="5" s="1"/>
  <c r="E178" i="5" a="1"/>
  <c r="E178" i="5" s="1"/>
  <c r="E179" i="5" a="1"/>
  <c r="E179" i="5" s="1"/>
  <c r="E180" i="5" a="1"/>
  <c r="E180" i="5"/>
  <c r="E181" i="5" a="1"/>
  <c r="E181" i="5" s="1"/>
  <c r="E185" i="5" a="1"/>
  <c r="E185" i="5"/>
  <c r="E193" i="5" a="1"/>
  <c r="E193" i="5" s="1"/>
  <c r="E197" i="5" a="1"/>
  <c r="E197" i="5" s="1"/>
  <c r="E202" i="5" a="1"/>
  <c r="E202" i="5" s="1"/>
  <c r="E203" i="5" a="1"/>
  <c r="E203" i="5" s="1"/>
  <c r="E204" i="5" a="1"/>
  <c r="E204" i="5" s="1"/>
  <c r="E205" i="5" a="1"/>
  <c r="E205" i="5" s="1"/>
  <c r="E207" i="5" a="1"/>
  <c r="E207" i="5" s="1"/>
  <c r="E208" i="5" a="1"/>
  <c r="E208" i="5" s="1"/>
  <c r="E209" i="5" a="1"/>
  <c r="E209" i="5" s="1"/>
  <c r="E212" i="5" a="1"/>
  <c r="E212" i="5"/>
  <c r="E213" i="5" a="1"/>
  <c r="E213" i="5" s="1"/>
  <c r="E219" i="5" a="1"/>
  <c r="E219" i="5" s="1"/>
  <c r="E220" i="5" a="1"/>
  <c r="E220" i="5" s="1"/>
  <c r="E234" i="5" a="1"/>
  <c r="E234" i="5" s="1"/>
  <c r="E247" i="5" a="1"/>
  <c r="E247" i="5" s="1"/>
  <c r="E249" i="5" a="1"/>
  <c r="E249" i="5" s="1"/>
  <c r="E250" i="5" a="1"/>
  <c r="E250" i="5" s="1"/>
  <c r="E251" i="5" a="1"/>
  <c r="E251" i="5" s="1"/>
  <c r="E252" i="5" a="1"/>
  <c r="E252" i="5"/>
  <c r="E257" i="5" a="1"/>
  <c r="E257" i="5" s="1"/>
  <c r="E260" i="5" a="1"/>
  <c r="E260" i="5" s="1"/>
  <c r="E261" i="5" a="1"/>
  <c r="E261" i="5" s="1"/>
  <c r="E266" i="5" a="1"/>
  <c r="E266" i="5" s="1"/>
  <c r="E273" i="5" a="1"/>
  <c r="E273" i="5"/>
  <c r="E274" i="5" a="1"/>
  <c r="E274" i="5"/>
  <c r="E275" i="5" a="1"/>
  <c r="E275" i="5" s="1"/>
  <c r="E277" i="5" a="1"/>
  <c r="E277" i="5" s="1"/>
  <c r="E278" i="5" a="1"/>
  <c r="E278" i="5" s="1"/>
  <c r="E279" i="5" a="1"/>
  <c r="E279" i="5" s="1"/>
  <c r="E280" i="5" a="1"/>
  <c r="E280" i="5" s="1"/>
  <c r="E281" i="5" a="1"/>
  <c r="E281" i="5" s="1"/>
  <c r="E283" i="5" a="1"/>
  <c r="E283" i="5" s="1"/>
  <c r="E287" i="5" a="1"/>
  <c r="E287" i="5" s="1"/>
  <c r="E289" i="5" a="1"/>
  <c r="E289" i="5" s="1"/>
  <c r="E299" i="5" a="1"/>
  <c r="E299" i="5" s="1"/>
  <c r="E302" i="5" a="1"/>
  <c r="E302" i="5" s="1"/>
  <c r="E304" i="5" a="1"/>
  <c r="E304" i="5" s="1"/>
  <c r="E306" i="5" a="1"/>
  <c r="E306" i="5"/>
  <c r="E307" i="5" a="1"/>
  <c r="E307" i="5" s="1"/>
  <c r="E316" i="5" a="1"/>
  <c r="E316" i="5"/>
  <c r="E317" i="5" a="1"/>
  <c r="E317" i="5"/>
  <c r="E324" i="5" a="1"/>
  <c r="E324" i="5" s="1"/>
  <c r="E329" i="5" a="1"/>
  <c r="E329" i="5"/>
  <c r="E330" i="5" a="1"/>
  <c r="E330" i="5"/>
  <c r="E342" i="5" a="1"/>
  <c r="E342" i="5" s="1"/>
  <c r="E348" i="5" a="1"/>
  <c r="E348" i="5" s="1"/>
  <c r="E353" i="5" a="1"/>
  <c r="E353" i="5" s="1"/>
  <c r="E355" i="5" a="1"/>
  <c r="E355" i="5" s="1"/>
  <c r="E361" i="5" a="1"/>
  <c r="E361" i="5"/>
  <c r="E365" i="5" a="1"/>
  <c r="E365" i="5"/>
  <c r="E374" i="5" a="1"/>
  <c r="E374" i="5" s="1"/>
  <c r="E375" i="5" a="1"/>
  <c r="E375" i="5" s="1"/>
  <c r="E376" i="5" a="1"/>
  <c r="E376" i="5" s="1"/>
  <c r="E377" i="5" a="1"/>
  <c r="E377" i="5"/>
  <c r="E378" i="5" a="1"/>
  <c r="E378" i="5" s="1"/>
  <c r="E394" i="5" a="1"/>
  <c r="E394" i="5" s="1"/>
  <c r="E395" i="5" a="1"/>
  <c r="E395" i="5" s="1"/>
  <c r="E396" i="5" a="1"/>
  <c r="E396" i="5" s="1"/>
  <c r="E397" i="5" a="1"/>
  <c r="E397" i="5" s="1"/>
  <c r="E402" i="5" a="1"/>
  <c r="E402" i="5" s="1"/>
  <c r="E404" i="5" a="1"/>
  <c r="E404" i="5" s="1"/>
  <c r="E408" i="5" a="1"/>
  <c r="E408" i="5"/>
  <c r="E413" i="5" a="1"/>
  <c r="E413" i="5" s="1"/>
  <c r="E414" i="5" a="1"/>
  <c r="E414" i="5" s="1"/>
  <c r="E415" i="5" a="1"/>
  <c r="E415" i="5"/>
  <c r="E416" i="5" a="1"/>
  <c r="E416" i="5" s="1"/>
  <c r="E417" i="5" a="1"/>
  <c r="E417" i="5"/>
  <c r="E419" i="5" a="1"/>
  <c r="E419" i="5" s="1"/>
  <c r="E426" i="5" a="1"/>
  <c r="E426" i="5" s="1"/>
  <c r="E433" i="5" a="1"/>
  <c r="E433" i="5"/>
  <c r="E439" i="5" a="1"/>
  <c r="E439" i="5"/>
  <c r="E440" i="5" a="1"/>
  <c r="E440" i="5"/>
  <c r="E443" i="5" a="1"/>
  <c r="E443" i="5" s="1"/>
  <c r="E452" i="5" a="1"/>
  <c r="E452" i="5" s="1"/>
  <c r="E461" i="5" a="1"/>
  <c r="E461" i="5"/>
  <c r="E463" i="5" a="1"/>
  <c r="E463" i="5" s="1"/>
  <c r="E464" i="5" a="1"/>
  <c r="E464" i="5"/>
  <c r="E483" i="5" a="1"/>
  <c r="E483" i="5"/>
  <c r="E484" i="5" a="1"/>
  <c r="E484" i="5" s="1"/>
  <c r="E490" i="5" a="1"/>
  <c r="E490" i="5" s="1"/>
  <c r="E492" i="5" a="1"/>
  <c r="E492" i="5"/>
  <c r="E502" i="5" a="1"/>
  <c r="E502" i="5" s="1"/>
  <c r="E505" i="5" a="1"/>
  <c r="E505" i="5" s="1"/>
  <c r="E509" i="5" a="1"/>
  <c r="E509" i="5" s="1"/>
  <c r="E510" i="5" a="1"/>
  <c r="E510" i="5" s="1"/>
  <c r="E518" i="5" a="1"/>
  <c r="E518" i="5"/>
  <c r="E519" i="5" a="1"/>
  <c r="E519" i="5" s="1"/>
  <c r="E524" i="5" a="1"/>
  <c r="E524" i="5" s="1"/>
  <c r="E526" i="5" a="1"/>
  <c r="E526" i="5" s="1"/>
  <c r="E527" i="5" a="1"/>
  <c r="E527" i="5" s="1"/>
  <c r="E531" i="5" a="1"/>
  <c r="E531" i="5" s="1"/>
  <c r="E532" i="5" a="1"/>
  <c r="E532" i="5" s="1"/>
  <c r="E537" i="5" a="1"/>
  <c r="E537" i="5" s="1"/>
  <c r="E538" i="5" a="1"/>
  <c r="E538" i="5" s="1"/>
  <c r="E545" i="5" a="1"/>
  <c r="E545" i="5"/>
  <c r="E555" i="5" a="1"/>
  <c r="E555" i="5" s="1"/>
  <c r="E560" i="5" a="1"/>
  <c r="E560" i="5" s="1"/>
  <c r="E561" i="5" a="1"/>
  <c r="E561" i="5"/>
  <c r="E573" i="5" a="1"/>
  <c r="E573" i="5" s="1"/>
  <c r="E577" i="5" a="1"/>
  <c r="E577" i="5"/>
  <c r="E579" i="5" a="1"/>
  <c r="E579" i="5" s="1"/>
  <c r="E580" i="5" a="1"/>
  <c r="E580" i="5" s="1"/>
  <c r="E582" i="5" a="1"/>
  <c r="E582" i="5"/>
  <c r="E589" i="5" a="1"/>
  <c r="E589" i="5" s="1"/>
  <c r="E591" i="5" a="1"/>
  <c r="E591" i="5" s="1"/>
  <c r="E599" i="5" a="1"/>
  <c r="E599" i="5" s="1"/>
  <c r="E600" i="5" a="1"/>
  <c r="E600" i="5" s="1"/>
  <c r="E604" i="5" a="1"/>
  <c r="E604" i="5" s="1"/>
  <c r="E610" i="5" a="1"/>
  <c r="E610" i="5" s="1"/>
  <c r="E614" i="5" a="1"/>
  <c r="E614" i="5"/>
  <c r="E615" i="5" a="1"/>
  <c r="E615" i="5" s="1"/>
  <c r="E616" i="5" a="1"/>
  <c r="E616" i="5" s="1"/>
  <c r="E619" i="5" a="1"/>
  <c r="E619" i="5" s="1"/>
  <c r="E620" i="5" a="1"/>
  <c r="E620" i="5" s="1"/>
  <c r="E622" i="5" a="1"/>
  <c r="E622" i="5" s="1"/>
  <c r="E623" i="5" a="1"/>
  <c r="E623" i="5" s="1"/>
  <c r="E626" i="5" a="1"/>
  <c r="E626" i="5" s="1"/>
  <c r="E627" i="5" a="1"/>
  <c r="E627" i="5" s="1"/>
  <c r="E638" i="5" a="1"/>
  <c r="E638" i="5" s="1"/>
  <c r="E639" i="5" a="1"/>
  <c r="E639" i="5" s="1"/>
  <c r="E640" i="5" a="1"/>
  <c r="E640" i="5" s="1"/>
  <c r="E643" i="5" a="1"/>
  <c r="E643" i="5" s="1"/>
  <c r="E649" i="5" a="1"/>
  <c r="E649" i="5" s="1"/>
  <c r="E651" i="5" a="1"/>
  <c r="E651" i="5" s="1"/>
  <c r="E658" i="5" a="1"/>
  <c r="E658" i="5" s="1"/>
  <c r="E661" i="5" a="1"/>
  <c r="E661" i="5" s="1"/>
  <c r="E675" i="5" a="1"/>
  <c r="E675" i="5" s="1"/>
  <c r="E676" i="5" a="1"/>
  <c r="E676" i="5" s="1"/>
  <c r="E677" i="5" a="1"/>
  <c r="E677" i="5" s="1"/>
  <c r="E678" i="5" a="1"/>
  <c r="E678" i="5"/>
  <c r="E680" i="5" a="1"/>
  <c r="E680" i="5" s="1"/>
  <c r="E681" i="5" a="1"/>
  <c r="E681" i="5" s="1"/>
  <c r="E683" i="5" a="1"/>
  <c r="E683" i="5" s="1"/>
  <c r="E684" i="5" a="1"/>
  <c r="E684" i="5" s="1"/>
  <c r="E685" i="5" a="1"/>
  <c r="E685" i="5" s="1"/>
  <c r="E694" i="5" a="1"/>
  <c r="E694" i="5"/>
  <c r="E696" i="5" a="1"/>
  <c r="E696" i="5" s="1"/>
  <c r="E698" i="5" a="1"/>
  <c r="E698" i="5" s="1"/>
  <c r="E699" i="5" a="1"/>
  <c r="E699" i="5" s="1"/>
  <c r="E702" i="5" a="1"/>
  <c r="E702" i="5"/>
  <c r="E707" i="5" a="1"/>
  <c r="E707" i="5" s="1"/>
  <c r="E708" i="5" a="1"/>
  <c r="E708" i="5"/>
  <c r="E709" i="5" a="1"/>
  <c r="E709" i="5"/>
  <c r="E716" i="5" a="1"/>
  <c r="E716" i="5"/>
  <c r="E728" i="5" a="1"/>
  <c r="E728" i="5" s="1"/>
  <c r="E730" i="5" a="1"/>
  <c r="E730" i="5" s="1"/>
  <c r="E732" i="5" a="1"/>
  <c r="E732" i="5"/>
  <c r="E736" i="5" a="1"/>
  <c r="E736" i="5"/>
  <c r="E738" i="5" a="1"/>
  <c r="E738" i="5" s="1"/>
  <c r="E743" i="5" a="1"/>
  <c r="E743" i="5" s="1"/>
  <c r="E746" i="5" a="1"/>
  <c r="E746" i="5" s="1"/>
  <c r="E747" i="5" a="1"/>
  <c r="E747" i="5" s="1"/>
  <c r="E751" i="5" a="1"/>
  <c r="E751" i="5" s="1"/>
  <c r="E753" i="5" a="1"/>
  <c r="E753" i="5" s="1"/>
  <c r="E754" i="5" a="1"/>
  <c r="E754" i="5"/>
  <c r="E756" i="5" a="1"/>
  <c r="E756" i="5"/>
  <c r="E760" i="5" a="1"/>
  <c r="E760" i="5" s="1"/>
  <c r="E769" i="5" a="1"/>
  <c r="E769" i="5" s="1"/>
  <c r="E778" i="5" a="1"/>
  <c r="E778" i="5" s="1"/>
  <c r="E779" i="5" a="1"/>
  <c r="E779" i="5" s="1"/>
  <c r="E780" i="5" a="1"/>
  <c r="E780" i="5"/>
  <c r="E781" i="5" a="1"/>
  <c r="E781" i="5"/>
  <c r="E782" i="5" a="1"/>
  <c r="E782" i="5"/>
  <c r="E783" i="5" a="1"/>
  <c r="E783" i="5" s="1"/>
  <c r="E784" i="5" a="1"/>
  <c r="E784" i="5" s="1"/>
  <c r="E800" i="5" a="1"/>
  <c r="E800" i="5"/>
  <c r="E801" i="5" a="1"/>
  <c r="E801" i="5" s="1"/>
  <c r="E802" i="5" a="1"/>
  <c r="E802" i="5" s="1"/>
  <c r="E804" i="5" a="1"/>
  <c r="E804" i="5"/>
  <c r="E805" i="5" a="1"/>
  <c r="E805" i="5"/>
  <c r="E807" i="5" a="1"/>
  <c r="E807" i="5" s="1"/>
  <c r="E813" i="5" a="1"/>
  <c r="E813" i="5"/>
  <c r="E814" i="5" a="1"/>
  <c r="E814" i="5"/>
  <c r="E815" i="5" a="1"/>
  <c r="E815" i="5" s="1"/>
  <c r="E816" i="5" a="1"/>
  <c r="E816" i="5" s="1"/>
  <c r="E817" i="5" a="1"/>
  <c r="E817" i="5" s="1"/>
  <c r="E818" i="5" a="1"/>
  <c r="E818" i="5"/>
  <c r="E821" i="5" a="1"/>
  <c r="E821" i="5"/>
  <c r="E823" i="5" a="1"/>
  <c r="E823" i="5" s="1"/>
  <c r="E828" i="5" a="1"/>
  <c r="E828" i="5"/>
  <c r="E833" i="5" a="1"/>
  <c r="E833" i="5" s="1"/>
  <c r="E834" i="5" a="1"/>
  <c r="E834" i="5" s="1"/>
  <c r="E835" i="5" a="1"/>
  <c r="E835" i="5" s="1"/>
  <c r="E838" i="5" a="1"/>
  <c r="E838" i="5"/>
  <c r="E841" i="5" a="1"/>
  <c r="E841" i="5"/>
  <c r="E850" i="5" a="1"/>
  <c r="E850" i="5"/>
  <c r="E853" i="5" a="1"/>
  <c r="E853" i="5"/>
  <c r="E855" i="5" a="1"/>
  <c r="E855" i="5" s="1"/>
  <c r="E856" i="5" a="1"/>
  <c r="E856" i="5" s="1"/>
  <c r="E864" i="5" a="1"/>
  <c r="E864" i="5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2" i="1"/>
  <c r="E6" i="1" a="1"/>
  <c r="E6" i="1" s="1"/>
  <c r="E7" i="1" a="1"/>
  <c r="E7" i="1" s="1"/>
  <c r="E8" i="1" a="1"/>
  <c r="E8" i="1" s="1"/>
  <c r="E9" i="1" a="1"/>
  <c r="E9" i="1"/>
  <c r="E20" i="1" a="1"/>
  <c r="E20" i="1"/>
  <c r="E23" i="1" a="1"/>
  <c r="E23" i="1" s="1"/>
  <c r="E24" i="1" a="1"/>
  <c r="E24" i="1" s="1"/>
  <c r="E30" i="1" a="1"/>
  <c r="E30" i="1"/>
  <c r="E36" i="1" a="1"/>
  <c r="E36" i="1"/>
  <c r="E38" i="1" a="1"/>
  <c r="E38" i="1"/>
  <c r="E53" i="1" a="1"/>
  <c r="E53" i="1"/>
  <c r="E54" i="1" a="1"/>
  <c r="E54" i="1"/>
  <c r="E60" i="1" a="1"/>
  <c r="E60" i="1" s="1"/>
  <c r="E63" i="1" a="1"/>
  <c r="E63" i="1" s="1"/>
  <c r="E70" i="1" a="1"/>
  <c r="E70" i="1"/>
  <c r="E72" i="1" a="1"/>
  <c r="E72" i="1" s="1"/>
  <c r="E77" i="1" a="1"/>
  <c r="E77" i="1"/>
  <c r="E81" i="1" a="1"/>
  <c r="E81" i="1" s="1"/>
  <c r="E82" i="1" a="1"/>
  <c r="E82" i="1" s="1"/>
  <c r="E83" i="1" a="1"/>
  <c r="E83" i="1" s="1"/>
  <c r="E88" i="1" a="1"/>
  <c r="E88" i="1" s="1"/>
  <c r="E101" i="1" a="1"/>
  <c r="E101" i="1" s="1"/>
  <c r="E104" i="1" a="1"/>
  <c r="E104" i="1" s="1"/>
  <c r="E105" i="1" a="1"/>
  <c r="E105" i="1" s="1"/>
  <c r="E112" i="1" a="1"/>
  <c r="E112" i="1"/>
  <c r="E113" i="1" a="1"/>
  <c r="E113" i="1" s="1"/>
  <c r="E115" i="1" a="1"/>
  <c r="E115" i="1" s="1"/>
  <c r="E117" i="1" a="1"/>
  <c r="E117" i="1"/>
  <c r="E131" i="1" a="1"/>
  <c r="E131" i="1" s="1"/>
  <c r="E137" i="1" a="1"/>
  <c r="E137" i="1" s="1"/>
  <c r="E144" i="1" a="1"/>
  <c r="E144" i="1"/>
  <c r="E166" i="1" a="1"/>
  <c r="E166" i="1"/>
  <c r="E167" i="1" a="1"/>
  <c r="E167" i="1" s="1"/>
  <c r="E169" i="1" a="1"/>
  <c r="E169" i="1" s="1"/>
  <c r="E172" i="1" a="1"/>
  <c r="E172" i="1"/>
  <c r="E173" i="1" a="1"/>
  <c r="E173" i="1"/>
  <c r="E174" i="1" a="1"/>
  <c r="E174" i="1" s="1"/>
  <c r="E175" i="1" a="1"/>
  <c r="E175" i="1" s="1"/>
  <c r="E177" i="1" a="1"/>
  <c r="E177" i="1" s="1"/>
  <c r="E178" i="1" a="1"/>
  <c r="E178" i="1" s="1"/>
  <c r="E179" i="1" a="1"/>
  <c r="E179" i="1" s="1"/>
  <c r="E180" i="1" a="1"/>
  <c r="E180" i="1"/>
  <c r="E181" i="1" a="1"/>
  <c r="E181" i="1"/>
  <c r="E185" i="1" a="1"/>
  <c r="E185" i="1"/>
  <c r="E193" i="1" a="1"/>
  <c r="E193" i="1" s="1"/>
  <c r="E197" i="1" a="1"/>
  <c r="E197" i="1" s="1"/>
  <c r="E202" i="1" a="1"/>
  <c r="E202" i="1" s="1"/>
  <c r="E203" i="1" a="1"/>
  <c r="E203" i="1" s="1"/>
  <c r="E204" i="1" a="1"/>
  <c r="E204" i="1"/>
  <c r="E205" i="1" a="1"/>
  <c r="E205" i="1"/>
  <c r="E207" i="1" a="1"/>
  <c r="E207" i="1" s="1"/>
  <c r="E208" i="1" a="1"/>
  <c r="E208" i="1"/>
  <c r="E209" i="1" a="1"/>
  <c r="E209" i="1" s="1"/>
  <c r="E212" i="1" a="1"/>
  <c r="E212" i="1"/>
  <c r="E213" i="1" a="1"/>
  <c r="E213" i="1"/>
  <c r="E219" i="1" a="1"/>
  <c r="E219" i="1" s="1"/>
  <c r="E220" i="1" a="1"/>
  <c r="E220" i="1" s="1"/>
  <c r="E234" i="1" a="1"/>
  <c r="E234" i="1" s="1"/>
  <c r="E247" i="1" a="1"/>
  <c r="E247" i="1" s="1"/>
  <c r="E249" i="1" a="1"/>
  <c r="E249" i="1"/>
  <c r="E250" i="1" a="1"/>
  <c r="E250" i="1"/>
  <c r="E251" i="1" a="1"/>
  <c r="E251" i="1" s="1"/>
  <c r="E252" i="1" a="1"/>
  <c r="E252" i="1" s="1"/>
  <c r="E257" i="1" a="1"/>
  <c r="E257" i="1"/>
  <c r="E260" i="1" a="1"/>
  <c r="E260" i="1"/>
  <c r="E261" i="1" a="1"/>
  <c r="E261" i="1" s="1"/>
  <c r="E266" i="1" a="1"/>
  <c r="E266" i="1"/>
  <c r="E273" i="1" a="1"/>
  <c r="E273" i="1"/>
  <c r="E274" i="1" a="1"/>
  <c r="E274" i="1"/>
  <c r="E275" i="1" a="1"/>
  <c r="E275" i="1" s="1"/>
  <c r="E277" i="1" a="1"/>
  <c r="E277" i="1" s="1"/>
  <c r="E278" i="1" a="1"/>
  <c r="E278" i="1" s="1"/>
  <c r="E279" i="1" a="1"/>
  <c r="E279" i="1" s="1"/>
  <c r="E280" i="1" a="1"/>
  <c r="E280" i="1"/>
  <c r="E281" i="1" a="1"/>
  <c r="E281" i="1" s="1"/>
  <c r="E283" i="1" a="1"/>
  <c r="E283" i="1" s="1"/>
  <c r="E287" i="1" a="1"/>
  <c r="E287" i="1" s="1"/>
  <c r="E289" i="1" a="1"/>
  <c r="E289" i="1"/>
  <c r="E299" i="1" a="1"/>
  <c r="E299" i="1" s="1"/>
  <c r="E302" i="1" a="1"/>
  <c r="E302" i="1" s="1"/>
  <c r="E304" i="1" a="1"/>
  <c r="E304" i="1"/>
  <c r="E306" i="1" a="1"/>
  <c r="E306" i="1" s="1"/>
  <c r="E307" i="1" a="1"/>
  <c r="E307" i="1" s="1"/>
  <c r="E316" i="1" a="1"/>
  <c r="E316" i="1" s="1"/>
  <c r="E317" i="1" a="1"/>
  <c r="E317" i="1"/>
  <c r="E324" i="1" a="1"/>
  <c r="E324" i="1"/>
  <c r="E329" i="1" a="1"/>
  <c r="E329" i="1"/>
  <c r="E330" i="1" a="1"/>
  <c r="E330" i="1"/>
  <c r="E342" i="1" a="1"/>
  <c r="E342" i="1" s="1"/>
  <c r="E348" i="1" a="1"/>
  <c r="E348" i="1" s="1"/>
  <c r="E353" i="1" a="1"/>
  <c r="E353" i="1"/>
  <c r="E355" i="1" a="1"/>
  <c r="E355" i="1" s="1"/>
  <c r="E361" i="1" a="1"/>
  <c r="E361" i="1"/>
  <c r="E365" i="1" a="1"/>
  <c r="E365" i="1" s="1"/>
  <c r="E374" i="1" a="1"/>
  <c r="E374" i="1" s="1"/>
  <c r="E375" i="1" a="1"/>
  <c r="E375" i="1" s="1"/>
  <c r="E376" i="1" a="1"/>
  <c r="E376" i="1"/>
  <c r="E377" i="1" a="1"/>
  <c r="E377" i="1" s="1"/>
  <c r="E378" i="1" a="1"/>
  <c r="E378" i="1" s="1"/>
  <c r="E394" i="1" a="1"/>
  <c r="E394" i="1"/>
  <c r="E395" i="1" a="1"/>
  <c r="E395" i="1" s="1"/>
  <c r="E396" i="1" a="1"/>
  <c r="E396" i="1" s="1"/>
  <c r="E397" i="1" a="1"/>
  <c r="E397" i="1" s="1"/>
  <c r="E402" i="1" a="1"/>
  <c r="E402" i="1"/>
  <c r="E404" i="1" a="1"/>
  <c r="E404" i="1" s="1"/>
  <c r="E408" i="1" a="1"/>
  <c r="E408" i="1"/>
  <c r="E413" i="1" a="1"/>
  <c r="E413" i="1" s="1"/>
  <c r="E414" i="1" a="1"/>
  <c r="E414" i="1" s="1"/>
  <c r="E415" i="1" a="1"/>
  <c r="E415" i="1" s="1"/>
  <c r="E416" i="1" a="1"/>
  <c r="E416" i="1"/>
  <c r="E417" i="1" a="1"/>
  <c r="E417" i="1"/>
  <c r="E419" i="1" a="1"/>
  <c r="E419" i="1" s="1"/>
  <c r="E426" i="1" a="1"/>
  <c r="E426" i="1"/>
  <c r="E433" i="1" a="1"/>
  <c r="E433" i="1" s="1"/>
  <c r="E439" i="1" a="1"/>
  <c r="E439" i="1" s="1"/>
  <c r="E440" i="1" a="1"/>
  <c r="E440" i="1"/>
  <c r="E443" i="1" a="1"/>
  <c r="E443" i="1" s="1"/>
  <c r="E452" i="1" a="1"/>
  <c r="E452" i="1" s="1"/>
  <c r="E461" i="1" a="1"/>
  <c r="E461" i="1" s="1"/>
  <c r="E463" i="1" a="1"/>
  <c r="E463" i="1" s="1"/>
  <c r="E464" i="1" a="1"/>
  <c r="E464" i="1"/>
  <c r="E483" i="1" a="1"/>
  <c r="E483" i="1" s="1"/>
  <c r="E484" i="1" a="1"/>
  <c r="E484" i="1" s="1"/>
  <c r="E490" i="1" a="1"/>
  <c r="E490" i="1"/>
  <c r="E492" i="1" a="1"/>
  <c r="E492" i="1" s="1"/>
  <c r="E502" i="1" a="1"/>
  <c r="E502" i="1"/>
  <c r="E505" i="1" a="1"/>
  <c r="E505" i="1"/>
  <c r="E509" i="1" a="1"/>
  <c r="E509" i="1"/>
  <c r="E510" i="1" a="1"/>
  <c r="E510" i="1"/>
  <c r="E518" i="1" a="1"/>
  <c r="E518" i="1"/>
  <c r="E519" i="1" a="1"/>
  <c r="E519" i="1" s="1"/>
  <c r="F519" i="1" s="1"/>
  <c r="E524" i="1" a="1"/>
  <c r="E524" i="1" s="1"/>
  <c r="E526" i="1" a="1"/>
  <c r="E526" i="1"/>
  <c r="E527" i="1" a="1"/>
  <c r="E527" i="1" s="1"/>
  <c r="F527" i="1" s="1"/>
  <c r="E531" i="1" a="1"/>
  <c r="E531" i="1" s="1"/>
  <c r="F531" i="1" s="1"/>
  <c r="E532" i="1" a="1"/>
  <c r="E532" i="1" s="1"/>
  <c r="E537" i="1" a="1"/>
  <c r="E537" i="1"/>
  <c r="E538" i="1" a="1"/>
  <c r="E538" i="1"/>
  <c r="E545" i="1" a="1"/>
  <c r="E545" i="1"/>
  <c r="E555" i="1" a="1"/>
  <c r="E555" i="1" s="1"/>
  <c r="F555" i="1" s="1"/>
  <c r="E560" i="1" a="1"/>
  <c r="E560" i="1" s="1"/>
  <c r="E561" i="1" a="1"/>
  <c r="E561" i="1"/>
  <c r="E573" i="1" a="1"/>
  <c r="E573" i="1" s="1"/>
  <c r="E577" i="1" a="1"/>
  <c r="E577" i="1" s="1"/>
  <c r="E579" i="1" a="1"/>
  <c r="E579" i="1" s="1"/>
  <c r="F579" i="1" s="1"/>
  <c r="E580" i="1" a="1"/>
  <c r="E580" i="1" s="1"/>
  <c r="E582" i="1" a="1"/>
  <c r="E582" i="1"/>
  <c r="E589" i="1" a="1"/>
  <c r="E589" i="1" s="1"/>
  <c r="E591" i="1" a="1"/>
  <c r="E591" i="1" s="1"/>
  <c r="F591" i="1" s="1"/>
  <c r="E599" i="1" a="1"/>
  <c r="E599" i="1" s="1"/>
  <c r="F599" i="1" s="1"/>
  <c r="E600" i="1" a="1"/>
  <c r="E600" i="1" s="1"/>
  <c r="E604" i="1" a="1"/>
  <c r="E604" i="1" s="1"/>
  <c r="E610" i="1" a="1"/>
  <c r="E610" i="1" s="1"/>
  <c r="F610" i="1" s="1"/>
  <c r="E614" i="1" a="1"/>
  <c r="E614" i="1" s="1"/>
  <c r="F614" i="1" s="1"/>
  <c r="E615" i="1" a="1"/>
  <c r="E615" i="1" s="1"/>
  <c r="F615" i="1" s="1"/>
  <c r="E616" i="1" a="1"/>
  <c r="E616" i="1" s="1"/>
  <c r="E619" i="1" a="1"/>
  <c r="E619" i="1" s="1"/>
  <c r="F619" i="1" s="1"/>
  <c r="E620" i="1" a="1"/>
  <c r="E620" i="1" s="1"/>
  <c r="E622" i="1" a="1"/>
  <c r="E622" i="1" s="1"/>
  <c r="F622" i="1" s="1"/>
  <c r="E623" i="1" a="1"/>
  <c r="E623" i="1" s="1"/>
  <c r="F623" i="1" s="1"/>
  <c r="E626" i="1" a="1"/>
  <c r="E626" i="1" s="1"/>
  <c r="F626" i="1" s="1"/>
  <c r="E627" i="1" a="1"/>
  <c r="E627" i="1" s="1"/>
  <c r="F627" i="1" s="1"/>
  <c r="E638" i="1" a="1"/>
  <c r="E638" i="1" s="1"/>
  <c r="F638" i="1" s="1"/>
  <c r="E639" i="1" a="1"/>
  <c r="E639" i="1" s="1"/>
  <c r="F639" i="1" s="1"/>
  <c r="E640" i="1" a="1"/>
  <c r="E640" i="1" s="1"/>
  <c r="E643" i="1" a="1"/>
  <c r="E643" i="1" s="1"/>
  <c r="F643" i="1" s="1"/>
  <c r="E649" i="1" a="1"/>
  <c r="E649" i="1" s="1"/>
  <c r="E651" i="1" a="1"/>
  <c r="E651" i="1" s="1"/>
  <c r="F651" i="1" s="1"/>
  <c r="E658" i="1" a="1"/>
  <c r="E658" i="1" s="1"/>
  <c r="F658" i="1" s="1"/>
  <c r="E661" i="1" a="1"/>
  <c r="E661" i="1" s="1"/>
  <c r="E675" i="1" a="1"/>
  <c r="E675" i="1" s="1"/>
  <c r="F675" i="1" s="1"/>
  <c r="E676" i="1" a="1"/>
  <c r="E676" i="1" s="1"/>
  <c r="E677" i="1" a="1"/>
  <c r="E677" i="1" s="1"/>
  <c r="E678" i="1" a="1"/>
  <c r="E678" i="1" s="1"/>
  <c r="F678" i="1" s="1"/>
  <c r="E680" i="1" a="1"/>
  <c r="E680" i="1" s="1"/>
  <c r="E681" i="1" a="1"/>
  <c r="E681" i="1" s="1"/>
  <c r="E683" i="1" a="1"/>
  <c r="E683" i="1" s="1"/>
  <c r="F683" i="1" s="1"/>
  <c r="E684" i="1" a="1"/>
  <c r="E684" i="1" s="1"/>
  <c r="E685" i="1" a="1"/>
  <c r="E685" i="1" s="1"/>
  <c r="E694" i="1" a="1"/>
  <c r="E694" i="1" s="1"/>
  <c r="F694" i="1" s="1"/>
  <c r="E696" i="1" a="1"/>
  <c r="E696" i="1" s="1"/>
  <c r="E698" i="1" a="1"/>
  <c r="E698" i="1" s="1"/>
  <c r="F698" i="1" s="1"/>
  <c r="E699" i="1" a="1"/>
  <c r="E699" i="1" s="1"/>
  <c r="F699" i="1" s="1"/>
  <c r="E702" i="1" a="1"/>
  <c r="E702" i="1" s="1"/>
  <c r="F702" i="1" s="1"/>
  <c r="E707" i="1" a="1"/>
  <c r="E707" i="1"/>
  <c r="E708" i="1" a="1"/>
  <c r="E708" i="1" s="1"/>
  <c r="E709" i="1" a="1"/>
  <c r="E709" i="1" s="1"/>
  <c r="F709" i="1" s="1"/>
  <c r="E716" i="1" a="1"/>
  <c r="E716" i="1" s="1"/>
  <c r="E728" i="1" a="1"/>
  <c r="E728" i="1" s="1"/>
  <c r="E730" i="1" a="1"/>
  <c r="E730" i="1"/>
  <c r="E732" i="1" a="1"/>
  <c r="E732" i="1" s="1"/>
  <c r="E736" i="1" a="1"/>
  <c r="E736" i="1" s="1"/>
  <c r="E738" i="1" a="1"/>
  <c r="E738" i="1"/>
  <c r="E743" i="1" a="1"/>
  <c r="E743" i="1" s="1"/>
  <c r="F743" i="1" s="1"/>
  <c r="E746" i="1" a="1"/>
  <c r="E746" i="1"/>
  <c r="E747" i="1" a="1"/>
  <c r="E747" i="1"/>
  <c r="E751" i="1" a="1"/>
  <c r="E751" i="1" s="1"/>
  <c r="F751" i="1" s="1"/>
  <c r="E753" i="1" a="1"/>
  <c r="E753" i="1"/>
  <c r="E754" i="1" a="1"/>
  <c r="E754" i="1"/>
  <c r="E756" i="1" a="1"/>
  <c r="E756" i="1" s="1"/>
  <c r="E760" i="1" a="1"/>
  <c r="E760" i="1" s="1"/>
  <c r="E769" i="1" a="1"/>
  <c r="E769" i="1"/>
  <c r="E778" i="1" a="1"/>
  <c r="E778" i="1"/>
  <c r="E779" i="1" a="1"/>
  <c r="E779" i="1"/>
  <c r="E780" i="1" a="1"/>
  <c r="E780" i="1" s="1"/>
  <c r="E781" i="1" a="1"/>
  <c r="E781" i="1" s="1"/>
  <c r="F781" i="1" s="1"/>
  <c r="E782" i="1" a="1"/>
  <c r="E782" i="1"/>
  <c r="E783" i="1" a="1"/>
  <c r="E783" i="1" s="1"/>
  <c r="F783" i="1" s="1"/>
  <c r="E784" i="1" a="1"/>
  <c r="E784" i="1" s="1"/>
  <c r="E800" i="1" a="1"/>
  <c r="E800" i="1" s="1"/>
  <c r="E801" i="1" a="1"/>
  <c r="E801" i="1"/>
  <c r="E802" i="1" a="1"/>
  <c r="E802" i="1"/>
  <c r="E804" i="1" a="1"/>
  <c r="E804" i="1" s="1"/>
  <c r="E805" i="1" a="1"/>
  <c r="E805" i="1"/>
  <c r="E807" i="1" a="1"/>
  <c r="E807" i="1" s="1"/>
  <c r="F807" i="1" s="1"/>
  <c r="E813" i="1" a="1"/>
  <c r="E813" i="1" s="1"/>
  <c r="F813" i="1" s="1"/>
  <c r="E814" i="1" a="1"/>
  <c r="E814" i="1"/>
  <c r="E815" i="1" a="1"/>
  <c r="E815" i="1" s="1"/>
  <c r="F815" i="1" s="1"/>
  <c r="E816" i="1" a="1"/>
  <c r="E816" i="1" s="1"/>
  <c r="E817" i="1" a="1"/>
  <c r="E817" i="1"/>
  <c r="E818" i="1" a="1"/>
  <c r="E818" i="1"/>
  <c r="E821" i="1" a="1"/>
  <c r="E821" i="1" s="1"/>
  <c r="F821" i="1" s="1"/>
  <c r="E823" i="1" a="1"/>
  <c r="E823" i="1"/>
  <c r="E828" i="1" a="1"/>
  <c r="E828" i="1" s="1"/>
  <c r="E833" i="1" a="1"/>
  <c r="E833" i="1"/>
  <c r="E834" i="1" a="1"/>
  <c r="E834" i="1"/>
  <c r="E835" i="1" a="1"/>
  <c r="E835" i="1"/>
  <c r="E838" i="1" a="1"/>
  <c r="E838" i="1" s="1"/>
  <c r="F838" i="1" s="1"/>
  <c r="E841" i="1" a="1"/>
  <c r="E841" i="1"/>
  <c r="E850" i="1" a="1"/>
  <c r="E850" i="1"/>
  <c r="E853" i="1" a="1"/>
  <c r="E853" i="1" s="1"/>
  <c r="F853" i="1" s="1"/>
  <c r="E855" i="1" a="1"/>
  <c r="E855" i="1"/>
  <c r="E856" i="1" a="1"/>
  <c r="E856" i="1" s="1"/>
  <c r="E864" i="1" a="1"/>
  <c r="E864" i="1" s="1"/>
  <c r="H6" i="3" a="1"/>
  <c r="H6" i="3" s="1"/>
  <c r="H7" i="3" a="1"/>
  <c r="H7" i="3"/>
  <c r="H8" i="3" a="1"/>
  <c r="H8" i="3" s="1"/>
  <c r="H9" i="3" a="1"/>
  <c r="H9" i="3"/>
  <c r="H20" i="3" a="1"/>
  <c r="H20" i="3" s="1"/>
  <c r="H23" i="3" a="1"/>
  <c r="H23" i="3"/>
  <c r="H24" i="3" a="1"/>
  <c r="H24" i="3" s="1"/>
  <c r="H30" i="3" a="1"/>
  <c r="H30" i="3"/>
  <c r="H36" i="3" a="1"/>
  <c r="H36" i="3" s="1"/>
  <c r="H38" i="3" a="1"/>
  <c r="H38" i="3" s="1"/>
  <c r="H53" i="3" a="1"/>
  <c r="H53" i="3"/>
  <c r="H54" i="3" a="1"/>
  <c r="H54" i="3" s="1"/>
  <c r="H60" i="3" a="1"/>
  <c r="H60" i="3" s="1"/>
  <c r="H63" i="3" a="1"/>
  <c r="H63" i="3" s="1"/>
  <c r="H70" i="3" a="1"/>
  <c r="H70" i="3" s="1"/>
  <c r="H72" i="3" a="1"/>
  <c r="H72" i="3" s="1"/>
  <c r="H77" i="3" a="1"/>
  <c r="H77" i="3" s="1"/>
  <c r="H81" i="3" a="1"/>
  <c r="H81" i="3" s="1"/>
  <c r="H82" i="3" a="1"/>
  <c r="H82" i="3"/>
  <c r="H83" i="3" a="1"/>
  <c r="H83" i="3"/>
  <c r="H88" i="3" a="1"/>
  <c r="H88" i="3" s="1"/>
  <c r="H101" i="3" a="1"/>
  <c r="H101" i="3" s="1"/>
  <c r="H104" i="3" a="1"/>
  <c r="H104" i="3" s="1"/>
  <c r="H105" i="3" a="1"/>
  <c r="H105" i="3"/>
  <c r="H112" i="3" a="1"/>
  <c r="H112" i="3" s="1"/>
  <c r="H113" i="3" a="1"/>
  <c r="H113" i="3" s="1"/>
  <c r="H115" i="3" a="1"/>
  <c r="H115" i="3"/>
  <c r="H117" i="3" a="1"/>
  <c r="H117" i="3"/>
  <c r="H131" i="3" a="1"/>
  <c r="H131" i="3" s="1"/>
  <c r="H137" i="3" a="1"/>
  <c r="H137" i="3"/>
  <c r="H144" i="3" a="1"/>
  <c r="H144" i="3" s="1"/>
  <c r="H166" i="3" a="1"/>
  <c r="H166" i="3" s="1"/>
  <c r="H167" i="3" a="1"/>
  <c r="H167" i="3"/>
  <c r="H169" i="3" a="1"/>
  <c r="H169" i="3"/>
  <c r="H172" i="3" a="1"/>
  <c r="H172" i="3" s="1"/>
  <c r="H173" i="3" a="1"/>
  <c r="H173" i="3" s="1"/>
  <c r="H174" i="3" a="1"/>
  <c r="H174" i="3" s="1"/>
  <c r="H175" i="3" a="1"/>
  <c r="H175" i="3" s="1"/>
  <c r="H177" i="3" a="1"/>
  <c r="H177" i="3" s="1"/>
  <c r="H178" i="3" a="1"/>
  <c r="H178" i="3"/>
  <c r="H179" i="3" a="1"/>
  <c r="H179" i="3"/>
  <c r="H180" i="3" a="1"/>
  <c r="H180" i="3" s="1"/>
  <c r="H181" i="3" a="1"/>
  <c r="H181" i="3"/>
  <c r="H185" i="3" a="1"/>
  <c r="H185" i="3" s="1"/>
  <c r="H193" i="3" a="1"/>
  <c r="H193" i="3" s="1"/>
  <c r="H197" i="3" a="1"/>
  <c r="H197" i="3" s="1"/>
  <c r="H202" i="3" a="1"/>
  <c r="H202" i="3" s="1"/>
  <c r="H203" i="3" a="1"/>
  <c r="H203" i="3" s="1"/>
  <c r="H204" i="3" a="1"/>
  <c r="H204" i="3" s="1"/>
  <c r="H205" i="3" a="1"/>
  <c r="H205" i="3" s="1"/>
  <c r="H207" i="3" a="1"/>
  <c r="H207" i="3"/>
  <c r="H208" i="3" a="1"/>
  <c r="H208" i="3" s="1"/>
  <c r="H209" i="3" a="1"/>
  <c r="H209" i="3"/>
  <c r="H212" i="3" a="1"/>
  <c r="H212" i="3" s="1"/>
  <c r="H213" i="3" a="1"/>
  <c r="H213" i="3"/>
  <c r="H219" i="3" a="1"/>
  <c r="H219" i="3"/>
  <c r="H220" i="3" a="1"/>
  <c r="H220" i="3" s="1"/>
  <c r="H234" i="3" a="1"/>
  <c r="H234" i="3" s="1"/>
  <c r="H247" i="3" a="1"/>
  <c r="H247" i="3" s="1"/>
  <c r="H249" i="3" a="1"/>
  <c r="H249" i="3" s="1"/>
  <c r="H250" i="3" a="1"/>
  <c r="H250" i="3" s="1"/>
  <c r="H251" i="3" a="1"/>
  <c r="H251" i="3"/>
  <c r="H252" i="3" a="1"/>
  <c r="H252" i="3" s="1"/>
  <c r="H257" i="3" a="1"/>
  <c r="H257" i="3" s="1"/>
  <c r="H260" i="3" a="1"/>
  <c r="H260" i="3" s="1"/>
  <c r="H261" i="3" a="1"/>
  <c r="H261" i="3" s="1"/>
  <c r="H266" i="3" a="1"/>
  <c r="H266" i="3" s="1"/>
  <c r="H273" i="3" a="1"/>
  <c r="H273" i="3"/>
  <c r="H274" i="3" a="1"/>
  <c r="H274" i="3"/>
  <c r="H275" i="3" a="1"/>
  <c r="H275" i="3" s="1"/>
  <c r="H277" i="3" a="1"/>
  <c r="H277" i="3"/>
  <c r="H278" i="3" a="1"/>
  <c r="H278" i="3" s="1"/>
  <c r="H279" i="3" a="1"/>
  <c r="H279" i="3" s="1"/>
  <c r="H280" i="3" a="1"/>
  <c r="H280" i="3" s="1"/>
  <c r="H281" i="3" a="1"/>
  <c r="H281" i="3" s="1"/>
  <c r="H283" i="3" a="1"/>
  <c r="H283" i="3"/>
  <c r="H287" i="3" a="1"/>
  <c r="H287" i="3" s="1"/>
  <c r="H289" i="3" a="1"/>
  <c r="H289" i="3" s="1"/>
  <c r="H299" i="3" a="1"/>
  <c r="H299" i="3" s="1"/>
  <c r="H302" i="3" a="1"/>
  <c r="H302" i="3" s="1"/>
  <c r="H304" i="3" a="1"/>
  <c r="H304" i="3" s="1"/>
  <c r="H306" i="3" a="1"/>
  <c r="H306" i="3"/>
  <c r="H307" i="3" a="1"/>
  <c r="H307" i="3" s="1"/>
  <c r="H316" i="3" a="1"/>
  <c r="H316" i="3" s="1"/>
  <c r="H317" i="3" a="1"/>
  <c r="H317" i="3"/>
  <c r="H324" i="3" a="1"/>
  <c r="H324" i="3" s="1"/>
  <c r="H329" i="3" a="1"/>
  <c r="H329" i="3"/>
  <c r="H330" i="3" a="1"/>
  <c r="H330" i="3" s="1"/>
  <c r="H342" i="3" a="1"/>
  <c r="H342" i="3" s="1"/>
  <c r="H348" i="3" a="1"/>
  <c r="H348" i="3" s="1"/>
  <c r="H353" i="3" a="1"/>
  <c r="H353" i="3"/>
  <c r="H355" i="3" a="1"/>
  <c r="H355" i="3" s="1"/>
  <c r="H361" i="3" a="1"/>
  <c r="H361" i="3"/>
  <c r="H365" i="3" a="1"/>
  <c r="H365" i="3"/>
  <c r="H374" i="3" a="1"/>
  <c r="H374" i="3" s="1"/>
  <c r="H375" i="3" a="1"/>
  <c r="H375" i="3" s="1"/>
  <c r="H376" i="3" a="1"/>
  <c r="H376" i="3" s="1"/>
  <c r="H377" i="3" a="1"/>
  <c r="H377" i="3"/>
  <c r="H378" i="3" a="1"/>
  <c r="H378" i="3" s="1"/>
  <c r="H394" i="3" a="1"/>
  <c r="H394" i="3"/>
  <c r="H395" i="3" a="1"/>
  <c r="H395" i="3" s="1"/>
  <c r="H396" i="3" a="1"/>
  <c r="H396" i="3" s="1"/>
  <c r="H397" i="3" a="1"/>
  <c r="H397" i="3"/>
  <c r="H402" i="3" a="1"/>
  <c r="H402" i="3"/>
  <c r="H404" i="3" a="1"/>
  <c r="H404" i="3" s="1"/>
  <c r="H408" i="3" a="1"/>
  <c r="H408" i="3" s="1"/>
  <c r="H413" i="3" a="1"/>
  <c r="H413" i="3"/>
  <c r="H414" i="3" a="1"/>
  <c r="H414" i="3"/>
  <c r="H415" i="3" a="1"/>
  <c r="H415" i="3" s="1"/>
  <c r="H416" i="3" a="1"/>
  <c r="H416" i="3" s="1"/>
  <c r="H417" i="3" a="1"/>
  <c r="H417" i="3"/>
  <c r="H419" i="3" a="1"/>
  <c r="H419" i="3" s="1"/>
  <c r="H426" i="3" a="1"/>
  <c r="H426" i="3"/>
  <c r="H433" i="3" a="1"/>
  <c r="H433" i="3"/>
  <c r="H439" i="3" a="1"/>
  <c r="H439" i="3" s="1"/>
  <c r="H440" i="3" a="1"/>
  <c r="H440" i="3" s="1"/>
  <c r="H443" i="3" a="1"/>
  <c r="H443" i="3" s="1"/>
  <c r="H452" i="3" a="1"/>
  <c r="H452" i="3" s="1"/>
  <c r="H461" i="3" a="1"/>
  <c r="H461" i="3"/>
  <c r="H463" i="3" a="1"/>
  <c r="H463" i="3" s="1"/>
  <c r="H464" i="3" a="1"/>
  <c r="H464" i="3" s="1"/>
  <c r="H483" i="3" a="1"/>
  <c r="H483" i="3" s="1"/>
  <c r="H484" i="3" a="1"/>
  <c r="H484" i="3" s="1"/>
  <c r="H490" i="3" a="1"/>
  <c r="H490" i="3"/>
  <c r="H492" i="3" a="1"/>
  <c r="H492" i="3" s="1"/>
  <c r="H502" i="3" a="1"/>
  <c r="H502" i="3"/>
  <c r="H505" i="3" a="1"/>
  <c r="H505" i="3"/>
  <c r="H509" i="3" a="1"/>
  <c r="H509" i="3"/>
  <c r="H510" i="3" a="1"/>
  <c r="H510" i="3"/>
  <c r="H518" i="3" a="1"/>
  <c r="H518" i="3"/>
  <c r="H519" i="3" a="1"/>
  <c r="H519" i="3"/>
  <c r="H524" i="3" a="1"/>
  <c r="H524" i="3" s="1"/>
  <c r="H526" i="3" a="1"/>
  <c r="H526" i="3" s="1"/>
  <c r="H527" i="3" a="1"/>
  <c r="H527" i="3" s="1"/>
  <c r="H531" i="3" a="1"/>
  <c r="H531" i="3"/>
  <c r="H532" i="3" a="1"/>
  <c r="H532" i="3" s="1"/>
  <c r="H537" i="3" a="1"/>
  <c r="H537" i="3"/>
  <c r="H538" i="3" a="1"/>
  <c r="H538" i="3"/>
  <c r="H545" i="3" a="1"/>
  <c r="H545" i="3"/>
  <c r="H555" i="3" a="1"/>
  <c r="H555" i="3" s="1"/>
  <c r="H560" i="3" a="1"/>
  <c r="H560" i="3"/>
  <c r="H561" i="3" a="1"/>
  <c r="H561" i="3"/>
  <c r="H573" i="3" a="1"/>
  <c r="H573" i="3"/>
  <c r="H577" i="3" a="1"/>
  <c r="H577" i="3"/>
  <c r="H579" i="3" a="1"/>
  <c r="H579" i="3" s="1"/>
  <c r="H580" i="3" a="1"/>
  <c r="H580" i="3"/>
  <c r="H582" i="3" a="1"/>
  <c r="H582" i="3"/>
  <c r="H589" i="3" a="1"/>
  <c r="H589" i="3"/>
  <c r="H591" i="3" a="1"/>
  <c r="H591" i="3" s="1"/>
  <c r="H599" i="3" a="1"/>
  <c r="H599" i="3" s="1"/>
  <c r="H600" i="3" a="1"/>
  <c r="H600" i="3"/>
  <c r="H604" i="3" a="1"/>
  <c r="H604" i="3" s="1"/>
  <c r="H610" i="3" a="1"/>
  <c r="H610" i="3"/>
  <c r="H614" i="3" a="1"/>
  <c r="H614" i="3"/>
  <c r="H615" i="3" a="1"/>
  <c r="H615" i="3" s="1"/>
  <c r="H616" i="3" a="1"/>
  <c r="H616" i="3"/>
  <c r="H619" i="3" a="1"/>
  <c r="H619" i="3" s="1"/>
  <c r="H620" i="3" a="1"/>
  <c r="H620" i="3" s="1"/>
  <c r="H622" i="3" a="1"/>
  <c r="H622" i="3"/>
  <c r="H623" i="3" a="1"/>
  <c r="H623" i="3" s="1"/>
  <c r="H626" i="3" a="1"/>
  <c r="H626" i="3"/>
  <c r="H627" i="3" a="1"/>
  <c r="H627" i="3" s="1"/>
  <c r="H638" i="3" a="1"/>
  <c r="H638" i="3"/>
  <c r="H639" i="3" a="1"/>
  <c r="H639" i="3" s="1"/>
  <c r="H640" i="3" a="1"/>
  <c r="H640" i="3"/>
  <c r="H643" i="3" a="1"/>
  <c r="H643" i="3" s="1"/>
  <c r="H649" i="3" a="1"/>
  <c r="H649" i="3"/>
  <c r="H651" i="3" a="1"/>
  <c r="H651" i="3" s="1"/>
  <c r="H658" i="3" a="1"/>
  <c r="H658" i="3"/>
  <c r="H661" i="3" a="1"/>
  <c r="H661" i="3"/>
  <c r="H675" i="3" a="1"/>
  <c r="H675" i="3" s="1"/>
  <c r="H676" i="3" a="1"/>
  <c r="H676" i="3" s="1"/>
  <c r="H677" i="3" a="1"/>
  <c r="H677" i="3"/>
  <c r="H678" i="3" a="1"/>
  <c r="H678" i="3"/>
  <c r="H680" i="3" a="1"/>
  <c r="H680" i="3" s="1"/>
  <c r="H681" i="3" a="1"/>
  <c r="H681" i="3"/>
  <c r="H683" i="3" a="1"/>
  <c r="H683" i="3" s="1"/>
  <c r="H684" i="3" a="1"/>
  <c r="H684" i="3" s="1"/>
  <c r="H685" i="3" a="1"/>
  <c r="H685" i="3"/>
  <c r="H694" i="3" a="1"/>
  <c r="H694" i="3"/>
  <c r="H696" i="3" a="1"/>
  <c r="H696" i="3" s="1"/>
  <c r="H698" i="3" a="1"/>
  <c r="H698" i="3"/>
  <c r="H699" i="3" a="1"/>
  <c r="H699" i="3" s="1"/>
  <c r="H702" i="3" a="1"/>
  <c r="H702" i="3" s="1"/>
  <c r="H707" i="3" a="1"/>
  <c r="H707" i="3" s="1"/>
  <c r="H708" i="3" a="1"/>
  <c r="H708" i="3" s="1"/>
  <c r="H709" i="3" a="1"/>
  <c r="H709" i="3" s="1"/>
  <c r="H716" i="3" a="1"/>
  <c r="H716" i="3"/>
  <c r="H728" i="3" a="1"/>
  <c r="H728" i="3" s="1"/>
  <c r="H730" i="3" a="1"/>
  <c r="H730" i="3"/>
  <c r="H732" i="3" a="1"/>
  <c r="H732" i="3" s="1"/>
  <c r="H736" i="3" a="1"/>
  <c r="H736" i="3" s="1"/>
  <c r="H738" i="3" a="1"/>
  <c r="H738" i="3"/>
  <c r="H743" i="3" a="1"/>
  <c r="H743" i="3" s="1"/>
  <c r="H746" i="3" a="1"/>
  <c r="H746" i="3" s="1"/>
  <c r="H747" i="3" a="1"/>
  <c r="H747" i="3" s="1"/>
  <c r="H751" i="3" a="1"/>
  <c r="H751" i="3" s="1"/>
  <c r="H753" i="3" a="1"/>
  <c r="H753" i="3" s="1"/>
  <c r="H754" i="3" a="1"/>
  <c r="H754" i="3"/>
  <c r="H756" i="3" a="1"/>
  <c r="H756" i="3" s="1"/>
  <c r="H760" i="3" a="1"/>
  <c r="H760" i="3" s="1"/>
  <c r="H769" i="3" a="1"/>
  <c r="H769" i="3" s="1"/>
  <c r="H778" i="3" a="1"/>
  <c r="H778" i="3"/>
  <c r="H779" i="3" a="1"/>
  <c r="H779" i="3"/>
  <c r="H780" i="3" a="1"/>
  <c r="H780" i="3" s="1"/>
  <c r="H781" i="3" a="1"/>
  <c r="H781" i="3" s="1"/>
  <c r="H782" i="3" a="1"/>
  <c r="H782" i="3" s="1"/>
  <c r="H783" i="3" a="1"/>
  <c r="H783" i="3"/>
  <c r="H784" i="3" a="1"/>
  <c r="H784" i="3"/>
  <c r="H800" i="3" a="1"/>
  <c r="H800" i="3" s="1"/>
  <c r="H801" i="3" a="1"/>
  <c r="H801" i="3" s="1"/>
  <c r="H802" i="3" a="1"/>
  <c r="H802" i="3"/>
  <c r="H804" i="3" a="1"/>
  <c r="H804" i="3" s="1"/>
  <c r="H805" i="3" a="1"/>
  <c r="H805" i="3" s="1"/>
  <c r="H807" i="3" a="1"/>
  <c r="H807" i="3"/>
  <c r="H813" i="3" a="1"/>
  <c r="H813" i="3" s="1"/>
  <c r="H814" i="3" a="1"/>
  <c r="H814" i="3" s="1"/>
  <c r="H815" i="3" a="1"/>
  <c r="H815" i="3" s="1"/>
  <c r="H816" i="3" a="1"/>
  <c r="H816" i="3"/>
  <c r="H817" i="3" a="1"/>
  <c r="H817" i="3" s="1"/>
  <c r="H818" i="3" a="1"/>
  <c r="H818" i="3" s="1"/>
  <c r="H821" i="3" a="1"/>
  <c r="H821" i="3" s="1"/>
  <c r="H823" i="3" a="1"/>
  <c r="H823" i="3" s="1"/>
  <c r="H828" i="3" a="1"/>
  <c r="H828" i="3"/>
  <c r="H833" i="3" a="1"/>
  <c r="H833" i="3" s="1"/>
  <c r="H834" i="3" a="1"/>
  <c r="H834" i="3"/>
  <c r="H835" i="3" a="1"/>
  <c r="H835" i="3"/>
  <c r="H838" i="3" a="1"/>
  <c r="H838" i="3" s="1"/>
  <c r="H841" i="3" a="1"/>
  <c r="H841" i="3" s="1"/>
  <c r="H850" i="3" a="1"/>
  <c r="H850" i="3" s="1"/>
  <c r="H853" i="3" a="1"/>
  <c r="H853" i="3" s="1"/>
  <c r="H855" i="3" a="1"/>
  <c r="H855" i="3" s="1"/>
  <c r="H856" i="3" a="1"/>
  <c r="H856" i="3" s="1"/>
  <c r="H864" i="3" a="1"/>
  <c r="H864" i="3" s="1"/>
  <c r="E6" i="3" a="1"/>
  <c r="E6" i="3" s="1"/>
  <c r="E7" i="3" a="1"/>
  <c r="E7" i="3" s="1"/>
  <c r="E8" i="3" a="1"/>
  <c r="E8" i="3" s="1"/>
  <c r="E9" i="3" a="1"/>
  <c r="E9" i="3" s="1"/>
  <c r="E20" i="3" a="1"/>
  <c r="E20" i="3"/>
  <c r="E23" i="3" a="1"/>
  <c r="E23" i="3" s="1"/>
  <c r="E24" i="3" a="1"/>
  <c r="E24" i="3" s="1"/>
  <c r="E30" i="3" a="1"/>
  <c r="E30" i="3"/>
  <c r="E36" i="3" a="1"/>
  <c r="E36" i="3"/>
  <c r="E38" i="3" a="1"/>
  <c r="E38" i="3"/>
  <c r="E53" i="3" a="1"/>
  <c r="E53" i="3"/>
  <c r="E54" i="3" a="1"/>
  <c r="E54" i="3"/>
  <c r="E60" i="3" a="1"/>
  <c r="E60" i="3"/>
  <c r="E63" i="3" a="1"/>
  <c r="E63" i="3" s="1"/>
  <c r="E70" i="3" a="1"/>
  <c r="E70" i="3"/>
  <c r="E72" i="3" a="1"/>
  <c r="E72" i="3" s="1"/>
  <c r="E77" i="3" a="1"/>
  <c r="E77" i="3"/>
  <c r="E81" i="3" a="1"/>
  <c r="E81" i="3" s="1"/>
  <c r="E82" i="3" a="1"/>
  <c r="E82" i="3" s="1"/>
  <c r="E83" i="3" a="1"/>
  <c r="E83" i="3" s="1"/>
  <c r="E88" i="3" a="1"/>
  <c r="E88" i="3"/>
  <c r="E101" i="3" a="1"/>
  <c r="E101" i="3"/>
  <c r="E104" i="3" a="1"/>
  <c r="E104" i="3" s="1"/>
  <c r="E105" i="3" a="1"/>
  <c r="E105" i="3" s="1"/>
  <c r="E112" i="3" a="1"/>
  <c r="E112" i="3"/>
  <c r="E113" i="3" a="1"/>
  <c r="E113" i="3" s="1"/>
  <c r="E115" i="3" a="1"/>
  <c r="E115" i="3" s="1"/>
  <c r="E117" i="3" a="1"/>
  <c r="E117" i="3"/>
  <c r="E131" i="3" a="1"/>
  <c r="E131" i="3" s="1"/>
  <c r="E137" i="3" a="1"/>
  <c r="E137" i="3" s="1"/>
  <c r="E144" i="3" a="1"/>
  <c r="E144" i="3"/>
  <c r="E166" i="3" a="1"/>
  <c r="E166" i="3"/>
  <c r="E167" i="3" a="1"/>
  <c r="E167" i="3" s="1"/>
  <c r="E169" i="3" a="1"/>
  <c r="E169" i="3" s="1"/>
  <c r="E172" i="3" a="1"/>
  <c r="E172" i="3"/>
  <c r="E173" i="3" a="1"/>
  <c r="E173" i="3"/>
  <c r="E174" i="3" a="1"/>
  <c r="E174" i="3"/>
  <c r="E175" i="3" a="1"/>
  <c r="E175" i="3" s="1"/>
  <c r="E177" i="3" a="1"/>
  <c r="E177" i="3" s="1"/>
  <c r="E178" i="3" a="1"/>
  <c r="E178" i="3" s="1"/>
  <c r="E179" i="3" a="1"/>
  <c r="E179" i="3" s="1"/>
  <c r="E180" i="3" a="1"/>
  <c r="E180" i="3" s="1"/>
  <c r="E181" i="3" a="1"/>
  <c r="E181" i="3"/>
  <c r="E185" i="3" a="1"/>
  <c r="E185" i="3"/>
  <c r="E193" i="3" a="1"/>
  <c r="E193" i="3"/>
  <c r="E197" i="3" a="1"/>
  <c r="E197" i="3"/>
  <c r="E202" i="3" a="1"/>
  <c r="E202" i="3"/>
  <c r="E203" i="3" a="1"/>
  <c r="E203" i="3" s="1"/>
  <c r="E204" i="3" a="1"/>
  <c r="E204" i="3" s="1"/>
  <c r="E205" i="3" a="1"/>
  <c r="E205" i="3" s="1"/>
  <c r="E207" i="3" a="1"/>
  <c r="E207" i="3" s="1"/>
  <c r="E208" i="3" a="1"/>
  <c r="E208" i="3" s="1"/>
  <c r="E209" i="3" a="1"/>
  <c r="E209" i="3"/>
  <c r="E212" i="3" a="1"/>
  <c r="E212" i="3"/>
  <c r="E213" i="3" a="1"/>
  <c r="E213" i="3"/>
  <c r="E219" i="3" a="1"/>
  <c r="E219" i="3" s="1"/>
  <c r="E220" i="3" a="1"/>
  <c r="E220" i="3"/>
  <c r="E234" i="3" a="1"/>
  <c r="E234" i="3"/>
  <c r="E247" i="3" a="1"/>
  <c r="E247" i="3" s="1"/>
  <c r="E249" i="3" a="1"/>
  <c r="E249" i="3" s="1"/>
  <c r="E250" i="3" a="1"/>
  <c r="E250" i="3" s="1"/>
  <c r="E251" i="3" a="1"/>
  <c r="E251" i="3" s="1"/>
  <c r="E252" i="3" a="1"/>
  <c r="E252" i="3"/>
  <c r="E257" i="3" a="1"/>
  <c r="E257" i="3"/>
  <c r="E260" i="3" a="1"/>
  <c r="E260" i="3"/>
  <c r="E261" i="3" a="1"/>
  <c r="E261" i="3"/>
  <c r="E266" i="3" a="1"/>
  <c r="E266" i="3"/>
  <c r="E273" i="3" a="1"/>
  <c r="E273" i="3"/>
  <c r="E274" i="3" a="1"/>
  <c r="E274" i="3" s="1"/>
  <c r="E275" i="3" a="1"/>
  <c r="E275" i="3" s="1"/>
  <c r="E277" i="3" a="1"/>
  <c r="E277" i="3"/>
  <c r="E278" i="3" a="1"/>
  <c r="E278" i="3" s="1"/>
  <c r="E279" i="3" a="1"/>
  <c r="E279" i="3" s="1"/>
  <c r="E280" i="3" a="1"/>
  <c r="E280" i="3"/>
  <c r="E281" i="3" a="1"/>
  <c r="E281" i="3" s="1"/>
  <c r="E283" i="3" a="1"/>
  <c r="E283" i="3" s="1"/>
  <c r="E287" i="3" a="1"/>
  <c r="E287" i="3" s="1"/>
  <c r="E289" i="3" a="1"/>
  <c r="E289" i="3"/>
  <c r="E299" i="3" a="1"/>
  <c r="E299" i="3" s="1"/>
  <c r="E302" i="3" a="1"/>
  <c r="E302" i="3"/>
  <c r="E304" i="3" a="1"/>
  <c r="E304" i="3"/>
  <c r="E306" i="3" a="1"/>
  <c r="E306" i="3" s="1"/>
  <c r="E307" i="3" a="1"/>
  <c r="E307" i="3" s="1"/>
  <c r="E316" i="3" a="1"/>
  <c r="E316" i="3"/>
  <c r="E317" i="3" a="1"/>
  <c r="E317" i="3"/>
  <c r="E324" i="3" a="1"/>
  <c r="E324" i="3"/>
  <c r="E329" i="3" a="1"/>
  <c r="E329" i="3" s="1"/>
  <c r="E330" i="3" a="1"/>
  <c r="E330" i="3"/>
  <c r="E342" i="3" a="1"/>
  <c r="E342" i="3"/>
  <c r="E348" i="3" a="1"/>
  <c r="E348" i="3"/>
  <c r="E353" i="3" a="1"/>
  <c r="E353" i="3"/>
  <c r="E355" i="3" a="1"/>
  <c r="E355" i="3" s="1"/>
  <c r="E361" i="3" a="1"/>
  <c r="E361" i="3"/>
  <c r="E365" i="3" a="1"/>
  <c r="E365" i="3"/>
  <c r="E374" i="3" a="1"/>
  <c r="E374" i="3"/>
  <c r="E375" i="3" a="1"/>
  <c r="E375" i="3" s="1"/>
  <c r="E376" i="3" a="1"/>
  <c r="E376" i="3"/>
  <c r="E377" i="3" a="1"/>
  <c r="E377" i="3" s="1"/>
  <c r="E378" i="3" a="1"/>
  <c r="E378" i="3" s="1"/>
  <c r="E394" i="3" a="1"/>
  <c r="E394" i="3"/>
  <c r="E395" i="3" a="1"/>
  <c r="E395" i="3" s="1"/>
  <c r="E396" i="3" a="1"/>
  <c r="E396" i="3"/>
  <c r="E397" i="3" a="1"/>
  <c r="E397" i="3"/>
  <c r="E402" i="3" a="1"/>
  <c r="E402" i="3"/>
  <c r="E404" i="3" a="1"/>
  <c r="E404" i="3"/>
  <c r="E408" i="3" a="1"/>
  <c r="E408" i="3"/>
  <c r="E413" i="3" a="1"/>
  <c r="E413" i="3"/>
  <c r="E414" i="3" a="1"/>
  <c r="E414" i="3" s="1"/>
  <c r="E415" i="3" a="1"/>
  <c r="E415" i="3" s="1"/>
  <c r="E416" i="3" a="1"/>
  <c r="E416" i="3"/>
  <c r="E417" i="3" a="1"/>
  <c r="E417" i="3"/>
  <c r="E419" i="3" a="1"/>
  <c r="E419" i="3" s="1"/>
  <c r="E426" i="3" a="1"/>
  <c r="E426" i="3"/>
  <c r="E433" i="3" a="1"/>
  <c r="E433" i="3" s="1"/>
  <c r="E439" i="3" a="1"/>
  <c r="E439" i="3" s="1"/>
  <c r="E440" i="3" a="1"/>
  <c r="E440" i="3" s="1"/>
  <c r="E443" i="3" a="1"/>
  <c r="E443" i="3" s="1"/>
  <c r="E452" i="3" a="1"/>
  <c r="E452" i="3"/>
  <c r="E461" i="3" a="1"/>
  <c r="E461" i="3"/>
  <c r="E463" i="3" a="1"/>
  <c r="E463" i="3" s="1"/>
  <c r="E464" i="3" a="1"/>
  <c r="E464" i="3" s="1"/>
  <c r="E483" i="3" a="1"/>
  <c r="E483" i="3" s="1"/>
  <c r="E484" i="3" a="1"/>
  <c r="E484" i="3"/>
  <c r="E490" i="3" a="1"/>
  <c r="E490" i="3"/>
  <c r="E492" i="3" a="1"/>
  <c r="E492" i="3" s="1"/>
  <c r="E502" i="3" a="1"/>
  <c r="E502" i="3"/>
  <c r="E505" i="3" a="1"/>
  <c r="E505" i="3" s="1"/>
  <c r="E509" i="3" a="1"/>
  <c r="E509" i="3" s="1"/>
  <c r="F509" i="3" s="1"/>
  <c r="E510" i="3" a="1"/>
  <c r="E510" i="3" s="1"/>
  <c r="E518" i="3" a="1"/>
  <c r="E518" i="3"/>
  <c r="E519" i="3" a="1"/>
  <c r="E519" i="3" s="1"/>
  <c r="E524" i="3" a="1"/>
  <c r="E524" i="3" s="1"/>
  <c r="E526" i="3" a="1"/>
  <c r="E526" i="3"/>
  <c r="E527" i="3" a="1"/>
  <c r="E527" i="3" s="1"/>
  <c r="E531" i="3" a="1"/>
  <c r="E531" i="3" s="1"/>
  <c r="E532" i="3" a="1"/>
  <c r="E532" i="3" s="1"/>
  <c r="F532" i="3" s="1"/>
  <c r="E537" i="3" a="1"/>
  <c r="E537" i="3" s="1"/>
  <c r="E538" i="3" a="1"/>
  <c r="E538" i="3" s="1"/>
  <c r="E545" i="3" a="1"/>
  <c r="E545" i="3"/>
  <c r="E555" i="3" a="1"/>
  <c r="E555" i="3" s="1"/>
  <c r="E560" i="3" a="1"/>
  <c r="E560" i="3" s="1"/>
  <c r="F560" i="3" s="1"/>
  <c r="E561" i="3" a="1"/>
  <c r="E561" i="3" s="1"/>
  <c r="E573" i="3" a="1"/>
  <c r="E573" i="3" s="1"/>
  <c r="F573" i="3" s="1"/>
  <c r="E577" i="3" a="1"/>
  <c r="E577" i="3"/>
  <c r="E579" i="3" a="1"/>
  <c r="E579" i="3" s="1"/>
  <c r="E580" i="3" a="1"/>
  <c r="E580" i="3"/>
  <c r="E582" i="3" a="1"/>
  <c r="E582" i="3" s="1"/>
  <c r="F582" i="3" s="1"/>
  <c r="E589" i="3" a="1"/>
  <c r="E589" i="3"/>
  <c r="E591" i="3" a="1"/>
  <c r="E591" i="3" s="1"/>
  <c r="E599" i="3" a="1"/>
  <c r="E599" i="3" s="1"/>
  <c r="E600" i="3" a="1"/>
  <c r="E600" i="3"/>
  <c r="E604" i="3" a="1"/>
  <c r="E604" i="3"/>
  <c r="E610" i="3" a="1"/>
  <c r="E610" i="3" s="1"/>
  <c r="F610" i="3" s="1"/>
  <c r="E614" i="3" a="1"/>
  <c r="E614" i="3" s="1"/>
  <c r="F614" i="3" s="1"/>
  <c r="E615" i="3" a="1"/>
  <c r="E615" i="3" s="1"/>
  <c r="E616" i="3" a="1"/>
  <c r="E616" i="3" s="1"/>
  <c r="E619" i="3" a="1"/>
  <c r="E619" i="3" s="1"/>
  <c r="E620" i="3" a="1"/>
  <c r="E620" i="3"/>
  <c r="E622" i="3" a="1"/>
  <c r="E622" i="3"/>
  <c r="E623" i="3" a="1"/>
  <c r="E623" i="3" s="1"/>
  <c r="E626" i="3" a="1"/>
  <c r="E626" i="3"/>
  <c r="E627" i="3" a="1"/>
  <c r="E627" i="3" s="1"/>
  <c r="E638" i="3" a="1"/>
  <c r="E638" i="3" s="1"/>
  <c r="F638" i="3" s="1"/>
  <c r="E639" i="3" a="1"/>
  <c r="E639" i="3" s="1"/>
  <c r="E640" i="3" a="1"/>
  <c r="E640" i="3"/>
  <c r="E643" i="3" a="1"/>
  <c r="E643" i="3" s="1"/>
  <c r="E649" i="3" a="1"/>
  <c r="E649" i="3"/>
  <c r="E651" i="3" a="1"/>
  <c r="E651" i="3" s="1"/>
  <c r="E658" i="3" a="1"/>
  <c r="E658" i="3"/>
  <c r="E661" i="3" a="1"/>
  <c r="E661" i="3" s="1"/>
  <c r="F661" i="3" s="1"/>
  <c r="E675" i="3" a="1"/>
  <c r="E675" i="3" s="1"/>
  <c r="E676" i="3" a="1"/>
  <c r="E676" i="3"/>
  <c r="E677" i="3" a="1"/>
  <c r="E677" i="3"/>
  <c r="E678" i="3" a="1"/>
  <c r="E678" i="3"/>
  <c r="E680" i="3" a="1"/>
  <c r="E680" i="3" s="1"/>
  <c r="E681" i="3" a="1"/>
  <c r="E681" i="3"/>
  <c r="E683" i="3" a="1"/>
  <c r="E683" i="3" s="1"/>
  <c r="E684" i="3" a="1"/>
  <c r="E684" i="3" s="1"/>
  <c r="F684" i="3" s="1"/>
  <c r="E685" i="3" a="1"/>
  <c r="E685" i="3"/>
  <c r="E694" i="3" a="1"/>
  <c r="E694" i="3"/>
  <c r="E696" i="3" a="1"/>
  <c r="E696" i="3" s="1"/>
  <c r="F696" i="3" s="1"/>
  <c r="E698" i="3" a="1"/>
  <c r="E698" i="3" s="1"/>
  <c r="E699" i="3" a="1"/>
  <c r="E699" i="3" s="1"/>
  <c r="E702" i="3" a="1"/>
  <c r="E702" i="3" s="1"/>
  <c r="F702" i="3" s="1"/>
  <c r="E707" i="3" a="1"/>
  <c r="E707" i="3" s="1"/>
  <c r="E708" i="3" a="1"/>
  <c r="E708" i="3"/>
  <c r="E709" i="3" a="1"/>
  <c r="E709" i="3"/>
  <c r="E716" i="3" a="1"/>
  <c r="E716" i="3"/>
  <c r="E728" i="3" a="1"/>
  <c r="E728" i="3" s="1"/>
  <c r="F728" i="3" s="1"/>
  <c r="E730" i="3" a="1"/>
  <c r="E730" i="3" s="1"/>
  <c r="E732" i="3" a="1"/>
  <c r="E732" i="3"/>
  <c r="E736" i="3" a="1"/>
  <c r="E736" i="3"/>
  <c r="E738" i="3" a="1"/>
  <c r="E738" i="3" s="1"/>
  <c r="F738" i="3" s="1"/>
  <c r="E743" i="3" a="1"/>
  <c r="E743" i="3" s="1"/>
  <c r="F743" i="3" s="1"/>
  <c r="E746" i="3" a="1"/>
  <c r="E746" i="3" s="1"/>
  <c r="F746" i="3" s="1"/>
  <c r="E747" i="3" a="1"/>
  <c r="E747" i="3" s="1"/>
  <c r="E751" i="3" a="1"/>
  <c r="E751" i="3" s="1"/>
  <c r="E753" i="3" a="1"/>
  <c r="E753" i="3" s="1"/>
  <c r="E754" i="3" a="1"/>
  <c r="E754" i="3" s="1"/>
  <c r="F754" i="3" s="1"/>
  <c r="E756" i="3" a="1"/>
  <c r="E756" i="3" s="1"/>
  <c r="F756" i="3" s="1"/>
  <c r="E760" i="3" a="1"/>
  <c r="E760" i="3"/>
  <c r="F760" i="3" s="1"/>
  <c r="E769" i="3" a="1"/>
  <c r="E769" i="3"/>
  <c r="E778" i="3" a="1"/>
  <c r="E778" i="3"/>
  <c r="E779" i="3" a="1"/>
  <c r="E779" i="3" s="1"/>
  <c r="E780" i="3" a="1"/>
  <c r="E780" i="3" s="1"/>
  <c r="F780" i="3" s="1"/>
  <c r="E781" i="3" a="1"/>
  <c r="E781" i="3"/>
  <c r="E782" i="3" a="1"/>
  <c r="E782" i="3"/>
  <c r="E783" i="3" a="1"/>
  <c r="E783" i="3" s="1"/>
  <c r="F783" i="3" s="1"/>
  <c r="E784" i="3" a="1"/>
  <c r="E784" i="3" s="1"/>
  <c r="F784" i="3" s="1"/>
  <c r="E800" i="3" a="1"/>
  <c r="E800" i="3" s="1"/>
  <c r="F800" i="3" s="1"/>
  <c r="E801" i="3" a="1"/>
  <c r="E801" i="3"/>
  <c r="E802" i="3" a="1"/>
  <c r="E802" i="3" s="1"/>
  <c r="F802" i="3" s="1"/>
  <c r="E804" i="3" a="1"/>
  <c r="E804" i="3"/>
  <c r="E805" i="3" a="1"/>
  <c r="E805" i="3"/>
  <c r="F805" i="3" s="1"/>
  <c r="E807" i="3" a="1"/>
  <c r="E807" i="3" s="1"/>
  <c r="F807" i="3" s="1"/>
  <c r="E813" i="3" a="1"/>
  <c r="E813" i="3"/>
  <c r="E814" i="3" a="1"/>
  <c r="E814" i="3"/>
  <c r="E815" i="3" a="1"/>
  <c r="E815" i="3" s="1"/>
  <c r="E816" i="3" a="1"/>
  <c r="E816" i="3" s="1"/>
  <c r="F816" i="3" s="1"/>
  <c r="E817" i="3" a="1"/>
  <c r="E817" i="3" s="1"/>
  <c r="F817" i="3" s="1"/>
  <c r="E818" i="3" a="1"/>
  <c r="E818" i="3" s="1"/>
  <c r="F818" i="3" s="1"/>
  <c r="E821" i="3" a="1"/>
  <c r="E821" i="3" s="1"/>
  <c r="F821" i="3" s="1"/>
  <c r="E823" i="3" a="1"/>
  <c r="E823" i="3" s="1"/>
  <c r="E828" i="3" a="1"/>
  <c r="E828" i="3"/>
  <c r="E833" i="3" a="1"/>
  <c r="E833" i="3" s="1"/>
  <c r="F833" i="3" s="1"/>
  <c r="E834" i="3" a="1"/>
  <c r="E834" i="3" s="1"/>
  <c r="F834" i="3" s="1"/>
  <c r="E835" i="3" a="1"/>
  <c r="E835" i="3" s="1"/>
  <c r="F835" i="3" s="1"/>
  <c r="E838" i="3" a="1"/>
  <c r="E838" i="3"/>
  <c r="F838" i="3" s="1"/>
  <c r="E841" i="3" a="1"/>
  <c r="E841" i="3" s="1"/>
  <c r="F841" i="3" s="1"/>
  <c r="E850" i="3" a="1"/>
  <c r="E850" i="3" s="1"/>
  <c r="F850" i="3" s="1"/>
  <c r="E853" i="3" a="1"/>
  <c r="E853" i="3" s="1"/>
  <c r="F853" i="3" s="1"/>
  <c r="E855" i="3" a="1"/>
  <c r="E855" i="3" s="1"/>
  <c r="E856" i="3" a="1"/>
  <c r="E856" i="3" s="1"/>
  <c r="F856" i="3" s="1"/>
  <c r="E864" i="3" a="1"/>
  <c r="E864" i="3" s="1"/>
  <c r="F864" i="3" s="1"/>
  <c r="F855" i="3"/>
  <c r="F828" i="3"/>
  <c r="F823" i="3"/>
  <c r="F815" i="3"/>
  <c r="F814" i="3"/>
  <c r="F813" i="3"/>
  <c r="F804" i="3"/>
  <c r="F801" i="3"/>
  <c r="F782" i="3"/>
  <c r="F781" i="3"/>
  <c r="F779" i="3"/>
  <c r="F778" i="3"/>
  <c r="F769" i="3"/>
  <c r="F753" i="3"/>
  <c r="F751" i="3"/>
  <c r="F747" i="3"/>
  <c r="F736" i="3"/>
  <c r="F732" i="3"/>
  <c r="F730" i="3"/>
  <c r="F716" i="3"/>
  <c r="F709" i="3"/>
  <c r="F708" i="3"/>
  <c r="F707" i="3"/>
  <c r="F699" i="3"/>
  <c r="F698" i="3"/>
  <c r="F694" i="3"/>
  <c r="F685" i="3"/>
  <c r="F683" i="3"/>
  <c r="F681" i="3"/>
  <c r="F680" i="3"/>
  <c r="F678" i="3"/>
  <c r="F677" i="3"/>
  <c r="F676" i="3"/>
  <c r="F675" i="3"/>
  <c r="F658" i="3"/>
  <c r="F651" i="3"/>
  <c r="F649" i="3"/>
  <c r="F643" i="3"/>
  <c r="F640" i="3"/>
  <c r="F639" i="3"/>
  <c r="F627" i="3"/>
  <c r="F626" i="3"/>
  <c r="F623" i="3"/>
  <c r="F622" i="3"/>
  <c r="F620" i="3"/>
  <c r="F619" i="3"/>
  <c r="F616" i="3"/>
  <c r="F615" i="3"/>
  <c r="F604" i="3"/>
  <c r="F600" i="3"/>
  <c r="F599" i="3"/>
  <c r="F591" i="3"/>
  <c r="F589" i="3"/>
  <c r="F580" i="3"/>
  <c r="F579" i="3"/>
  <c r="F577" i="3"/>
  <c r="F561" i="3"/>
  <c r="F555" i="3"/>
  <c r="F545" i="3"/>
  <c r="F538" i="3"/>
  <c r="F537" i="3"/>
  <c r="F531" i="3"/>
  <c r="F527" i="3"/>
  <c r="F526" i="3"/>
  <c r="F524" i="3"/>
  <c r="F519" i="3"/>
  <c r="F518" i="3"/>
  <c r="F510" i="3"/>
  <c r="F505" i="3"/>
  <c r="F502" i="3"/>
  <c r="F492" i="3"/>
  <c r="F490" i="3"/>
  <c r="F484" i="3"/>
  <c r="F483" i="3"/>
  <c r="F464" i="3"/>
  <c r="F463" i="3"/>
  <c r="F461" i="3"/>
  <c r="F452" i="3"/>
  <c r="F443" i="3"/>
  <c r="F440" i="3"/>
  <c r="F439" i="3"/>
  <c r="F433" i="3"/>
  <c r="F426" i="3"/>
  <c r="F419" i="3"/>
  <c r="F417" i="3"/>
  <c r="F416" i="3"/>
  <c r="F415" i="3"/>
  <c r="F414" i="3"/>
  <c r="F413" i="3"/>
  <c r="F408" i="3"/>
  <c r="F404" i="3"/>
  <c r="F402" i="3"/>
  <c r="F397" i="3"/>
  <c r="F396" i="3"/>
  <c r="F395" i="3"/>
  <c r="F394" i="3"/>
  <c r="F378" i="3"/>
  <c r="F377" i="3"/>
  <c r="F376" i="3"/>
  <c r="F375" i="3"/>
  <c r="F374" i="3"/>
  <c r="F365" i="3"/>
  <c r="F361" i="3"/>
  <c r="F355" i="3"/>
  <c r="F353" i="3"/>
  <c r="F348" i="3"/>
  <c r="F342" i="3"/>
  <c r="F330" i="3"/>
  <c r="F329" i="3"/>
  <c r="F324" i="3"/>
  <c r="F317" i="3"/>
  <c r="F316" i="3"/>
  <c r="F307" i="3"/>
  <c r="F306" i="3"/>
  <c r="F304" i="3"/>
  <c r="F302" i="3"/>
  <c r="F299" i="3"/>
  <c r="F289" i="3"/>
  <c r="F287" i="3"/>
  <c r="F283" i="3"/>
  <c r="F281" i="3"/>
  <c r="F280" i="3"/>
  <c r="F279" i="3"/>
  <c r="F278" i="3"/>
  <c r="F277" i="3"/>
  <c r="F275" i="3"/>
  <c r="F274" i="3"/>
  <c r="F273" i="3"/>
  <c r="F266" i="3"/>
  <c r="F261" i="3"/>
  <c r="F260" i="3"/>
  <c r="F257" i="3"/>
  <c r="F252" i="3"/>
  <c r="F251" i="3"/>
  <c r="F250" i="3"/>
  <c r="F249" i="3"/>
  <c r="F247" i="3"/>
  <c r="F234" i="3"/>
  <c r="F220" i="3"/>
  <c r="F219" i="3"/>
  <c r="F213" i="3"/>
  <c r="F212" i="3"/>
  <c r="F209" i="3"/>
  <c r="F208" i="3"/>
  <c r="F207" i="3"/>
  <c r="F205" i="3"/>
  <c r="F204" i="3"/>
  <c r="F203" i="3"/>
  <c r="F202" i="3"/>
  <c r="F197" i="3"/>
  <c r="F193" i="3"/>
  <c r="F185" i="3"/>
  <c r="F181" i="3"/>
  <c r="F180" i="3"/>
  <c r="F179" i="3"/>
  <c r="F178" i="3"/>
  <c r="F177" i="3"/>
  <c r="F175" i="3"/>
  <c r="F174" i="3"/>
  <c r="F173" i="3"/>
  <c r="F172" i="3"/>
  <c r="F169" i="3"/>
  <c r="F167" i="3"/>
  <c r="F166" i="3"/>
  <c r="F144" i="3"/>
  <c r="F137" i="3"/>
  <c r="F131" i="3"/>
  <c r="F117" i="3"/>
  <c r="F115" i="3"/>
  <c r="F113" i="3"/>
  <c r="F112" i="3"/>
  <c r="F105" i="3"/>
  <c r="F104" i="3"/>
  <c r="F101" i="3"/>
  <c r="F88" i="3"/>
  <c r="F83" i="3"/>
  <c r="F82" i="3"/>
  <c r="F81" i="3"/>
  <c r="F77" i="3"/>
  <c r="F72" i="3"/>
  <c r="F70" i="3"/>
  <c r="F63" i="3"/>
  <c r="F60" i="3"/>
  <c r="F54" i="3"/>
  <c r="F53" i="3"/>
  <c r="F38" i="3"/>
  <c r="F36" i="3"/>
  <c r="F30" i="3"/>
  <c r="F24" i="3"/>
  <c r="F23" i="3"/>
  <c r="F20" i="3"/>
  <c r="F9" i="3"/>
  <c r="F8" i="3"/>
  <c r="F7" i="3"/>
  <c r="F6" i="3"/>
  <c r="F7" i="1"/>
  <c r="F8" i="1"/>
  <c r="F9" i="1"/>
  <c r="F20" i="1"/>
  <c r="F23" i="1"/>
  <c r="F24" i="1"/>
  <c r="F30" i="1"/>
  <c r="F36" i="1"/>
  <c r="F38" i="1"/>
  <c r="F53" i="1"/>
  <c r="F54" i="1"/>
  <c r="F60" i="1"/>
  <c r="F63" i="1"/>
  <c r="F70" i="1"/>
  <c r="F72" i="1"/>
  <c r="F77" i="1"/>
  <c r="F81" i="1"/>
  <c r="F82" i="1"/>
  <c r="F83" i="1"/>
  <c r="F88" i="1"/>
  <c r="F101" i="1"/>
  <c r="F104" i="1"/>
  <c r="F105" i="1"/>
  <c r="F112" i="1"/>
  <c r="F113" i="1"/>
  <c r="F115" i="1"/>
  <c r="F117" i="1"/>
  <c r="F131" i="1"/>
  <c r="F137" i="1"/>
  <c r="F144" i="1"/>
  <c r="F166" i="1"/>
  <c r="F167" i="1"/>
  <c r="F169" i="1"/>
  <c r="F172" i="1"/>
  <c r="F173" i="1"/>
  <c r="F174" i="1"/>
  <c r="F175" i="1"/>
  <c r="F177" i="1"/>
  <c r="F178" i="1"/>
  <c r="F179" i="1"/>
  <c r="F180" i="1"/>
  <c r="F181" i="1"/>
  <c r="F185" i="1"/>
  <c r="F193" i="1"/>
  <c r="F197" i="1"/>
  <c r="F202" i="1"/>
  <c r="F203" i="1"/>
  <c r="F204" i="1"/>
  <c r="F205" i="1"/>
  <c r="F207" i="1"/>
  <c r="F208" i="1"/>
  <c r="F209" i="1"/>
  <c r="F212" i="1"/>
  <c r="F213" i="1"/>
  <c r="F219" i="1"/>
  <c r="F220" i="1"/>
  <c r="F234" i="1"/>
  <c r="F247" i="1"/>
  <c r="F249" i="1"/>
  <c r="F250" i="1"/>
  <c r="F251" i="1"/>
  <c r="F252" i="1"/>
  <c r="F257" i="1"/>
  <c r="F260" i="1"/>
  <c r="F261" i="1"/>
  <c r="F266" i="1"/>
  <c r="F273" i="1"/>
  <c r="F274" i="1"/>
  <c r="F275" i="1"/>
  <c r="F277" i="1"/>
  <c r="F278" i="1"/>
  <c r="F279" i="1"/>
  <c r="F280" i="1"/>
  <c r="F281" i="1"/>
  <c r="F283" i="1"/>
  <c r="F287" i="1"/>
  <c r="F289" i="1"/>
  <c r="F299" i="1"/>
  <c r="F302" i="1"/>
  <c r="F304" i="1"/>
  <c r="F306" i="1"/>
  <c r="F307" i="1"/>
  <c r="F316" i="1"/>
  <c r="F317" i="1"/>
  <c r="F324" i="1"/>
  <c r="F329" i="1"/>
  <c r="F330" i="1"/>
  <c r="F342" i="1"/>
  <c r="F348" i="1"/>
  <c r="F353" i="1"/>
  <c r="F355" i="1"/>
  <c r="F361" i="1"/>
  <c r="F365" i="1"/>
  <c r="F374" i="1"/>
  <c r="F375" i="1"/>
  <c r="F376" i="1"/>
  <c r="F377" i="1"/>
  <c r="F378" i="1"/>
  <c r="F394" i="1"/>
  <c r="F395" i="1"/>
  <c r="F396" i="1"/>
  <c r="F397" i="1"/>
  <c r="F402" i="1"/>
  <c r="F404" i="1"/>
  <c r="F408" i="1"/>
  <c r="F413" i="1"/>
  <c r="F414" i="1"/>
  <c r="F415" i="1"/>
  <c r="F416" i="1"/>
  <c r="F417" i="1"/>
  <c r="F419" i="1"/>
  <c r="F426" i="1"/>
  <c r="F433" i="1"/>
  <c r="F439" i="1"/>
  <c r="F440" i="1"/>
  <c r="F443" i="1"/>
  <c r="F452" i="1"/>
  <c r="F461" i="1"/>
  <c r="F463" i="1"/>
  <c r="F464" i="1"/>
  <c r="F483" i="1"/>
  <c r="F484" i="1"/>
  <c r="F490" i="1"/>
  <c r="F492" i="1"/>
  <c r="F502" i="1"/>
  <c r="F505" i="1"/>
  <c r="F509" i="1"/>
  <c r="F510" i="1"/>
  <c r="F518" i="1"/>
  <c r="F524" i="1"/>
  <c r="F526" i="1"/>
  <c r="F532" i="1"/>
  <c r="F537" i="1"/>
  <c r="F538" i="1"/>
  <c r="F545" i="1"/>
  <c r="F560" i="1"/>
  <c r="F561" i="1"/>
  <c r="F573" i="1"/>
  <c r="F577" i="1"/>
  <c r="F580" i="1"/>
  <c r="F582" i="1"/>
  <c r="F589" i="1"/>
  <c r="F600" i="1"/>
  <c r="F604" i="1"/>
  <c r="F616" i="1"/>
  <c r="F620" i="1"/>
  <c r="F640" i="1"/>
  <c r="F649" i="1"/>
  <c r="F661" i="1"/>
  <c r="F676" i="1"/>
  <c r="F677" i="1"/>
  <c r="F680" i="1"/>
  <c r="F681" i="1"/>
  <c r="F684" i="1"/>
  <c r="F685" i="1"/>
  <c r="F696" i="1"/>
  <c r="F707" i="1"/>
  <c r="F708" i="1"/>
  <c r="F716" i="1"/>
  <c r="F728" i="1"/>
  <c r="F730" i="1"/>
  <c r="F732" i="1"/>
  <c r="F736" i="1"/>
  <c r="F738" i="1"/>
  <c r="F746" i="1"/>
  <c r="F747" i="1"/>
  <c r="F753" i="1"/>
  <c r="F754" i="1"/>
  <c r="F756" i="1"/>
  <c r="F760" i="1"/>
  <c r="F769" i="1"/>
  <c r="F778" i="1"/>
  <c r="F779" i="1"/>
  <c r="F780" i="1"/>
  <c r="F782" i="1"/>
  <c r="F784" i="1"/>
  <c r="F800" i="1"/>
  <c r="F801" i="1"/>
  <c r="F802" i="1"/>
  <c r="F804" i="1"/>
  <c r="F805" i="1"/>
  <c r="F814" i="1"/>
  <c r="F816" i="1"/>
  <c r="F817" i="1"/>
  <c r="F818" i="1"/>
  <c r="F823" i="1"/>
  <c r="F828" i="1"/>
  <c r="F833" i="1"/>
  <c r="F834" i="1"/>
  <c r="F835" i="1"/>
  <c r="F841" i="1"/>
  <c r="F850" i="1"/>
  <c r="F855" i="1"/>
  <c r="F856" i="1"/>
  <c r="F864" i="1"/>
  <c r="F6" i="1"/>
  <c r="G3" i="5" a="1"/>
  <c r="G7" i="5" a="1"/>
  <c r="G11" i="5" a="1"/>
  <c r="G15" i="5" a="1"/>
  <c r="G19" i="5" a="1"/>
  <c r="G23" i="5" a="1"/>
  <c r="G27" i="5" a="1"/>
  <c r="G31" i="5" a="1"/>
  <c r="G35" i="5" a="1"/>
  <c r="G39" i="5" a="1"/>
  <c r="G43" i="5" a="1"/>
  <c r="G47" i="5" a="1"/>
  <c r="G51" i="5" a="1"/>
  <c r="G55" i="5" a="1"/>
  <c r="G59" i="5" a="1"/>
  <c r="G63" i="5" a="1"/>
  <c r="G67" i="5" a="1"/>
  <c r="G71" i="5" a="1"/>
  <c r="G75" i="5" a="1"/>
  <c r="G79" i="5" a="1"/>
  <c r="G83" i="5" a="1"/>
  <c r="G87" i="5" a="1"/>
  <c r="G91" i="5" a="1"/>
  <c r="G95" i="5" a="1"/>
  <c r="G99" i="5" a="1"/>
  <c r="G103" i="5" a="1"/>
  <c r="G107" i="5" a="1"/>
  <c r="G111" i="5" a="1"/>
  <c r="G115" i="5" a="1"/>
  <c r="G119" i="5" a="1"/>
  <c r="G123" i="5" a="1"/>
  <c r="G127" i="5" a="1"/>
  <c r="G131" i="5" a="1"/>
  <c r="G135" i="5" a="1"/>
  <c r="G139" i="5" a="1"/>
  <c r="G143" i="5" a="1"/>
  <c r="G147" i="5" a="1"/>
  <c r="G151" i="5" a="1"/>
  <c r="G155" i="5" a="1"/>
  <c r="G159" i="5" a="1"/>
  <c r="G163" i="5" a="1"/>
  <c r="G167" i="5" a="1"/>
  <c r="G171" i="5" a="1"/>
  <c r="G175" i="5" a="1"/>
  <c r="G179" i="5" a="1"/>
  <c r="G183" i="5" a="1"/>
  <c r="G187" i="5" a="1"/>
  <c r="G191" i="5" a="1"/>
  <c r="G195" i="5" a="1"/>
  <c r="G199" i="5" a="1"/>
  <c r="G203" i="5" a="1"/>
  <c r="G207" i="5" a="1"/>
  <c r="G211" i="5" a="1"/>
  <c r="G215" i="5" a="1"/>
  <c r="G219" i="5" a="1"/>
  <c r="G223" i="5" a="1"/>
  <c r="G227" i="5" a="1"/>
  <c r="G231" i="5" a="1"/>
  <c r="G235" i="5" a="1"/>
  <c r="G239" i="5" a="1"/>
  <c r="G243" i="5" a="1"/>
  <c r="G247" i="5" a="1"/>
  <c r="G251" i="5" a="1"/>
  <c r="G255" i="5" a="1"/>
  <c r="G259" i="5" a="1"/>
  <c r="G263" i="5" a="1"/>
  <c r="G267" i="5" a="1"/>
  <c r="G271" i="5" a="1"/>
  <c r="G275" i="5" a="1"/>
  <c r="G279" i="5" a="1"/>
  <c r="G283" i="5" a="1"/>
  <c r="G287" i="5" a="1"/>
  <c r="G291" i="5" a="1"/>
  <c r="G295" i="5" a="1"/>
  <c r="G299" i="5" a="1"/>
  <c r="G303" i="5" a="1"/>
  <c r="G307" i="5" a="1"/>
  <c r="G311" i="5" a="1"/>
  <c r="G315" i="5" a="1"/>
  <c r="G319" i="5" a="1"/>
  <c r="G4" i="5" a="1"/>
  <c r="G5" i="5" a="1"/>
  <c r="G325" i="5" a="1"/>
  <c r="G334" i="5" a="1"/>
  <c r="G343" i="5" a="1"/>
  <c r="G347" i="5" a="1"/>
  <c r="G351" i="5" a="1"/>
  <c r="G355" i="5" a="1"/>
  <c r="G359" i="5" a="1"/>
  <c r="G363" i="5" a="1"/>
  <c r="G367" i="5" a="1"/>
  <c r="G371" i="5" a="1"/>
  <c r="G375" i="5" a="1"/>
  <c r="G379" i="5" a="1"/>
  <c r="G383" i="5" a="1"/>
  <c r="G387" i="5" a="1"/>
  <c r="G391" i="5" a="1"/>
  <c r="G395" i="5" a="1"/>
  <c r="G399" i="5" a="1"/>
  <c r="G403" i="5" a="1"/>
  <c r="G407" i="5" a="1"/>
  <c r="G411" i="5" a="1"/>
  <c r="G415" i="5" a="1"/>
  <c r="G419" i="5" a="1"/>
  <c r="G423" i="5" a="1"/>
  <c r="G427" i="5" a="1"/>
  <c r="G431" i="5" a="1"/>
  <c r="G435" i="5" a="1"/>
  <c r="G439" i="5" a="1"/>
  <c r="G443" i="5" a="1"/>
  <c r="G447" i="5" a="1"/>
  <c r="G451" i="5" a="1"/>
  <c r="G455" i="5" a="1"/>
  <c r="G459" i="5" a="1"/>
  <c r="G463" i="5" a="1"/>
  <c r="G467" i="5" a="1"/>
  <c r="G6" i="5" a="1"/>
  <c r="G12" i="5" a="1"/>
  <c r="G17" i="5" a="1"/>
  <c r="G22" i="5" a="1"/>
  <c r="G28" i="5" a="1"/>
  <c r="G33" i="5" a="1"/>
  <c r="G38" i="5" a="1"/>
  <c r="G44" i="5" a="1"/>
  <c r="G49" i="5" a="1"/>
  <c r="G54" i="5" a="1"/>
  <c r="G60" i="5" a="1"/>
  <c r="G65" i="5" a="1"/>
  <c r="G70" i="5" a="1"/>
  <c r="G76" i="5" a="1"/>
  <c r="G81" i="5" a="1"/>
  <c r="G86" i="5" a="1"/>
  <c r="G92" i="5" a="1"/>
  <c r="G97" i="5" a="1"/>
  <c r="G102" i="5" a="1"/>
  <c r="G108" i="5" a="1"/>
  <c r="G113" i="5" a="1"/>
  <c r="G118" i="5" a="1"/>
  <c r="G124" i="5" a="1"/>
  <c r="G129" i="5" a="1"/>
  <c r="G134" i="5" a="1"/>
  <c r="G8" i="5" a="1"/>
  <c r="G16" i="5" a="1"/>
  <c r="G25" i="5" a="1"/>
  <c r="G34" i="5" a="1"/>
  <c r="G58" i="5" a="1"/>
  <c r="G68" i="5" a="1"/>
  <c r="G77" i="5" a="1"/>
  <c r="G101" i="5" a="1"/>
  <c r="G110" i="5" a="1"/>
  <c r="G120" i="5" a="1"/>
  <c r="G150" i="5" a="1"/>
  <c r="G172" i="5" a="1"/>
  <c r="G193" i="5" a="1"/>
  <c r="G214" i="5" a="1"/>
  <c r="G236" i="5" a="1"/>
  <c r="G257" i="5" a="1"/>
  <c r="G278" i="5" a="1"/>
  <c r="G285" i="5" a="1"/>
  <c r="G297" i="5" a="1"/>
  <c r="G309" i="5" a="1"/>
  <c r="G316" i="5" a="1"/>
  <c r="G332" i="5" a="1"/>
  <c r="G337" i="5" a="1"/>
  <c r="G342" i="5" a="1"/>
  <c r="G356" i="5" a="1"/>
  <c r="G365" i="5" a="1"/>
  <c r="G374" i="5" a="1"/>
  <c r="G388" i="5" a="1"/>
  <c r="G397" i="5" a="1"/>
  <c r="G406" i="5" a="1"/>
  <c r="G420" i="5" a="1"/>
  <c r="G429" i="5" a="1"/>
  <c r="G438" i="5" a="1"/>
  <c r="G452" i="5" a="1"/>
  <c r="G461" i="5" a="1"/>
  <c r="G470" i="5" a="1"/>
  <c r="G474" i="5" a="1"/>
  <c r="G478" i="5" a="1"/>
  <c r="G482" i="5" a="1"/>
  <c r="G486" i="5" a="1"/>
  <c r="G490" i="5" a="1"/>
  <c r="G494" i="5" a="1"/>
  <c r="G498" i="5" a="1"/>
  <c r="G502" i="5" a="1"/>
  <c r="G506" i="5" a="1"/>
  <c r="G510" i="5" a="1"/>
  <c r="G514" i="5" a="1"/>
  <c r="G518" i="5" a="1"/>
  <c r="G522" i="5" a="1"/>
  <c r="G526" i="5" a="1"/>
  <c r="G530" i="5" a="1"/>
  <c r="G534" i="5" a="1"/>
  <c r="G538" i="5" a="1"/>
  <c r="G542" i="5" a="1"/>
  <c r="G546" i="5" a="1"/>
  <c r="G550" i="5" a="1"/>
  <c r="G554" i="5" a="1"/>
  <c r="G558" i="5" a="1"/>
  <c r="G562" i="5" a="1"/>
  <c r="G566" i="5" a="1"/>
  <c r="G570" i="5" a="1"/>
  <c r="G574" i="5" a="1"/>
  <c r="G578" i="5" a="1"/>
  <c r="G582" i="5" a="1"/>
  <c r="G586" i="5" a="1"/>
  <c r="G590" i="5" a="1"/>
  <c r="G594" i="5" a="1"/>
  <c r="G598" i="5" a="1"/>
  <c r="G602" i="5" a="1"/>
  <c r="G606" i="5" a="1"/>
  <c r="G610" i="5" a="1"/>
  <c r="G614" i="5" a="1"/>
  <c r="G618" i="5" a="1"/>
  <c r="G622" i="5" a="1"/>
  <c r="G626" i="5" a="1"/>
  <c r="G630" i="5" a="1"/>
  <c r="G634" i="5" a="1"/>
  <c r="G9" i="5" a="1"/>
  <c r="G18" i="5" a="1"/>
  <c r="G42" i="5" a="1"/>
  <c r="G52" i="5" a="1"/>
  <c r="G61" i="5" a="1"/>
  <c r="G85" i="5" a="1"/>
  <c r="G94" i="5" a="1"/>
  <c r="G104" i="5" a="1"/>
  <c r="G128" i="5" a="1"/>
  <c r="G137" i="5" a="1"/>
  <c r="G144" i="5" a="1"/>
  <c r="G152" i="5" a="1"/>
  <c r="G158" i="5" a="1"/>
  <c r="G165" i="5" a="1"/>
  <c r="G173" i="5" a="1"/>
  <c r="G180" i="5" a="1"/>
  <c r="G26" i="5" a="1"/>
  <c r="G36" i="5" a="1"/>
  <c r="G45" i="5" a="1"/>
  <c r="G69" i="5" a="1"/>
  <c r="G78" i="5" a="1"/>
  <c r="G88" i="5" a="1"/>
  <c r="G112" i="5" a="1"/>
  <c r="G121" i="5" a="1"/>
  <c r="G130" i="5" a="1"/>
  <c r="G145" i="5" a="1"/>
  <c r="G166" i="5" a="1"/>
  <c r="G188" i="5" a="1"/>
  <c r="G10" i="5" a="1"/>
  <c r="G20" i="5" a="1"/>
  <c r="G29" i="5" a="1"/>
  <c r="G53" i="5" a="1"/>
  <c r="G62" i="5" a="1"/>
  <c r="G72" i="5" a="1"/>
  <c r="G96" i="5" a="1"/>
  <c r="G105" i="5" a="1"/>
  <c r="G114" i="5" a="1"/>
  <c r="G138" i="5" a="1"/>
  <c r="G146" i="5" a="1"/>
  <c r="G153" i="5" a="1"/>
  <c r="G160" i="5" a="1"/>
  <c r="G168" i="5" a="1"/>
  <c r="G174" i="5" a="1"/>
  <c r="G181" i="5" a="1"/>
  <c r="G189" i="5" a="1"/>
  <c r="G196" i="5" a="1"/>
  <c r="G202" i="5" a="1"/>
  <c r="G210" i="5" a="1"/>
  <c r="G217" i="5" a="1"/>
  <c r="G224" i="5" a="1"/>
  <c r="G232" i="5" a="1"/>
  <c r="G238" i="5" a="1"/>
  <c r="G245" i="5" a="1"/>
  <c r="G253" i="5" a="1"/>
  <c r="G260" i="5" a="1"/>
  <c r="G266" i="5" a="1"/>
  <c r="G274" i="5" a="1"/>
  <c r="G281" i="5" a="1"/>
  <c r="G293" i="5" a="1"/>
  <c r="G300" i="5" a="1"/>
  <c r="G312" i="5" a="1"/>
  <c r="G323" i="5" a="1"/>
  <c r="G339" i="5" a="1"/>
  <c r="G344" i="5" a="1"/>
  <c r="G353" i="5" a="1"/>
  <c r="G362" i="5" a="1"/>
  <c r="G376" i="5" a="1"/>
  <c r="G385" i="5" a="1"/>
  <c r="G394" i="5" a="1"/>
  <c r="G408" i="5" a="1"/>
  <c r="G417" i="5" a="1"/>
  <c r="G426" i="5" a="1"/>
  <c r="G440" i="5" a="1"/>
  <c r="G449" i="5" a="1"/>
  <c r="G458" i="5" a="1"/>
  <c r="G13" i="5" a="1"/>
  <c r="G37" i="5" a="1"/>
  <c r="G46" i="5" a="1"/>
  <c r="G56" i="5" a="1"/>
  <c r="G80" i="5" a="1"/>
  <c r="G89" i="5" a="1"/>
  <c r="G98" i="5" a="1"/>
  <c r="G122" i="5" a="1"/>
  <c r="G132" i="5" a="1"/>
  <c r="G140" i="5" a="1"/>
  <c r="G161" i="5" a="1"/>
  <c r="G182" i="5" a="1"/>
  <c r="G204" i="5" a="1"/>
  <c r="G225" i="5" a="1"/>
  <c r="G246" i="5" a="1"/>
  <c r="G268" i="5" a="1"/>
  <c r="G288" i="5" a="1"/>
  <c r="G294" i="5" a="1"/>
  <c r="G306" i="5" a="1"/>
  <c r="G318" i="5" a="1"/>
  <c r="G324" i="5" a="1"/>
  <c r="G329" i="5" a="1"/>
  <c r="G340" i="5" a="1"/>
  <c r="G349" i="5" a="1"/>
  <c r="G358" i="5" a="1"/>
  <c r="G372" i="5" a="1"/>
  <c r="G381" i="5" a="1"/>
  <c r="G390" i="5" a="1"/>
  <c r="G404" i="5" a="1"/>
  <c r="G413" i="5" a="1"/>
  <c r="G422" i="5" a="1"/>
  <c r="G436" i="5" a="1"/>
  <c r="G445" i="5" a="1"/>
  <c r="G454" i="5" a="1"/>
  <c r="G468" i="5" a="1"/>
  <c r="G472" i="5" a="1"/>
  <c r="G476" i="5" a="1"/>
  <c r="G480" i="5" a="1"/>
  <c r="G484" i="5" a="1"/>
  <c r="G488" i="5" a="1"/>
  <c r="G492" i="5" a="1"/>
  <c r="G496" i="5" a="1"/>
  <c r="G500" i="5" a="1"/>
  <c r="G504" i="5" a="1"/>
  <c r="G508" i="5" a="1"/>
  <c r="G512" i="5" a="1"/>
  <c r="G516" i="5" a="1"/>
  <c r="G520" i="5" a="1"/>
  <c r="G524" i="5" a="1"/>
  <c r="G528" i="5" a="1"/>
  <c r="G532" i="5" a="1"/>
  <c r="G536" i="5" a="1"/>
  <c r="G540" i="5" a="1"/>
  <c r="G544" i="5" a="1"/>
  <c r="G548" i="5" a="1"/>
  <c r="G552" i="5" a="1"/>
  <c r="G32" i="5" a="1"/>
  <c r="G57" i="5" a="1"/>
  <c r="G82" i="5" a="1"/>
  <c r="G148" i="5" a="1"/>
  <c r="G164" i="5" a="1"/>
  <c r="G198" i="5" a="1"/>
  <c r="G212" i="5" a="1"/>
  <c r="G222" i="5" a="1"/>
  <c r="G256" i="5" a="1"/>
  <c r="G269" i="5" a="1"/>
  <c r="G280" i="5" a="1"/>
  <c r="G298" i="5" a="1"/>
  <c r="G327" i="5" a="1"/>
  <c r="G336" i="5" a="1"/>
  <c r="G373" i="5" a="1"/>
  <c r="G380" i="5" a="1"/>
  <c r="G402" i="5" a="1"/>
  <c r="G424" i="5" a="1"/>
  <c r="G432" i="5" a="1"/>
  <c r="G446" i="5" a="1"/>
  <c r="G453" i="5" a="1"/>
  <c r="G481" i="5" a="1"/>
  <c r="G487" i="5" a="1"/>
  <c r="G513" i="5" a="1"/>
  <c r="G519" i="5" a="1"/>
  <c r="G545" i="5" a="1"/>
  <c r="G551" i="5" a="1"/>
  <c r="G557" i="5" a="1"/>
  <c r="G14" i="5" a="1"/>
  <c r="G40" i="5" a="1"/>
  <c r="G106" i="5" a="1"/>
  <c r="G126" i="5" a="1"/>
  <c r="G169" i="5" a="1"/>
  <c r="G185" i="5" a="1"/>
  <c r="G200" i="5" a="1"/>
  <c r="G234" i="5" a="1"/>
  <c r="G248" i="5" a="1"/>
  <c r="G258" i="5" a="1"/>
  <c r="G290" i="5" a="1"/>
  <c r="G301" i="5" a="1"/>
  <c r="G310" i="5" a="1"/>
  <c r="G320" i="5" a="1"/>
  <c r="G328" i="5" a="1"/>
  <c r="G345" i="5" a="1"/>
  <c r="G352" i="5" a="1"/>
  <c r="G366" i="5" a="1"/>
  <c r="G396" i="5" a="1"/>
  <c r="G410" i="5" a="1"/>
  <c r="G418" i="5" a="1"/>
  <c r="G425" i="5" a="1"/>
  <c r="G469" i="5" a="1"/>
  <c r="G475" i="5" a="1"/>
  <c r="G501" i="5" a="1"/>
  <c r="G507" i="5" a="1"/>
  <c r="G533" i="5" a="1"/>
  <c r="G539" i="5" a="1"/>
  <c r="G563" i="5" a="1"/>
  <c r="G579" i="5" a="1"/>
  <c r="G588" i="5" a="1"/>
  <c r="G597" i="5" a="1"/>
  <c r="G611" i="5" a="1"/>
  <c r="G620" i="5" a="1"/>
  <c r="G629" i="5" a="1"/>
  <c r="G638" i="5" a="1"/>
  <c r="G642" i="5" a="1"/>
  <c r="G646" i="5" a="1"/>
  <c r="G650" i="5" a="1"/>
  <c r="G654" i="5" a="1"/>
  <c r="G658" i="5" a="1"/>
  <c r="G662" i="5" a="1"/>
  <c r="G666" i="5" a="1"/>
  <c r="G670" i="5" a="1"/>
  <c r="G674" i="5" a="1"/>
  <c r="G678" i="5" a="1"/>
  <c r="G682" i="5" a="1"/>
  <c r="G686" i="5" a="1"/>
  <c r="G690" i="5" a="1"/>
  <c r="G694" i="5" a="1"/>
  <c r="G698" i="5" a="1"/>
  <c r="G702" i="5" a="1"/>
  <c r="G706" i="5" a="1"/>
  <c r="G710" i="5" a="1"/>
  <c r="G714" i="5" a="1"/>
  <c r="G718" i="5" a="1"/>
  <c r="G722" i="5" a="1"/>
  <c r="G726" i="5" a="1"/>
  <c r="G64" i="5" a="1"/>
  <c r="G84" i="5" a="1"/>
  <c r="G109" i="5" a="1"/>
  <c r="G149" i="5" a="1"/>
  <c r="G186" i="5" a="1"/>
  <c r="G201" i="5" a="1"/>
  <c r="G213" i="5" a="1"/>
  <c r="G226" i="5" a="1"/>
  <c r="G237" i="5" a="1"/>
  <c r="G270" i="5" a="1"/>
  <c r="G282" i="5" a="1"/>
  <c r="G292" i="5" a="1"/>
  <c r="G321" i="5" a="1"/>
  <c r="G330" i="5" a="1"/>
  <c r="G360" i="5" a="1"/>
  <c r="G368" i="5" a="1"/>
  <c r="G382" i="5" a="1"/>
  <c r="G389" i="5" a="1"/>
  <c r="G433" i="5" a="1"/>
  <c r="G441" i="5" a="1"/>
  <c r="G448" i="5" a="1"/>
  <c r="G462" i="5" a="1"/>
  <c r="G489" i="5" a="1"/>
  <c r="G495" i="5" a="1"/>
  <c r="G521" i="5" a="1"/>
  <c r="G527" i="5" a="1"/>
  <c r="G553" i="5" a="1"/>
  <c r="G564" i="5" a="1"/>
  <c r="G569" i="5" a="1"/>
  <c r="G584" i="5" a="1"/>
  <c r="G593" i="5" a="1"/>
  <c r="G607" i="5" a="1"/>
  <c r="G616" i="5" a="1"/>
  <c r="G625" i="5" a="1"/>
  <c r="G21" i="5" a="1"/>
  <c r="G41" i="5" a="1"/>
  <c r="G66" i="5" a="1"/>
  <c r="G133" i="5" a="1"/>
  <c r="G154" i="5" a="1"/>
  <c r="G170" i="5" a="1"/>
  <c r="G24" i="5" a="1"/>
  <c r="G90" i="5" a="1"/>
  <c r="G116" i="5" a="1"/>
  <c r="G136" i="5" a="1"/>
  <c r="G156" i="5" a="1"/>
  <c r="G48" i="5" a="1"/>
  <c r="G73" i="5" a="1"/>
  <c r="G93" i="5" a="1"/>
  <c r="G141" i="5" a="1"/>
  <c r="G157" i="5" a="1"/>
  <c r="G177" i="5" a="1"/>
  <c r="G192" i="5" a="1"/>
  <c r="G206" i="5" a="1"/>
  <c r="G218" i="5" a="1"/>
  <c r="G229" i="5" a="1"/>
  <c r="G241" i="5" a="1"/>
  <c r="G252" i="5" a="1"/>
  <c r="G264" i="5" a="1"/>
  <c r="G276" i="5" a="1"/>
  <c r="G296" i="5" a="1"/>
  <c r="G305" i="5" a="1"/>
  <c r="G314" i="5" a="1"/>
  <c r="G341" i="5" a="1"/>
  <c r="G348" i="5" a="1"/>
  <c r="G30" i="5" a="1"/>
  <c r="G117" i="5" a="1"/>
  <c r="G184" i="5" a="1"/>
  <c r="G209" i="5" a="1"/>
  <c r="G233" i="5" a="1"/>
  <c r="G277" i="5" a="1"/>
  <c r="G317" i="5" a="1"/>
  <c r="G335" i="5" a="1"/>
  <c r="G350" i="5" a="1"/>
  <c r="G386" i="5" a="1"/>
  <c r="G398" i="5" a="1"/>
  <c r="G409" i="5" a="1"/>
  <c r="G421" i="5" a="1"/>
  <c r="G434" i="5" a="1"/>
  <c r="G444" i="5" a="1"/>
  <c r="G457" i="5" a="1"/>
  <c r="G541" i="5" a="1"/>
  <c r="G560" i="5" a="1"/>
  <c r="G573" i="5" a="1"/>
  <c r="G592" i="5" a="1"/>
  <c r="G599" i="5" a="1"/>
  <c r="G617" i="5" a="1"/>
  <c r="G623" i="5" a="1"/>
  <c r="G731" i="5" a="1"/>
  <c r="G125" i="5" a="1"/>
  <c r="G190" i="5" a="1"/>
  <c r="G216" i="5" a="1"/>
  <c r="G261" i="5" a="1"/>
  <c r="G284" i="5" a="1"/>
  <c r="G302" i="5" a="1"/>
  <c r="G322" i="5" a="1"/>
  <c r="G338" i="5" a="1"/>
  <c r="G354" i="5" a="1"/>
  <c r="G364" i="5" a="1"/>
  <c r="G377" i="5" a="1"/>
  <c r="G400" i="5" a="1"/>
  <c r="G412" i="5" a="1"/>
  <c r="G479" i="5" a="1"/>
  <c r="G499" i="5" a="1"/>
  <c r="G567" i="5" a="1"/>
  <c r="G575" i="5" a="1"/>
  <c r="G581" i="5" a="1"/>
  <c r="G587" i="5" a="1"/>
  <c r="G605" i="5" a="1"/>
  <c r="G612" i="5" a="1"/>
  <c r="G636" i="5" a="1"/>
  <c r="G641" i="5" a="1"/>
  <c r="G647" i="5" a="1"/>
  <c r="G652" i="5" a="1"/>
  <c r="G657" i="5" a="1"/>
  <c r="G663" i="5" a="1"/>
  <c r="G668" i="5" a="1"/>
  <c r="G673" i="5" a="1"/>
  <c r="G679" i="5" a="1"/>
  <c r="G684" i="5" a="1"/>
  <c r="G689" i="5" a="1"/>
  <c r="G695" i="5" a="1"/>
  <c r="G700" i="5" a="1"/>
  <c r="G705" i="5" a="1"/>
  <c r="G711" i="5" a="1"/>
  <c r="G716" i="5" a="1"/>
  <c r="G721" i="5" a="1"/>
  <c r="G727" i="5" a="1"/>
  <c r="G736" i="5" a="1"/>
  <c r="G740" i="5" a="1"/>
  <c r="G744" i="5" a="1"/>
  <c r="G748" i="5" a="1"/>
  <c r="G752" i="5" a="1"/>
  <c r="G756" i="5" a="1"/>
  <c r="G760" i="5" a="1"/>
  <c r="G764" i="5" a="1"/>
  <c r="G768" i="5" a="1"/>
  <c r="G772" i="5" a="1"/>
  <c r="G776" i="5" a="1"/>
  <c r="G780" i="5" a="1"/>
  <c r="G784" i="5" a="1"/>
  <c r="G788" i="5" a="1"/>
  <c r="G792" i="5" a="1"/>
  <c r="G796" i="5" a="1"/>
  <c r="G800" i="5" a="1"/>
  <c r="G804" i="5" a="1"/>
  <c r="G808" i="5" a="1"/>
  <c r="G812" i="5" a="1"/>
  <c r="G816" i="5" a="1"/>
  <c r="G820" i="5" a="1"/>
  <c r="G824" i="5" a="1"/>
  <c r="G828" i="5" a="1"/>
  <c r="G832" i="5" a="1"/>
  <c r="G836" i="5" a="1"/>
  <c r="G840" i="5" a="1"/>
  <c r="G844" i="5" a="1"/>
  <c r="G848" i="5" a="1"/>
  <c r="G852" i="5" a="1"/>
  <c r="G856" i="5" a="1"/>
  <c r="G860" i="5" a="1"/>
  <c r="G864" i="5" a="1"/>
  <c r="G50" i="5" a="1"/>
  <c r="G240" i="5" a="1"/>
  <c r="G262" i="5" a="1"/>
  <c r="G304" i="5" a="1"/>
  <c r="G471" i="5" a="1"/>
  <c r="G491" i="5" a="1"/>
  <c r="G511" i="5" a="1"/>
  <c r="G531" i="5" a="1"/>
  <c r="G561" i="5" a="1"/>
  <c r="G568" i="5" a="1"/>
  <c r="G576" i="5" a="1"/>
  <c r="G600" i="5" a="1"/>
  <c r="G624" i="5" a="1"/>
  <c r="G631" i="5" a="1"/>
  <c r="G732" i="5" a="1"/>
  <c r="G142" i="5" a="1"/>
  <c r="G194" i="5" a="1"/>
  <c r="G220" i="5" a="1"/>
  <c r="G242" i="5" a="1"/>
  <c r="G265" i="5" a="1"/>
  <c r="G286" i="5" a="1"/>
  <c r="G378" i="5" a="1"/>
  <c r="G401" i="5" a="1"/>
  <c r="G414" i="5" a="1"/>
  <c r="G437" i="5" a="1"/>
  <c r="G450" i="5" a="1"/>
  <c r="G460" i="5" a="1"/>
  <c r="G483" i="5" a="1"/>
  <c r="G503" i="5" a="1"/>
  <c r="G523" i="5" a="1"/>
  <c r="G543" i="5" a="1"/>
  <c r="G589" i="5" a="1"/>
  <c r="G595" i="5" a="1"/>
  <c r="G613" i="5" a="1"/>
  <c r="G619" i="5" a="1"/>
  <c r="G637" i="5" a="1"/>
  <c r="G643" i="5" a="1"/>
  <c r="G648" i="5" a="1"/>
  <c r="G653" i="5" a="1"/>
  <c r="G659" i="5" a="1"/>
  <c r="G664" i="5" a="1"/>
  <c r="G669" i="5" a="1"/>
  <c r="G675" i="5" a="1"/>
  <c r="G680" i="5" a="1"/>
  <c r="G685" i="5" a="1"/>
  <c r="G691" i="5" a="1"/>
  <c r="G696" i="5" a="1"/>
  <c r="G701" i="5" a="1"/>
  <c r="G707" i="5" a="1"/>
  <c r="G712" i="5" a="1"/>
  <c r="G717" i="5" a="1"/>
  <c r="G723" i="5" a="1"/>
  <c r="G728" i="5" a="1"/>
  <c r="G737" i="5" a="1"/>
  <c r="G741" i="5" a="1"/>
  <c r="G745" i="5" a="1"/>
  <c r="G749" i="5" a="1"/>
  <c r="G753" i="5" a="1"/>
  <c r="G757" i="5" a="1"/>
  <c r="G761" i="5" a="1"/>
  <c r="G765" i="5" a="1"/>
  <c r="G769" i="5" a="1"/>
  <c r="G773" i="5" a="1"/>
  <c r="G777" i="5" a="1"/>
  <c r="G162" i="5" a="1"/>
  <c r="G197" i="5" a="1"/>
  <c r="G221" i="5" a="1"/>
  <c r="G244" i="5" a="1"/>
  <c r="G289" i="5" a="1"/>
  <c r="G308" i="5" a="1"/>
  <c r="G326" i="5" a="1"/>
  <c r="G369" i="5" a="1"/>
  <c r="G392" i="5" a="1"/>
  <c r="G405" i="5" a="1"/>
  <c r="G428" i="5" a="1"/>
  <c r="G464" i="5" a="1"/>
  <c r="G473" i="5" a="1"/>
  <c r="G493" i="5" a="1"/>
  <c r="G515" i="5" a="1"/>
  <c r="G535" i="5" a="1"/>
  <c r="G555" i="5" a="1"/>
  <c r="G577" i="5" a="1"/>
  <c r="G583" i="5" a="1"/>
  <c r="G601" i="5" a="1"/>
  <c r="G608" i="5" a="1"/>
  <c r="G632" i="5" a="1"/>
  <c r="G733" i="5" a="1"/>
  <c r="G74" i="5" a="1"/>
  <c r="G205" i="5" a="1"/>
  <c r="G249" i="5" a="1"/>
  <c r="G272" i="5" a="1"/>
  <c r="G313" i="5" a="1"/>
  <c r="G346" i="5" a="1"/>
  <c r="G357" i="5" a="1"/>
  <c r="G370" i="5" a="1"/>
  <c r="G393" i="5" a="1"/>
  <c r="G416" i="5" a="1"/>
  <c r="G485" i="5" a="1"/>
  <c r="G505" i="5" a="1"/>
  <c r="G525" i="5" a="1"/>
  <c r="G547" i="5" a="1"/>
  <c r="G556" i="5" a="1"/>
  <c r="G571" i="5" a="1"/>
  <c r="G596" i="5" a="1"/>
  <c r="G603" i="5" a="1"/>
  <c r="G621" i="5" a="1"/>
  <c r="G627" i="5" a="1"/>
  <c r="G639" i="5" a="1"/>
  <c r="G644" i="5" a="1"/>
  <c r="G649" i="5" a="1"/>
  <c r="G655" i="5" a="1"/>
  <c r="G660" i="5" a="1"/>
  <c r="G665" i="5" a="1"/>
  <c r="G671" i="5" a="1"/>
  <c r="G676" i="5" a="1"/>
  <c r="G681" i="5" a="1"/>
  <c r="G687" i="5" a="1"/>
  <c r="G692" i="5" a="1"/>
  <c r="G697" i="5" a="1"/>
  <c r="G703" i="5" a="1"/>
  <c r="G708" i="5" a="1"/>
  <c r="G713" i="5" a="1"/>
  <c r="G719" i="5" a="1"/>
  <c r="G724" i="5" a="1"/>
  <c r="G729" i="5" a="1"/>
  <c r="G738" i="5" a="1"/>
  <c r="G742" i="5" a="1"/>
  <c r="G746" i="5" a="1"/>
  <c r="G750" i="5" a="1"/>
  <c r="G754" i="5" a="1"/>
  <c r="G758" i="5" a="1"/>
  <c r="G762" i="5" a="1"/>
  <c r="G766" i="5" a="1"/>
  <c r="G770" i="5" a="1"/>
  <c r="G774" i="5" a="1"/>
  <c r="G778" i="5" a="1"/>
  <c r="G782" i="5" a="1"/>
  <c r="G786" i="5" a="1"/>
  <c r="G790" i="5" a="1"/>
  <c r="G794" i="5" a="1"/>
  <c r="G798" i="5" a="1"/>
  <c r="G802" i="5" a="1"/>
  <c r="G806" i="5" a="1"/>
  <c r="G810" i="5" a="1"/>
  <c r="G814" i="5" a="1"/>
  <c r="G818" i="5" a="1"/>
  <c r="G822" i="5" a="1"/>
  <c r="G826" i="5" a="1"/>
  <c r="G830" i="5" a="1"/>
  <c r="G834" i="5" a="1"/>
  <c r="G838" i="5" a="1"/>
  <c r="G842" i="5" a="1"/>
  <c r="G846" i="5" a="1"/>
  <c r="G850" i="5" a="1"/>
  <c r="G854" i="5" a="1"/>
  <c r="G858" i="5" a="1"/>
  <c r="G862" i="5" a="1"/>
  <c r="G866" i="5" a="1"/>
  <c r="G250" i="5" a="1"/>
  <c r="G331" i="5" a="1"/>
  <c r="G384" i="5" a="1"/>
  <c r="G477" i="5" a="1"/>
  <c r="G517" i="5" a="1"/>
  <c r="G585" i="5" a="1"/>
  <c r="G609" i="5" a="1"/>
  <c r="G633" i="5" a="1"/>
  <c r="G783" i="5" a="1"/>
  <c r="G805" i="5" a="1"/>
  <c r="G509" i="5" a="1"/>
  <c r="G549" i="5" a="1"/>
  <c r="G580" i="5" a="1"/>
  <c r="G628" i="5" a="1"/>
  <c r="G672" i="5" a="1"/>
  <c r="G715" i="5" a="1"/>
  <c r="G767" i="5" a="1"/>
  <c r="G813" i="5" a="1"/>
  <c r="G837" i="5" a="1"/>
  <c r="G861" i="5" a="1"/>
  <c r="G100" i="5" a="1"/>
  <c r="G254" i="5" a="1"/>
  <c r="G333" i="5" a="1"/>
  <c r="G430" i="5" a="1"/>
  <c r="G559" i="5" a="1"/>
  <c r="G635" i="5" a="1"/>
  <c r="G656" i="5" a="1"/>
  <c r="G677" i="5" a="1"/>
  <c r="G699" i="5" a="1"/>
  <c r="G720" i="5" a="1"/>
  <c r="G739" i="5" a="1"/>
  <c r="G755" i="5" a="1"/>
  <c r="G771" i="5" a="1"/>
  <c r="G785" i="5" a="1"/>
  <c r="G795" i="5" a="1"/>
  <c r="G789" i="5" a="1"/>
  <c r="G176" i="5" a="1"/>
  <c r="G273" i="5" a="1"/>
  <c r="G442" i="5" a="1"/>
  <c r="G565" i="5" a="1"/>
  <c r="G591" i="5" a="1"/>
  <c r="G615" i="5" a="1"/>
  <c r="G797" i="5" a="1"/>
  <c r="G807" i="5" a="1"/>
  <c r="G815" i="5" a="1"/>
  <c r="G823" i="5" a="1"/>
  <c r="G831" i="5" a="1"/>
  <c r="G839" i="5" a="1"/>
  <c r="G847" i="5" a="1"/>
  <c r="G855" i="5" a="1"/>
  <c r="G863" i="5" a="1"/>
  <c r="G799" i="5" a="1"/>
  <c r="G230" i="5" a="1"/>
  <c r="G178" i="5" a="1"/>
  <c r="G529" i="5" a="1"/>
  <c r="G640" i="5" a="1"/>
  <c r="G661" i="5" a="1"/>
  <c r="G683" i="5" a="1"/>
  <c r="G704" i="5" a="1"/>
  <c r="G725" i="5" a="1"/>
  <c r="G743" i="5" a="1"/>
  <c r="G759" i="5" a="1"/>
  <c r="G775" i="5" a="1"/>
  <c r="G787" i="5" a="1"/>
  <c r="G809" i="5" a="1"/>
  <c r="G817" i="5" a="1"/>
  <c r="G825" i="5" a="1"/>
  <c r="G833" i="5" a="1"/>
  <c r="G841" i="5" a="1"/>
  <c r="G849" i="5" a="1"/>
  <c r="G857" i="5" a="1"/>
  <c r="G865" i="5" a="1"/>
  <c r="G466" i="5" a="1"/>
  <c r="G651" i="5" a="1"/>
  <c r="G735" i="5" a="1"/>
  <c r="G803" i="5" a="1"/>
  <c r="G829" i="5" a="1"/>
  <c r="G853" i="5" a="1"/>
  <c r="G361" i="5" a="1"/>
  <c r="G497" i="5" a="1"/>
  <c r="G537" i="5" a="1"/>
  <c r="G572" i="5" a="1"/>
  <c r="G208" i="5" a="1"/>
  <c r="G456" i="5" a="1"/>
  <c r="G645" i="5" a="1"/>
  <c r="G667" i="5" a="1"/>
  <c r="G688" i="5" a="1"/>
  <c r="G709" i="5" a="1"/>
  <c r="G730" i="5" a="1"/>
  <c r="G747" i="5" a="1"/>
  <c r="G763" i="5" a="1"/>
  <c r="G779" i="5" a="1"/>
  <c r="G801" i="5" a="1"/>
  <c r="G228" i="5" a="1"/>
  <c r="G465" i="5" a="1"/>
  <c r="G734" i="5" a="1"/>
  <c r="G781" i="5" a="1"/>
  <c r="G791" i="5" a="1"/>
  <c r="G811" i="5" a="1"/>
  <c r="G819" i="5" a="1"/>
  <c r="G827" i="5" a="1"/>
  <c r="G835" i="5" a="1"/>
  <c r="G843" i="5" a="1"/>
  <c r="G851" i="5" a="1"/>
  <c r="G859" i="5" a="1"/>
  <c r="G867" i="5" a="1"/>
  <c r="G604" i="5" a="1"/>
  <c r="G693" i="5" a="1"/>
  <c r="G751" i="5" a="1"/>
  <c r="G793" i="5" a="1"/>
  <c r="G821" i="5" a="1"/>
  <c r="G845" i="5" a="1"/>
  <c r="E3" i="5" a="1"/>
  <c r="E4" i="5" a="1"/>
  <c r="E5" i="5" a="1"/>
  <c r="E16" i="5" a="1"/>
  <c r="E21" i="5" a="1"/>
  <c r="E32" i="5" a="1"/>
  <c r="E37" i="5" a="1"/>
  <c r="E48" i="5" a="1"/>
  <c r="E64" i="5" a="1"/>
  <c r="E69" i="5" a="1"/>
  <c r="E80" i="5" a="1"/>
  <c r="E85" i="5" a="1"/>
  <c r="E96" i="5" a="1"/>
  <c r="E128" i="5" a="1"/>
  <c r="E133" i="5" a="1"/>
  <c r="E149" i="5" a="1"/>
  <c r="E160" i="5" a="1"/>
  <c r="E165" i="5" a="1"/>
  <c r="E176" i="5" a="1"/>
  <c r="E186" i="5" a="1"/>
  <c r="E195" i="5" a="1"/>
  <c r="E200" i="5" a="1"/>
  <c r="E218" i="5" a="1"/>
  <c r="E227" i="5" a="1"/>
  <c r="E232" i="5" a="1"/>
  <c r="E241" i="5" a="1"/>
  <c r="E259" i="5" a="1"/>
  <c r="E264" i="5" a="1"/>
  <c r="E282" i="5" a="1"/>
  <c r="E291" i="5" a="1"/>
  <c r="E296" i="5" a="1"/>
  <c r="E305" i="5" a="1"/>
  <c r="E314" i="5" a="1"/>
  <c r="E323" i="5" a="1"/>
  <c r="E328" i="5" a="1"/>
  <c r="E337" i="5" a="1"/>
  <c r="E11" i="5" a="1"/>
  <c r="E22" i="5" a="1"/>
  <c r="E27" i="5" a="1"/>
  <c r="E43" i="5" a="1"/>
  <c r="E59" i="5" a="1"/>
  <c r="E75" i="5" a="1"/>
  <c r="E86" i="5" a="1"/>
  <c r="E91" i="5" a="1"/>
  <c r="E102" i="5" a="1"/>
  <c r="E107" i="5" a="1"/>
  <c r="E118" i="5" a="1"/>
  <c r="E123" i="5" a="1"/>
  <c r="E134" i="5" a="1"/>
  <c r="E139" i="5" a="1"/>
  <c r="E150" i="5" a="1"/>
  <c r="E155" i="5" a="1"/>
  <c r="E171" i="5" a="1"/>
  <c r="E182" i="5" a="1"/>
  <c r="E191" i="5" a="1"/>
  <c r="E196" i="5" a="1"/>
  <c r="E214" i="5" a="1"/>
  <c r="E223" i="5" a="1"/>
  <c r="E228" i="5" a="1"/>
  <c r="E237" i="5" a="1"/>
  <c r="E246" i="5" a="1"/>
  <c r="E255" i="5" a="1"/>
  <c r="E269" i="5" a="1"/>
  <c r="E12" i="5" a="1"/>
  <c r="E17" i="5" a="1"/>
  <c r="E28" i="5" a="1"/>
  <c r="E33" i="5" a="1"/>
  <c r="E44" i="5" a="1"/>
  <c r="E49" i="5" a="1"/>
  <c r="E65" i="5" a="1"/>
  <c r="E76" i="5" a="1"/>
  <c r="E92" i="5" a="1"/>
  <c r="E97" i="5" a="1"/>
  <c r="E108" i="5" a="1"/>
  <c r="E124" i="5" a="1"/>
  <c r="E129" i="5" a="1"/>
  <c r="E140" i="5" a="1"/>
  <c r="E145" i="5" a="1"/>
  <c r="E156" i="5" a="1"/>
  <c r="E161" i="5" a="1"/>
  <c r="E187" i="5" a="1"/>
  <c r="E192" i="5" a="1"/>
  <c r="E201" i="5" a="1"/>
  <c r="E210" i="5" a="1"/>
  <c r="E224" i="5" a="1"/>
  <c r="E233" i="5" a="1"/>
  <c r="E242" i="5" a="1"/>
  <c r="E256" i="5" a="1"/>
  <c r="E265" i="5" a="1"/>
  <c r="E288" i="5" a="1"/>
  <c r="E297" i="5" a="1"/>
  <c r="E315" i="5" a="1"/>
  <c r="E320" i="5" a="1"/>
  <c r="E338" i="5" a="1"/>
  <c r="E18" i="5" a="1"/>
  <c r="E34" i="5" a="1"/>
  <c r="E39" i="5" a="1"/>
  <c r="E50" i="5" a="1"/>
  <c r="E55" i="5" a="1"/>
  <c r="E66" i="5" a="1"/>
  <c r="E71" i="5" a="1"/>
  <c r="E87" i="5" a="1"/>
  <c r="E98" i="5" a="1"/>
  <c r="E13" i="5" a="1"/>
  <c r="E29" i="5" a="1"/>
  <c r="E40" i="5" a="1"/>
  <c r="E45" i="5" a="1"/>
  <c r="E56" i="5" a="1"/>
  <c r="E61" i="5" a="1"/>
  <c r="E93" i="5" a="1"/>
  <c r="E109" i="5" a="1"/>
  <c r="E120" i="5" a="1"/>
  <c r="E125" i="5" a="1"/>
  <c r="E136" i="5" a="1"/>
  <c r="E141" i="5" a="1"/>
  <c r="E152" i="5" a="1"/>
  <c r="E157" i="5" a="1"/>
  <c r="E168" i="5" a="1"/>
  <c r="E14" i="5" a="1"/>
  <c r="E19" i="5" a="1"/>
  <c r="E35" i="5" a="1"/>
  <c r="E46" i="5" a="1"/>
  <c r="E51" i="5" a="1"/>
  <c r="E62" i="5" a="1"/>
  <c r="E67" i="5" a="1"/>
  <c r="E78" i="5" a="1"/>
  <c r="E94" i="5" a="1"/>
  <c r="E99" i="5" a="1"/>
  <c r="E110" i="5" a="1"/>
  <c r="E126" i="5" a="1"/>
  <c r="E142" i="5" a="1"/>
  <c r="E147" i="5" a="1"/>
  <c r="E158" i="5" a="1"/>
  <c r="E163" i="5" a="1"/>
  <c r="E189" i="5" a="1"/>
  <c r="E198" i="5" a="1"/>
  <c r="E221" i="5" a="1"/>
  <c r="E230" i="5" a="1"/>
  <c r="E239" i="5" a="1"/>
  <c r="E244" i="5" a="1"/>
  <c r="E253" i="5" a="1"/>
  <c r="E262" i="5" a="1"/>
  <c r="E271" i="5" a="1"/>
  <c r="E276" i="5" a="1"/>
  <c r="E285" i="5" a="1"/>
  <c r="E294" i="5" a="1"/>
  <c r="E303" i="5" a="1"/>
  <c r="E308" i="5" a="1"/>
  <c r="E326" i="5" a="1"/>
  <c r="E25" i="5" a="1"/>
  <c r="E41" i="5" a="1"/>
  <c r="E52" i="5" a="1"/>
  <c r="E57" i="5" a="1"/>
  <c r="E68" i="5" a="1"/>
  <c r="E73" i="5" a="1"/>
  <c r="E84" i="5" a="1"/>
  <c r="E89" i="5" a="1"/>
  <c r="E100" i="5" a="1"/>
  <c r="E116" i="5" a="1"/>
  <c r="E121" i="5" a="1"/>
  <c r="E132" i="5" a="1"/>
  <c r="E148" i="5" a="1"/>
  <c r="E153" i="5" a="1"/>
  <c r="E164" i="5" a="1"/>
  <c r="E194" i="5" a="1"/>
  <c r="E217" i="5" a="1"/>
  <c r="E226" i="5" a="1"/>
  <c r="E235" i="5" a="1"/>
  <c r="E240" i="5" a="1"/>
  <c r="E258" i="5" a="1"/>
  <c r="E267" i="5" a="1"/>
  <c r="E272" i="5" a="1"/>
  <c r="E290" i="5" a="1"/>
  <c r="E10" i="5" a="1"/>
  <c r="E15" i="5" a="1"/>
  <c r="E26" i="5" a="1"/>
  <c r="E31" i="5" a="1"/>
  <c r="E42" i="5" a="1"/>
  <c r="E47" i="5" a="1"/>
  <c r="E58" i="5" a="1"/>
  <c r="E74" i="5" a="1"/>
  <c r="E79" i="5" a="1"/>
  <c r="E90" i="5" a="1"/>
  <c r="E95" i="5" a="1"/>
  <c r="E106" i="5" a="1"/>
  <c r="E111" i="5" a="1"/>
  <c r="E122" i="5" a="1"/>
  <c r="E127" i="5" a="1"/>
  <c r="E138" i="5" a="1"/>
  <c r="E143" i="5" a="1"/>
  <c r="E154" i="5" a="1"/>
  <c r="E159" i="5" a="1"/>
  <c r="E170" i="5" a="1"/>
  <c r="E190" i="5" a="1"/>
  <c r="E199" i="5" a="1"/>
  <c r="E222" i="5" a="1"/>
  <c r="E231" i="5" a="1"/>
  <c r="E236" i="5" a="1"/>
  <c r="E245" i="5" a="1"/>
  <c r="E254" i="5" a="1"/>
  <c r="E263" i="5" a="1"/>
  <c r="E268" i="5" a="1"/>
  <c r="E286" i="5" a="1"/>
  <c r="E295" i="5" a="1"/>
  <c r="E300" i="5" a="1"/>
  <c r="E309" i="5" a="1"/>
  <c r="E318" i="5" a="1"/>
  <c r="E327" i="5" a="1"/>
  <c r="E114" i="5" a="1"/>
  <c r="E184" i="5" a="1"/>
  <c r="E215" i="5" a="1"/>
  <c r="E248" i="5" a="1"/>
  <c r="E292" i="5" a="1"/>
  <c r="E310" i="5" a="1"/>
  <c r="E333" i="5" a="1"/>
  <c r="E339" i="5" a="1"/>
  <c r="E344" i="5" a="1"/>
  <c r="E362" i="5" a="1"/>
  <c r="E367" i="5" a="1"/>
  <c r="E385" i="5" a="1"/>
  <c r="E399" i="5" a="1"/>
  <c r="E431" i="5" a="1"/>
  <c r="E449" i="5" a="1"/>
  <c r="E458" i="5" a="1"/>
  <c r="E103" i="5" a="1"/>
  <c r="E216" i="5" a="1"/>
  <c r="E293" i="5" a="1"/>
  <c r="E311" i="5" a="1"/>
  <c r="E319" i="5" a="1"/>
  <c r="E334" i="5" a="1"/>
  <c r="E340" i="5" a="1"/>
  <c r="E349" i="5" a="1"/>
  <c r="E358" i="5" a="1"/>
  <c r="E363" i="5" a="1"/>
  <c r="E372" i="5" a="1"/>
  <c r="E381" i="5" a="1"/>
  <c r="E390" i="5" a="1"/>
  <c r="E422" i="5" a="1"/>
  <c r="E427" i="5" a="1"/>
  <c r="E436" i="5" a="1"/>
  <c r="E445" i="5" a="1"/>
  <c r="E454" i="5" a="1"/>
  <c r="E459" i="5" a="1"/>
  <c r="E468" i="5" a="1"/>
  <c r="E477" i="5" a="1"/>
  <c r="E312" i="5" a="1"/>
  <c r="E345" i="5" a="1"/>
  <c r="E354" i="5" a="1"/>
  <c r="E359" i="5" a="1"/>
  <c r="E368" i="5" a="1"/>
  <c r="E386" i="5" a="1"/>
  <c r="E391" i="5" a="1"/>
  <c r="E400" i="5" a="1"/>
  <c r="E409" i="5" a="1"/>
  <c r="E418" i="5" a="1"/>
  <c r="E423" i="5" a="1"/>
  <c r="E432" i="5" a="1"/>
  <c r="E441" i="5" a="1"/>
  <c r="E450" i="5" a="1"/>
  <c r="E455" i="5" a="1"/>
  <c r="E473" i="5" a="1"/>
  <c r="E482" i="5" a="1"/>
  <c r="E487" i="5" a="1"/>
  <c r="E478" i="5" a="1"/>
  <c r="E500" i="5" a="1"/>
  <c r="E119" i="5" a="1"/>
  <c r="E188" i="5" a="1"/>
  <c r="E238" i="5" a="1"/>
  <c r="E284" i="5" a="1"/>
  <c r="E313" i="5" a="1"/>
  <c r="E321" i="5" a="1"/>
  <c r="E335" i="5" a="1"/>
  <c r="E341" i="5" a="1"/>
  <c r="E350" i="5" a="1"/>
  <c r="E364" i="5" a="1"/>
  <c r="E373" i="5" a="1"/>
  <c r="E382" i="5" a="1"/>
  <c r="E387" i="5" a="1"/>
  <c r="E405" i="5" a="1"/>
  <c r="E428" i="5" a="1"/>
  <c r="E437" i="5" a="1"/>
  <c r="E446" i="5" a="1"/>
  <c r="E451" i="5" a="1"/>
  <c r="E460" i="5" a="1"/>
  <c r="E469" i="5" a="1"/>
  <c r="E496" i="5" a="1"/>
  <c r="E504" i="5" a="1"/>
  <c r="E146" i="5" a="1"/>
  <c r="E211" i="5" a="1"/>
  <c r="E322" i="5" a="1"/>
  <c r="E336" i="5" a="1"/>
  <c r="E346" i="5" a="1"/>
  <c r="E351" i="5" a="1"/>
  <c r="E360" i="5" a="1"/>
  <c r="E369" i="5" a="1"/>
  <c r="E383" i="5" a="1"/>
  <c r="E392" i="5" a="1"/>
  <c r="E401" i="5" a="1"/>
  <c r="E410" i="5" a="1"/>
  <c r="E424" i="5" a="1"/>
  <c r="E442" i="5" a="1"/>
  <c r="E447" i="5" a="1"/>
  <c r="E456" i="5" a="1"/>
  <c r="E465" i="5" a="1"/>
  <c r="E474" i="5" a="1"/>
  <c r="E479" i="5" a="1"/>
  <c r="E488" i="5" a="1"/>
  <c r="E130" i="5" a="1"/>
  <c r="E151" i="5" a="1"/>
  <c r="E270" i="5" a="1"/>
  <c r="E298" i="5" a="1"/>
  <c r="E347" i="5" a="1"/>
  <c r="E206" i="5" a="1"/>
  <c r="E225" i="5" a="1"/>
  <c r="E243" i="5" a="1"/>
  <c r="E325" i="5" a="1"/>
  <c r="E135" i="5" a="1"/>
  <c r="E162" i="5" a="1"/>
  <c r="E183" i="5" a="1"/>
  <c r="E229" i="5" a="1"/>
  <c r="E411" i="5" a="1"/>
  <c r="E425" i="5" a="1"/>
  <c r="E434" i="5" a="1"/>
  <c r="E472" i="5" a="1"/>
  <c r="E481" i="5" a="1"/>
  <c r="E486" i="5" a="1"/>
  <c r="E493" i="5" a="1"/>
  <c r="E516" i="5" a="1"/>
  <c r="E548" i="5" a="1"/>
  <c r="E564" i="5" a="1"/>
  <c r="E596" i="5" a="1"/>
  <c r="E612" i="5" a="1"/>
  <c r="E628" i="5" a="1"/>
  <c r="E644" i="5" a="1"/>
  <c r="E660" i="5" a="1"/>
  <c r="E692" i="5" a="1"/>
  <c r="E711" i="5" a="1"/>
  <c r="E725" i="5" a="1"/>
  <c r="E734" i="5" a="1"/>
  <c r="E748" i="5" a="1"/>
  <c r="E757" i="5" a="1"/>
  <c r="E766" i="5" a="1"/>
  <c r="E775" i="5" a="1"/>
  <c r="E789" i="5" a="1"/>
  <c r="E798" i="5" a="1"/>
  <c r="E812" i="5" a="1"/>
  <c r="E830" i="5" a="1"/>
  <c r="E839" i="5" a="1"/>
  <c r="E844" i="5" a="1"/>
  <c r="E862" i="5" a="1"/>
  <c r="E721" i="5" a="1"/>
  <c r="E744" i="5" a="1"/>
  <c r="E762" i="5" a="1"/>
  <c r="E771" i="5" a="1"/>
  <c r="E785" i="5" a="1"/>
  <c r="E794" i="5" a="1"/>
  <c r="E803" i="5" a="1"/>
  <c r="E826" i="5" a="1"/>
  <c r="E840" i="5" a="1"/>
  <c r="E849" i="5" a="1"/>
  <c r="E343" i="5" a="1"/>
  <c r="E384" i="5" a="1"/>
  <c r="E403" i="5" a="1"/>
  <c r="E435" i="5" a="1"/>
  <c r="E444" i="5" a="1"/>
  <c r="E457" i="5" a="1"/>
  <c r="E475" i="5" a="1"/>
  <c r="E499" i="5" a="1"/>
  <c r="E506" i="5" a="1"/>
  <c r="E511" i="5" a="1"/>
  <c r="E517" i="5" a="1"/>
  <c r="E522" i="5" a="1"/>
  <c r="E533" i="5" a="1"/>
  <c r="E543" i="5" a="1"/>
  <c r="E549" i="5" a="1"/>
  <c r="E554" i="5" a="1"/>
  <c r="E559" i="5" a="1"/>
  <c r="E565" i="5" a="1"/>
  <c r="E570" i="5" a="1"/>
  <c r="E575" i="5" a="1"/>
  <c r="E581" i="5" a="1"/>
  <c r="E586" i="5" a="1"/>
  <c r="E597" i="5" a="1"/>
  <c r="E602" i="5" a="1"/>
  <c r="E607" i="5" a="1"/>
  <c r="E613" i="5" a="1"/>
  <c r="E618" i="5" a="1"/>
  <c r="E629" i="5" a="1"/>
  <c r="E634" i="5" a="1"/>
  <c r="E645" i="5" a="1"/>
  <c r="E650" i="5" a="1"/>
  <c r="E655" i="5" a="1"/>
  <c r="E666" i="5" a="1"/>
  <c r="E671" i="5" a="1"/>
  <c r="E682" i="5" a="1"/>
  <c r="E687" i="5" a="1"/>
  <c r="E693" i="5" a="1"/>
  <c r="E712" i="5" a="1"/>
  <c r="E739" i="5" a="1"/>
  <c r="E776" i="5" a="1"/>
  <c r="E808" i="5" a="1"/>
  <c r="E858" i="5" a="1"/>
  <c r="E867" i="5" a="1"/>
  <c r="E851" i="5" a="1"/>
  <c r="E848" i="5" a="1"/>
  <c r="E356" i="5" a="1"/>
  <c r="E366" i="5" a="1"/>
  <c r="E412" i="5" a="1"/>
  <c r="E438" i="5" a="1"/>
  <c r="E466" i="5" a="1"/>
  <c r="E489" i="5" a="1"/>
  <c r="E494" i="5" a="1"/>
  <c r="E501" i="5" a="1"/>
  <c r="E512" i="5" a="1"/>
  <c r="E528" i="5" a="1"/>
  <c r="E544" i="5" a="1"/>
  <c r="E576" i="5" a="1"/>
  <c r="E592" i="5" a="1"/>
  <c r="E608" i="5" a="1"/>
  <c r="E624" i="5" a="1"/>
  <c r="E656" i="5" a="1"/>
  <c r="E672" i="5" a="1"/>
  <c r="E688" i="5" a="1"/>
  <c r="E703" i="5" a="1"/>
  <c r="E717" i="5" a="1"/>
  <c r="E726" i="5" a="1"/>
  <c r="E735" i="5" a="1"/>
  <c r="E740" i="5" a="1"/>
  <c r="E749" i="5" a="1"/>
  <c r="E758" i="5" a="1"/>
  <c r="E767" i="5" a="1"/>
  <c r="E772" i="5" a="1"/>
  <c r="E790" i="5" a="1"/>
  <c r="E799" i="5" a="1"/>
  <c r="E822" i="5" a="1"/>
  <c r="E831" i="5" a="1"/>
  <c r="E836" i="5" a="1"/>
  <c r="E845" i="5" a="1"/>
  <c r="E854" i="5" a="1"/>
  <c r="E863" i="5" a="1"/>
  <c r="E689" i="5" a="1"/>
  <c r="E713" i="5" a="1"/>
  <c r="E731" i="5" a="1"/>
  <c r="E745" i="5" a="1"/>
  <c r="E763" i="5" a="1"/>
  <c r="E777" i="5" a="1"/>
  <c r="E795" i="5" a="1"/>
  <c r="E809" i="5" a="1"/>
  <c r="E827" i="5" a="1"/>
  <c r="E859" i="5" a="1"/>
  <c r="E750" i="5" a="1"/>
  <c r="E773" i="5" a="1"/>
  <c r="E796" i="5" a="1"/>
  <c r="E846" i="5" a="1"/>
  <c r="E631" i="5" a="1"/>
  <c r="E653" i="5" a="1"/>
  <c r="E674" i="5" a="1"/>
  <c r="E695" i="5" a="1"/>
  <c r="E825" i="5" a="1"/>
  <c r="E301" i="5" a="1"/>
  <c r="E388" i="5" a="1"/>
  <c r="E406" i="5" a="1"/>
  <c r="E429" i="5" a="1"/>
  <c r="E448" i="5" a="1"/>
  <c r="E467" i="5" a="1"/>
  <c r="E476" i="5" a="1"/>
  <c r="E507" i="5" a="1"/>
  <c r="E513" i="5" a="1"/>
  <c r="E523" i="5" a="1"/>
  <c r="E529" i="5" a="1"/>
  <c r="E534" i="5" a="1"/>
  <c r="E539" i="5" a="1"/>
  <c r="E550" i="5" a="1"/>
  <c r="E566" i="5" a="1"/>
  <c r="E571" i="5" a="1"/>
  <c r="E587" i="5" a="1"/>
  <c r="E593" i="5" a="1"/>
  <c r="E598" i="5" a="1"/>
  <c r="E603" i="5" a="1"/>
  <c r="E609" i="5" a="1"/>
  <c r="E625" i="5" a="1"/>
  <c r="E630" i="5" a="1"/>
  <c r="E635" i="5" a="1"/>
  <c r="E641" i="5" a="1"/>
  <c r="E646" i="5" a="1"/>
  <c r="E657" i="5" a="1"/>
  <c r="E662" i="5" a="1"/>
  <c r="E667" i="5" a="1"/>
  <c r="E673" i="5" a="1"/>
  <c r="E704" i="5" a="1"/>
  <c r="E722" i="5" a="1"/>
  <c r="E768" i="5" a="1"/>
  <c r="E786" i="5" a="1"/>
  <c r="E832" i="5" a="1"/>
  <c r="E764" i="5" a="1"/>
  <c r="E637" i="5" a="1"/>
  <c r="E679" i="5" a="1"/>
  <c r="E714" i="5" a="1"/>
  <c r="E819" i="5" a="1"/>
  <c r="E857" i="5" a="1"/>
  <c r="E331" i="5" a="1"/>
  <c r="E357" i="5" a="1"/>
  <c r="E370" i="5" a="1"/>
  <c r="E407" i="5" a="1"/>
  <c r="E420" i="5" a="1"/>
  <c r="E495" i="5" a="1"/>
  <c r="E508" i="5" a="1"/>
  <c r="E540" i="5" a="1"/>
  <c r="E556" i="5" a="1"/>
  <c r="E572" i="5" a="1"/>
  <c r="E588" i="5" a="1"/>
  <c r="E636" i="5" a="1"/>
  <c r="E652" i="5" a="1"/>
  <c r="E668" i="5" a="1"/>
  <c r="E700" i="5" a="1"/>
  <c r="E718" i="5" a="1"/>
  <c r="E727" i="5" a="1"/>
  <c r="E741" i="5" a="1"/>
  <c r="E759" i="5" a="1"/>
  <c r="E791" i="5" a="1"/>
  <c r="E837" i="5" a="1"/>
  <c r="E860" i="5" a="1"/>
  <c r="E621" i="5" a="1"/>
  <c r="E642" i="5" a="1"/>
  <c r="E663" i="5" a="1"/>
  <c r="E690" i="5" a="1"/>
  <c r="E723" i="5" a="1"/>
  <c r="E755" i="5" a="1"/>
  <c r="E787" i="5" a="1"/>
  <c r="E810" i="5" a="1"/>
  <c r="E842" i="5" a="1"/>
  <c r="E865" i="5" a="1"/>
  <c r="E332" i="5" a="1"/>
  <c r="E371" i="5" a="1"/>
  <c r="E379" i="5" a="1"/>
  <c r="E389" i="5" a="1"/>
  <c r="E430" i="5" a="1"/>
  <c r="E462" i="5" a="1"/>
  <c r="E470" i="5" a="1"/>
  <c r="E491" i="5" a="1"/>
  <c r="E497" i="5" a="1"/>
  <c r="E514" i="5" a="1"/>
  <c r="E525" i="5" a="1"/>
  <c r="E530" i="5" a="1"/>
  <c r="E535" i="5" a="1"/>
  <c r="E541" i="5" a="1"/>
  <c r="E546" i="5" a="1"/>
  <c r="E551" i="5" a="1"/>
  <c r="E557" i="5" a="1"/>
  <c r="E562" i="5" a="1"/>
  <c r="E567" i="5" a="1"/>
  <c r="E578" i="5" a="1"/>
  <c r="E583" i="5" a="1"/>
  <c r="E594" i="5" a="1"/>
  <c r="E605" i="5" a="1"/>
  <c r="E647" i="5" a="1"/>
  <c r="E669" i="5" a="1"/>
  <c r="E705" i="5" a="1"/>
  <c r="E737" i="5" a="1"/>
  <c r="E792" i="5" a="1"/>
  <c r="E824" i="5" a="1"/>
  <c r="E352" i="5" a="1"/>
  <c r="E398" i="5" a="1"/>
  <c r="E421" i="5" a="1"/>
  <c r="E471" i="5" a="1"/>
  <c r="E480" i="5" a="1"/>
  <c r="E485" i="5" a="1"/>
  <c r="E503" i="5" a="1"/>
  <c r="E520" i="5" a="1"/>
  <c r="E536" i="5" a="1"/>
  <c r="E552" i="5" a="1"/>
  <c r="E568" i="5" a="1"/>
  <c r="E584" i="5" a="1"/>
  <c r="E632" i="5" a="1"/>
  <c r="E648" i="5" a="1"/>
  <c r="E664" i="5" a="1"/>
  <c r="E701" i="5" a="1"/>
  <c r="E710" i="5" a="1"/>
  <c r="E719" i="5" a="1"/>
  <c r="E724" i="5" a="1"/>
  <c r="E733" i="5" a="1"/>
  <c r="E742" i="5" a="1"/>
  <c r="E765" i="5" a="1"/>
  <c r="E774" i="5" a="1"/>
  <c r="E788" i="5" a="1"/>
  <c r="E797" i="5" a="1"/>
  <c r="E806" i="5" a="1"/>
  <c r="E820" i="5" a="1"/>
  <c r="E829" i="5" a="1"/>
  <c r="E847" i="5" a="1"/>
  <c r="E852" i="5" a="1"/>
  <c r="E861" i="5" a="1"/>
  <c r="E633" i="5" a="1"/>
  <c r="E654" i="5" a="1"/>
  <c r="E665" i="5" a="1"/>
  <c r="E670" i="5" a="1"/>
  <c r="E691" i="5" a="1"/>
  <c r="E697" i="5" a="1"/>
  <c r="E706" i="5" a="1"/>
  <c r="E720" i="5" a="1"/>
  <c r="E729" i="5" a="1"/>
  <c r="E752" i="5" a="1"/>
  <c r="E761" i="5" a="1"/>
  <c r="E793" i="5" a="1"/>
  <c r="E811" i="5" a="1"/>
  <c r="E843" i="5" a="1"/>
  <c r="E380" i="5" a="1"/>
  <c r="E393" i="5" a="1"/>
  <c r="E453" i="5" a="1"/>
  <c r="E498" i="5" a="1"/>
  <c r="E515" i="5" a="1"/>
  <c r="E521" i="5" a="1"/>
  <c r="E542" i="5" a="1"/>
  <c r="E547" i="5" a="1"/>
  <c r="E553" i="5" a="1"/>
  <c r="E558" i="5" a="1"/>
  <c r="E563" i="5" a="1"/>
  <c r="E569" i="5" a="1"/>
  <c r="E574" i="5" a="1"/>
  <c r="E585" i="5" a="1"/>
  <c r="E590" i="5" a="1"/>
  <c r="E595" i="5" a="1"/>
  <c r="E601" i="5" a="1"/>
  <c r="E606" i="5" a="1"/>
  <c r="E611" i="5" a="1"/>
  <c r="E617" i="5" a="1"/>
  <c r="E659" i="5" a="1"/>
  <c r="E686" i="5" a="1"/>
  <c r="E715" i="5" a="1"/>
  <c r="E770" i="5" a="1"/>
  <c r="E866" i="5" a="1"/>
  <c r="G2" i="5" a="1"/>
  <c r="E2" i="5" a="1"/>
  <c r="G3" i="1" a="1"/>
  <c r="G7" i="1" a="1"/>
  <c r="G11" i="1" a="1"/>
  <c r="G15" i="1" a="1"/>
  <c r="G19" i="1" a="1"/>
  <c r="G23" i="1" a="1"/>
  <c r="G27" i="1" a="1"/>
  <c r="G31" i="1" a="1"/>
  <c r="G35" i="1" a="1"/>
  <c r="G39" i="1" a="1"/>
  <c r="G43" i="1" a="1"/>
  <c r="G47" i="1" a="1"/>
  <c r="G51" i="1" a="1"/>
  <c r="G55" i="1" a="1"/>
  <c r="G59" i="1" a="1"/>
  <c r="G63" i="1" a="1"/>
  <c r="G67" i="1" a="1"/>
  <c r="G71" i="1" a="1"/>
  <c r="G75" i="1" a="1"/>
  <c r="G79" i="1" a="1"/>
  <c r="G83" i="1" a="1"/>
  <c r="G87" i="1" a="1"/>
  <c r="G91" i="1" a="1"/>
  <c r="G95" i="1" a="1"/>
  <c r="G99" i="1" a="1"/>
  <c r="G103" i="1" a="1"/>
  <c r="G107" i="1" a="1"/>
  <c r="G111" i="1" a="1"/>
  <c r="G115" i="1" a="1"/>
  <c r="G119" i="1" a="1"/>
  <c r="G123" i="1" a="1"/>
  <c r="G127" i="1" a="1"/>
  <c r="G131" i="1" a="1"/>
  <c r="G135" i="1" a="1"/>
  <c r="G139" i="1" a="1"/>
  <c r="G143" i="1" a="1"/>
  <c r="G147" i="1" a="1"/>
  <c r="G151" i="1" a="1"/>
  <c r="G155" i="1" a="1"/>
  <c r="G159" i="1" a="1"/>
  <c r="G163" i="1" a="1"/>
  <c r="G167" i="1" a="1"/>
  <c r="G171" i="1" a="1"/>
  <c r="G175" i="1" a="1"/>
  <c r="G179" i="1" a="1"/>
  <c r="G183" i="1" a="1"/>
  <c r="G187" i="1" a="1"/>
  <c r="G191" i="1" a="1"/>
  <c r="G195" i="1" a="1"/>
  <c r="G199" i="1" a="1"/>
  <c r="G203" i="1" a="1"/>
  <c r="G207" i="1" a="1"/>
  <c r="G211" i="1" a="1"/>
  <c r="G215" i="1" a="1"/>
  <c r="G219" i="1" a="1"/>
  <c r="G223" i="1" a="1"/>
  <c r="G227" i="1" a="1"/>
  <c r="G231" i="1" a="1"/>
  <c r="G235" i="1" a="1"/>
  <c r="G239" i="1" a="1"/>
  <c r="G243" i="1" a="1"/>
  <c r="G247" i="1" a="1"/>
  <c r="G251" i="1" a="1"/>
  <c r="G255" i="1" a="1"/>
  <c r="G259" i="1" a="1"/>
  <c r="G263" i="1" a="1"/>
  <c r="G267" i="1" a="1"/>
  <c r="G271" i="1" a="1"/>
  <c r="G275" i="1" a="1"/>
  <c r="G279" i="1" a="1"/>
  <c r="G283" i="1" a="1"/>
  <c r="G287" i="1" a="1"/>
  <c r="G291" i="1" a="1"/>
  <c r="G295" i="1" a="1"/>
  <c r="G299" i="1" a="1"/>
  <c r="G303" i="1" a="1"/>
  <c r="G307" i="1" a="1"/>
  <c r="G311" i="1" a="1"/>
  <c r="G315" i="1" a="1"/>
  <c r="G319" i="1" a="1"/>
  <c r="G323" i="1" a="1"/>
  <c r="G327" i="1" a="1"/>
  <c r="G331" i="1" a="1"/>
  <c r="G335" i="1" a="1"/>
  <c r="G339" i="1" a="1"/>
  <c r="G343" i="1" a="1"/>
  <c r="G347" i="1" a="1"/>
  <c r="G351" i="1" a="1"/>
  <c r="G355" i="1" a="1"/>
  <c r="G359" i="1" a="1"/>
  <c r="G363" i="1" a="1"/>
  <c r="G367" i="1" a="1"/>
  <c r="G371" i="1" a="1"/>
  <c r="G375" i="1" a="1"/>
  <c r="G379" i="1" a="1"/>
  <c r="G383" i="1" a="1"/>
  <c r="G387" i="1" a="1"/>
  <c r="G391" i="1" a="1"/>
  <c r="G395" i="1" a="1"/>
  <c r="G399" i="1" a="1"/>
  <c r="G403" i="1" a="1"/>
  <c r="G407" i="1" a="1"/>
  <c r="G411" i="1" a="1"/>
  <c r="G415" i="1" a="1"/>
  <c r="G419" i="1" a="1"/>
  <c r="G4" i="1" a="1"/>
  <c r="G5" i="1" a="1"/>
  <c r="G6" i="1" a="1"/>
  <c r="G10" i="1" a="1"/>
  <c r="G14" i="1" a="1"/>
  <c r="G18" i="1" a="1"/>
  <c r="G22" i="1" a="1"/>
  <c r="G26" i="1" a="1"/>
  <c r="G30" i="1" a="1"/>
  <c r="G34" i="1" a="1"/>
  <c r="G38" i="1" a="1"/>
  <c r="G42" i="1" a="1"/>
  <c r="G46" i="1" a="1"/>
  <c r="G50" i="1" a="1"/>
  <c r="G54" i="1" a="1"/>
  <c r="G58" i="1" a="1"/>
  <c r="G62" i="1" a="1"/>
  <c r="G66" i="1" a="1"/>
  <c r="G70" i="1" a="1"/>
  <c r="G74" i="1" a="1"/>
  <c r="G78" i="1" a="1"/>
  <c r="G82" i="1" a="1"/>
  <c r="G86" i="1" a="1"/>
  <c r="G90" i="1" a="1"/>
  <c r="G94" i="1" a="1"/>
  <c r="G98" i="1" a="1"/>
  <c r="G102" i="1" a="1"/>
  <c r="G106" i="1" a="1"/>
  <c r="G110" i="1" a="1"/>
  <c r="G114" i="1" a="1"/>
  <c r="G118" i="1" a="1"/>
  <c r="G122" i="1" a="1"/>
  <c r="G126" i="1" a="1"/>
  <c r="G130" i="1" a="1"/>
  <c r="G134" i="1" a="1"/>
  <c r="G138" i="1" a="1"/>
  <c r="G142" i="1" a="1"/>
  <c r="G146" i="1" a="1"/>
  <c r="G150" i="1" a="1"/>
  <c r="G154" i="1" a="1"/>
  <c r="G158" i="1" a="1"/>
  <c r="G162" i="1" a="1"/>
  <c r="G166" i="1" a="1"/>
  <c r="G170" i="1" a="1"/>
  <c r="G174" i="1" a="1"/>
  <c r="G178" i="1" a="1"/>
  <c r="G182" i="1" a="1"/>
  <c r="G186" i="1" a="1"/>
  <c r="G190" i="1" a="1"/>
  <c r="G194" i="1" a="1"/>
  <c r="G198" i="1" a="1"/>
  <c r="G202" i="1" a="1"/>
  <c r="G206" i="1" a="1"/>
  <c r="G210" i="1" a="1"/>
  <c r="G214" i="1" a="1"/>
  <c r="G218" i="1" a="1"/>
  <c r="G222" i="1" a="1"/>
  <c r="G226" i="1" a="1"/>
  <c r="G230" i="1" a="1"/>
  <c r="G234" i="1" a="1"/>
  <c r="G238" i="1" a="1"/>
  <c r="G242" i="1" a="1"/>
  <c r="G246" i="1" a="1"/>
  <c r="G250" i="1" a="1"/>
  <c r="G254" i="1" a="1"/>
  <c r="G258" i="1" a="1"/>
  <c r="G262" i="1" a="1"/>
  <c r="G266" i="1" a="1"/>
  <c r="G270" i="1" a="1"/>
  <c r="G274" i="1" a="1"/>
  <c r="G278" i="1" a="1"/>
  <c r="G282" i="1" a="1"/>
  <c r="G286" i="1" a="1"/>
  <c r="G290" i="1" a="1"/>
  <c r="G294" i="1" a="1"/>
  <c r="G298" i="1" a="1"/>
  <c r="G302" i="1" a="1"/>
  <c r="G306" i="1" a="1"/>
  <c r="G310" i="1" a="1"/>
  <c r="G314" i="1" a="1"/>
  <c r="G318" i="1" a="1"/>
  <c r="G322" i="1" a="1"/>
  <c r="G326" i="1" a="1"/>
  <c r="G330" i="1" a="1"/>
  <c r="G334" i="1" a="1"/>
  <c r="G338" i="1" a="1"/>
  <c r="G342" i="1" a="1"/>
  <c r="G346" i="1" a="1"/>
  <c r="G350" i="1" a="1"/>
  <c r="G354" i="1" a="1"/>
  <c r="G358" i="1" a="1"/>
  <c r="G362" i="1" a="1"/>
  <c r="G366" i="1" a="1"/>
  <c r="G370" i="1" a="1"/>
  <c r="G374" i="1" a="1"/>
  <c r="G378" i="1" a="1"/>
  <c r="G382" i="1" a="1"/>
  <c r="G386" i="1" a="1"/>
  <c r="G390" i="1" a="1"/>
  <c r="G394" i="1" a="1"/>
  <c r="G398" i="1" a="1"/>
  <c r="G402" i="1" a="1"/>
  <c r="G406" i="1" a="1"/>
  <c r="G410" i="1" a="1"/>
  <c r="G414" i="1" a="1"/>
  <c r="G418" i="1" a="1"/>
  <c r="G422" i="1" a="1"/>
  <c r="G426" i="1" a="1"/>
  <c r="G430" i="1" a="1"/>
  <c r="G434" i="1" a="1"/>
  <c r="G438" i="1" a="1"/>
  <c r="G442" i="1" a="1"/>
  <c r="G446" i="1" a="1"/>
  <c r="G450" i="1" a="1"/>
  <c r="G454" i="1" a="1"/>
  <c r="G458" i="1" a="1"/>
  <c r="G462" i="1" a="1"/>
  <c r="G466" i="1" a="1"/>
  <c r="G470" i="1" a="1"/>
  <c r="G474" i="1" a="1"/>
  <c r="G478" i="1" a="1"/>
  <c r="G482" i="1" a="1"/>
  <c r="G486" i="1" a="1"/>
  <c r="G490" i="1" a="1"/>
  <c r="G494" i="1" a="1"/>
  <c r="G498" i="1" a="1"/>
  <c r="G502" i="1" a="1"/>
  <c r="G506" i="1" a="1"/>
  <c r="G510" i="1" a="1"/>
  <c r="G12" i="1" a="1"/>
  <c r="G17" i="1" a="1"/>
  <c r="G28" i="1" a="1"/>
  <c r="G33" i="1" a="1"/>
  <c r="G44" i="1" a="1"/>
  <c r="G49" i="1" a="1"/>
  <c r="G60" i="1" a="1"/>
  <c r="G65" i="1" a="1"/>
  <c r="G76" i="1" a="1"/>
  <c r="G81" i="1" a="1"/>
  <c r="G92" i="1" a="1"/>
  <c r="G97" i="1" a="1"/>
  <c r="G108" i="1" a="1"/>
  <c r="G113" i="1" a="1"/>
  <c r="G124" i="1" a="1"/>
  <c r="G129" i="1" a="1"/>
  <c r="G140" i="1" a="1"/>
  <c r="G145" i="1" a="1"/>
  <c r="G156" i="1" a="1"/>
  <c r="G161" i="1" a="1"/>
  <c r="G172" i="1" a="1"/>
  <c r="G177" i="1" a="1"/>
  <c r="G188" i="1" a="1"/>
  <c r="G193" i="1" a="1"/>
  <c r="G204" i="1" a="1"/>
  <c r="G209" i="1" a="1"/>
  <c r="G220" i="1" a="1"/>
  <c r="G225" i="1" a="1"/>
  <c r="G236" i="1" a="1"/>
  <c r="G241" i="1" a="1"/>
  <c r="G252" i="1" a="1"/>
  <c r="G257" i="1" a="1"/>
  <c r="G268" i="1" a="1"/>
  <c r="G273" i="1" a="1"/>
  <c r="G284" i="1" a="1"/>
  <c r="G289" i="1" a="1"/>
  <c r="G300" i="1" a="1"/>
  <c r="G305" i="1" a="1"/>
  <c r="G316" i="1" a="1"/>
  <c r="G321" i="1" a="1"/>
  <c r="G332" i="1" a="1"/>
  <c r="G337" i="1" a="1"/>
  <c r="G348" i="1" a="1"/>
  <c r="G353" i="1" a="1"/>
  <c r="G364" i="1" a="1"/>
  <c r="G369" i="1" a="1"/>
  <c r="G380" i="1" a="1"/>
  <c r="G385" i="1" a="1"/>
  <c r="G396" i="1" a="1"/>
  <c r="G401" i="1" a="1"/>
  <c r="G412" i="1" a="1"/>
  <c r="G417" i="1" a="1"/>
  <c r="G427" i="1" a="1"/>
  <c r="G436" i="1" a="1"/>
  <c r="G445" i="1" a="1"/>
  <c r="G459" i="1" a="1"/>
  <c r="G468" i="1" a="1"/>
  <c r="G477" i="1" a="1"/>
  <c r="G491" i="1" a="1"/>
  <c r="G500" i="1" a="1"/>
  <c r="G509" i="1" a="1"/>
  <c r="G8" i="1" a="1"/>
  <c r="G13" i="1" a="1"/>
  <c r="G24" i="1" a="1"/>
  <c r="G29" i="1" a="1"/>
  <c r="G40" i="1" a="1"/>
  <c r="G45" i="1" a="1"/>
  <c r="G56" i="1" a="1"/>
  <c r="G61" i="1" a="1"/>
  <c r="G72" i="1" a="1"/>
  <c r="G77" i="1" a="1"/>
  <c r="G88" i="1" a="1"/>
  <c r="G93" i="1" a="1"/>
  <c r="G104" i="1" a="1"/>
  <c r="G109" i="1" a="1"/>
  <c r="G16" i="1" a="1"/>
  <c r="G36" i="1" a="1"/>
  <c r="G69" i="1" a="1"/>
  <c r="G112" i="1" a="1"/>
  <c r="G120" i="1" a="1"/>
  <c r="G133" i="1" a="1"/>
  <c r="G141" i="1" a="1"/>
  <c r="G148" i="1" a="1"/>
  <c r="G169" i="1" a="1"/>
  <c r="G176" i="1" a="1"/>
  <c r="G184" i="1" a="1"/>
  <c r="G197" i="1" a="1"/>
  <c r="G205" i="1" a="1"/>
  <c r="G212" i="1" a="1"/>
  <c r="G233" i="1" a="1"/>
  <c r="G240" i="1" a="1"/>
  <c r="G248" i="1" a="1"/>
  <c r="G261" i="1" a="1"/>
  <c r="G269" i="1" a="1"/>
  <c r="G276" i="1" a="1"/>
  <c r="G297" i="1" a="1"/>
  <c r="G304" i="1" a="1"/>
  <c r="G312" i="1" a="1"/>
  <c r="G325" i="1" a="1"/>
  <c r="G333" i="1" a="1"/>
  <c r="G9" i="1" a="1"/>
  <c r="G20" i="1" a="1"/>
  <c r="G53" i="1" a="1"/>
  <c r="G96" i="1" a="1"/>
  <c r="G105" i="1" a="1"/>
  <c r="G397" i="1" a="1"/>
  <c r="G409" i="1" a="1"/>
  <c r="G421" i="1" a="1"/>
  <c r="G432" i="1" a="1"/>
  <c r="G437" i="1" a="1"/>
  <c r="G463" i="1" a="1"/>
  <c r="G479" i="1" a="1"/>
  <c r="G484" i="1" a="1"/>
  <c r="G489" i="1" a="1"/>
  <c r="G505" i="1" a="1"/>
  <c r="G515" i="1" a="1"/>
  <c r="G524" i="1" a="1"/>
  <c r="G533" i="1" a="1"/>
  <c r="G538" i="1" a="1"/>
  <c r="G542" i="1" a="1"/>
  <c r="G546" i="1" a="1"/>
  <c r="G550" i="1" a="1"/>
  <c r="G554" i="1" a="1"/>
  <c r="G558" i="1" a="1"/>
  <c r="G562" i="1" a="1"/>
  <c r="G566" i="1" a="1"/>
  <c r="G570" i="1" a="1"/>
  <c r="G574" i="1" a="1"/>
  <c r="G578" i="1" a="1"/>
  <c r="G582" i="1" a="1"/>
  <c r="G586" i="1" a="1"/>
  <c r="G590" i="1" a="1"/>
  <c r="G594" i="1" a="1"/>
  <c r="G598" i="1" a="1"/>
  <c r="G37" i="1" a="1"/>
  <c r="G80" i="1" a="1"/>
  <c r="G89" i="1" a="1"/>
  <c r="G121" i="1" a="1"/>
  <c r="G128" i="1" a="1"/>
  <c r="G136" i="1" a="1"/>
  <c r="G149" i="1" a="1"/>
  <c r="G157" i="1" a="1"/>
  <c r="G164" i="1" a="1"/>
  <c r="G185" i="1" a="1"/>
  <c r="G192" i="1" a="1"/>
  <c r="G200" i="1" a="1"/>
  <c r="G213" i="1" a="1"/>
  <c r="G221" i="1" a="1"/>
  <c r="G228" i="1" a="1"/>
  <c r="G249" i="1" a="1"/>
  <c r="G256" i="1" a="1"/>
  <c r="G264" i="1" a="1"/>
  <c r="G277" i="1" a="1"/>
  <c r="G285" i="1" a="1"/>
  <c r="G292" i="1" a="1"/>
  <c r="G313" i="1" a="1"/>
  <c r="G320" i="1" a="1"/>
  <c r="G328" i="1" a="1"/>
  <c r="G341" i="1" a="1"/>
  <c r="G349" i="1" a="1"/>
  <c r="G361" i="1" a="1"/>
  <c r="G373" i="1" a="1"/>
  <c r="G392" i="1" a="1"/>
  <c r="G404" i="1" a="1"/>
  <c r="G416" i="1" a="1"/>
  <c r="G443" i="1" a="1"/>
  <c r="G448" i="1" a="1"/>
  <c r="G453" i="1" a="1"/>
  <c r="G464" i="1" a="1"/>
  <c r="G469" i="1" a="1"/>
  <c r="G495" i="1" a="1"/>
  <c r="G511" i="1" a="1"/>
  <c r="G520" i="1" a="1"/>
  <c r="G529" i="1" a="1"/>
  <c r="G534" i="1" a="1"/>
  <c r="G21" i="1" a="1"/>
  <c r="G64" i="1" a="1"/>
  <c r="G73" i="1" a="1"/>
  <c r="G356" i="1" a="1"/>
  <c r="G368" i="1" a="1"/>
  <c r="G423" i="1" a="1"/>
  <c r="G428" i="1" a="1"/>
  <c r="G433" i="1" a="1"/>
  <c r="G475" i="1" a="1"/>
  <c r="G480" i="1" a="1"/>
  <c r="G485" i="1" a="1"/>
  <c r="G496" i="1" a="1"/>
  <c r="G501" i="1" a="1"/>
  <c r="G516" i="1" a="1"/>
  <c r="G525" i="1" a="1"/>
  <c r="G530" i="1" a="1"/>
  <c r="G539" i="1" a="1"/>
  <c r="G543" i="1" a="1"/>
  <c r="G547" i="1" a="1"/>
  <c r="G551" i="1" a="1"/>
  <c r="G555" i="1" a="1"/>
  <c r="G559" i="1" a="1"/>
  <c r="G563" i="1" a="1"/>
  <c r="G48" i="1" a="1"/>
  <c r="G57" i="1" a="1"/>
  <c r="G32" i="1" a="1"/>
  <c r="G68" i="1" a="1"/>
  <c r="G101" i="1" a="1"/>
  <c r="G117" i="1" a="1"/>
  <c r="G132" i="1" a="1"/>
  <c r="G160" i="1" a="1"/>
  <c r="G189" i="1" a="1"/>
  <c r="G217" i="1" a="1"/>
  <c r="G232" i="1" a="1"/>
  <c r="G245" i="1" a="1"/>
  <c r="G260" i="1" a="1"/>
  <c r="G288" i="1" a="1"/>
  <c r="G317" i="1" a="1"/>
  <c r="G413" i="1" a="1"/>
  <c r="G447" i="1" a="1"/>
  <c r="G456" i="1" a="1"/>
  <c r="G465" i="1" a="1"/>
  <c r="G472" i="1" a="1"/>
  <c r="G481" i="1" a="1"/>
  <c r="G507" i="1" a="1"/>
  <c r="G514" i="1" a="1"/>
  <c r="G522" i="1" a="1"/>
  <c r="G528" i="1" a="1"/>
  <c r="G536" i="1" a="1"/>
  <c r="G549" i="1" a="1"/>
  <c r="G556" i="1" a="1"/>
  <c r="G568" i="1" a="1"/>
  <c r="G573" i="1" a="1"/>
  <c r="G579" i="1" a="1"/>
  <c r="G584" i="1" a="1"/>
  <c r="G593" i="1" a="1"/>
  <c r="G602" i="1" a="1"/>
  <c r="G606" i="1" a="1"/>
  <c r="G610" i="1" a="1"/>
  <c r="G614" i="1" a="1"/>
  <c r="G618" i="1" a="1"/>
  <c r="G622" i="1" a="1"/>
  <c r="G626" i="1" a="1"/>
  <c r="G630" i="1" a="1"/>
  <c r="G634" i="1" a="1"/>
  <c r="G638" i="1" a="1"/>
  <c r="G642" i="1" a="1"/>
  <c r="G646" i="1" a="1"/>
  <c r="G650" i="1" a="1"/>
  <c r="G654" i="1" a="1"/>
  <c r="G658" i="1" a="1"/>
  <c r="G662" i="1" a="1"/>
  <c r="G666" i="1" a="1"/>
  <c r="G670" i="1" a="1"/>
  <c r="G674" i="1" a="1"/>
  <c r="G678" i="1" a="1"/>
  <c r="G682" i="1" a="1"/>
  <c r="G686" i="1" a="1"/>
  <c r="G690" i="1" a="1"/>
  <c r="G694" i="1" a="1"/>
  <c r="G698" i="1" a="1"/>
  <c r="G702" i="1" a="1"/>
  <c r="G706" i="1" a="1"/>
  <c r="G710" i="1" a="1"/>
  <c r="G714" i="1" a="1"/>
  <c r="G718" i="1" a="1"/>
  <c r="G722" i="1" a="1"/>
  <c r="G726" i="1" a="1"/>
  <c r="G730" i="1" a="1"/>
  <c r="G734" i="1" a="1"/>
  <c r="G738" i="1" a="1"/>
  <c r="G742" i="1" a="1"/>
  <c r="G746" i="1" a="1"/>
  <c r="G750" i="1" a="1"/>
  <c r="G754" i="1" a="1"/>
  <c r="G758" i="1" a="1"/>
  <c r="G762" i="1" a="1"/>
  <c r="G766" i="1" a="1"/>
  <c r="G770" i="1" a="1"/>
  <c r="G774" i="1" a="1"/>
  <c r="G778" i="1" a="1"/>
  <c r="G782" i="1" a="1"/>
  <c r="G786" i="1" a="1"/>
  <c r="G790" i="1" a="1"/>
  <c r="G794" i="1" a="1"/>
  <c r="G798" i="1" a="1"/>
  <c r="G802" i="1" a="1"/>
  <c r="G806" i="1" a="1"/>
  <c r="G810" i="1" a="1"/>
  <c r="G814" i="1" a="1"/>
  <c r="G818" i="1" a="1"/>
  <c r="G822" i="1" a="1"/>
  <c r="G826" i="1" a="1"/>
  <c r="G830" i="1" a="1"/>
  <c r="G834" i="1" a="1"/>
  <c r="G838" i="1" a="1"/>
  <c r="G842" i="1" a="1"/>
  <c r="G846" i="1" a="1"/>
  <c r="G850" i="1" a="1"/>
  <c r="G854" i="1" a="1"/>
  <c r="G858" i="1" a="1"/>
  <c r="G862" i="1" a="1"/>
  <c r="G866" i="1" a="1"/>
  <c r="G85" i="1" a="1"/>
  <c r="G345" i="1" a="1"/>
  <c r="G365" i="1" a="1"/>
  <c r="G376" i="1" a="1"/>
  <c r="G384" i="1" a="1"/>
  <c r="G405" i="1" a="1"/>
  <c r="G424" i="1" a="1"/>
  <c r="G431" i="1" a="1"/>
  <c r="G440" i="1" a="1"/>
  <c r="G449" i="1" a="1"/>
  <c r="G473" i="1" a="1"/>
  <c r="G544" i="1" a="1"/>
  <c r="G589" i="1" a="1"/>
  <c r="G25" i="1" a="1"/>
  <c r="G137" i="1" a="1"/>
  <c r="G152" i="1" a="1"/>
  <c r="G165" i="1" a="1"/>
  <c r="G180" i="1" a="1"/>
  <c r="G208" i="1" a="1"/>
  <c r="G237" i="1" a="1"/>
  <c r="G265" i="1" a="1"/>
  <c r="G280" i="1" a="1"/>
  <c r="G293" i="1" a="1"/>
  <c r="G308" i="1" a="1"/>
  <c r="G336" i="1" a="1"/>
  <c r="G357" i="1" a="1"/>
  <c r="G441" i="1" a="1"/>
  <c r="G457" i="1" a="1"/>
  <c r="G483" i="1" a="1"/>
  <c r="G492" i="1" a="1"/>
  <c r="G499" i="1" a="1"/>
  <c r="G508" i="1" a="1"/>
  <c r="G523" i="1" a="1"/>
  <c r="G531" i="1" a="1"/>
  <c r="G537" i="1" a="1"/>
  <c r="G557" i="1" a="1"/>
  <c r="G564" i="1" a="1"/>
  <c r="G569" i="1" a="1"/>
  <c r="G575" i="1" a="1"/>
  <c r="G580" i="1" a="1"/>
  <c r="G585" i="1" a="1"/>
  <c r="G599" i="1" a="1"/>
  <c r="G603" i="1" a="1"/>
  <c r="G607" i="1" a="1"/>
  <c r="G611" i="1" a="1"/>
  <c r="G615" i="1" a="1"/>
  <c r="G619" i="1" a="1"/>
  <c r="G623" i="1" a="1"/>
  <c r="G627" i="1" a="1"/>
  <c r="G631" i="1" a="1"/>
  <c r="G635" i="1" a="1"/>
  <c r="G639" i="1" a="1"/>
  <c r="G643" i="1" a="1"/>
  <c r="G647" i="1" a="1"/>
  <c r="G651" i="1" a="1"/>
  <c r="G655" i="1" a="1"/>
  <c r="G659" i="1" a="1"/>
  <c r="G663" i="1" a="1"/>
  <c r="G667" i="1" a="1"/>
  <c r="G671" i="1" a="1"/>
  <c r="G675" i="1" a="1"/>
  <c r="G679" i="1" a="1"/>
  <c r="G683" i="1" a="1"/>
  <c r="G687" i="1" a="1"/>
  <c r="G691" i="1" a="1"/>
  <c r="G695" i="1" a="1"/>
  <c r="G699" i="1" a="1"/>
  <c r="G703" i="1" a="1"/>
  <c r="G707" i="1" a="1"/>
  <c r="G711" i="1" a="1"/>
  <c r="G715" i="1" a="1"/>
  <c r="G719" i="1" a="1"/>
  <c r="G723" i="1" a="1"/>
  <c r="G727" i="1" a="1"/>
  <c r="G731" i="1" a="1"/>
  <c r="G735" i="1" a="1"/>
  <c r="G739" i="1" a="1"/>
  <c r="G52" i="1" a="1"/>
  <c r="G377" i="1" a="1"/>
  <c r="G388" i="1" a="1"/>
  <c r="G425" i="1" a="1"/>
  <c r="G451" i="1" a="1"/>
  <c r="G460" i="1" a="1"/>
  <c r="G467" i="1" a="1"/>
  <c r="G476" i="1" a="1"/>
  <c r="G517" i="1" a="1"/>
  <c r="G545" i="1" a="1"/>
  <c r="G552" i="1" a="1"/>
  <c r="G595" i="1" a="1"/>
  <c r="G125" i="1" a="1"/>
  <c r="G153" i="1" a="1"/>
  <c r="G168" i="1" a="1"/>
  <c r="G181" i="1" a="1"/>
  <c r="G196" i="1" a="1"/>
  <c r="G224" i="1" a="1"/>
  <c r="G253" i="1" a="1"/>
  <c r="G360" i="1" a="1"/>
  <c r="G381" i="1" a="1"/>
  <c r="G389" i="1" a="1"/>
  <c r="G400" i="1" a="1"/>
  <c r="G452" i="1" a="1"/>
  <c r="G461" i="1" a="1"/>
  <c r="G487" i="1" a="1"/>
  <c r="G503" i="1" a="1"/>
  <c r="G512" i="1" a="1"/>
  <c r="G553" i="1" a="1"/>
  <c r="G560" i="1" a="1"/>
  <c r="G587" i="1" a="1"/>
  <c r="G596" i="1" a="1"/>
  <c r="G41" i="1" a="1"/>
  <c r="G100" i="1" a="1"/>
  <c r="G116" i="1" a="1"/>
  <c r="G144" i="1" a="1"/>
  <c r="G173" i="1" a="1"/>
  <c r="G201" i="1" a="1"/>
  <c r="G216" i="1" a="1"/>
  <c r="G229" i="1" a="1"/>
  <c r="G244" i="1" a="1"/>
  <c r="G272" i="1" a="1"/>
  <c r="G281" i="1" a="1"/>
  <c r="G352" i="1" a="1"/>
  <c r="G429" i="1" a="1"/>
  <c r="G518" i="1" a="1"/>
  <c r="G571" i="1" a="1"/>
  <c r="G608" i="1" a="1"/>
  <c r="G617" i="1" a="1"/>
  <c r="G625" i="1" a="1"/>
  <c r="G633" i="1" a="1"/>
  <c r="G641" i="1" a="1"/>
  <c r="G649" i="1" a="1"/>
  <c r="G657" i="1" a="1"/>
  <c r="G665" i="1" a="1"/>
  <c r="G673" i="1" a="1"/>
  <c r="G681" i="1" a="1"/>
  <c r="G689" i="1" a="1"/>
  <c r="G697" i="1" a="1"/>
  <c r="G705" i="1" a="1"/>
  <c r="G713" i="1" a="1"/>
  <c r="G721" i="1" a="1"/>
  <c r="G729" i="1" a="1"/>
  <c r="G737" i="1" a="1"/>
  <c r="G785" i="1" a="1"/>
  <c r="G324" i="1" a="1"/>
  <c r="G408" i="1" a="1"/>
  <c r="G455" i="1" a="1"/>
  <c r="G497" i="1" a="1"/>
  <c r="G519" i="1" a="1"/>
  <c r="G540" i="1" a="1"/>
  <c r="G572" i="1" a="1"/>
  <c r="G597" i="1" a="1"/>
  <c r="G609" i="1" a="1"/>
  <c r="G744" i="1" a="1"/>
  <c r="G749" i="1" a="1"/>
  <c r="G755" i="1" a="1"/>
  <c r="G760" i="1" a="1"/>
  <c r="G765" i="1" a="1"/>
  <c r="G771" i="1" a="1"/>
  <c r="G776" i="1" a="1"/>
  <c r="G781" i="1" a="1"/>
  <c r="G787" i="1" a="1"/>
  <c r="G792" i="1" a="1"/>
  <c r="G797" i="1" a="1"/>
  <c r="G803" i="1" a="1"/>
  <c r="G808" i="1" a="1"/>
  <c r="G813" i="1" a="1"/>
  <c r="G819" i="1" a="1"/>
  <c r="G824" i="1" a="1"/>
  <c r="G829" i="1" a="1"/>
  <c r="G835" i="1" a="1"/>
  <c r="G840" i="1" a="1"/>
  <c r="G845" i="1" a="1"/>
  <c r="G851" i="1" a="1"/>
  <c r="G856" i="1" a="1"/>
  <c r="G861" i="1" a="1"/>
  <c r="G867" i="1" a="1"/>
  <c r="G775" i="1" a="1"/>
  <c r="G84" i="1" a="1"/>
  <c r="G329" i="1" a="1"/>
  <c r="G435" i="1" a="1"/>
  <c r="G521" i="1" a="1"/>
  <c r="G541" i="1" a="1"/>
  <c r="G600" i="1" a="1"/>
  <c r="G796" i="1" a="1"/>
  <c r="G296" i="1" a="1"/>
  <c r="G526" i="1" a="1"/>
  <c r="G576" i="1" a="1"/>
  <c r="G588" i="1" a="1"/>
  <c r="G601" i="1" a="1"/>
  <c r="G612" i="1" a="1"/>
  <c r="G620" i="1" a="1"/>
  <c r="G628" i="1" a="1"/>
  <c r="G636" i="1" a="1"/>
  <c r="G644" i="1" a="1"/>
  <c r="G652" i="1" a="1"/>
  <c r="G660" i="1" a="1"/>
  <c r="G668" i="1" a="1"/>
  <c r="G676" i="1" a="1"/>
  <c r="G684" i="1" a="1"/>
  <c r="G692" i="1" a="1"/>
  <c r="G700" i="1" a="1"/>
  <c r="G708" i="1" a="1"/>
  <c r="G716" i="1" a="1"/>
  <c r="G724" i="1" a="1"/>
  <c r="G732" i="1" a="1"/>
  <c r="G740" i="1" a="1"/>
  <c r="G745" i="1" a="1"/>
  <c r="G751" i="1" a="1"/>
  <c r="G756" i="1" a="1"/>
  <c r="G761" i="1" a="1"/>
  <c r="G767" i="1" a="1"/>
  <c r="G772" i="1" a="1"/>
  <c r="G777" i="1" a="1"/>
  <c r="G783" i="1" a="1"/>
  <c r="G788" i="1" a="1"/>
  <c r="G793" i="1" a="1"/>
  <c r="G799" i="1" a="1"/>
  <c r="G804" i="1" a="1"/>
  <c r="G809" i="1" a="1"/>
  <c r="G815" i="1" a="1"/>
  <c r="G820" i="1" a="1"/>
  <c r="G825" i="1" a="1"/>
  <c r="G831" i="1" a="1"/>
  <c r="G836" i="1" a="1"/>
  <c r="G841" i="1" a="1"/>
  <c r="G847" i="1" a="1"/>
  <c r="G852" i="1" a="1"/>
  <c r="G857" i="1" a="1"/>
  <c r="G863" i="1" a="1"/>
  <c r="G791" i="1" a="1"/>
  <c r="G301" i="1" a="1"/>
  <c r="G439" i="1" a="1"/>
  <c r="G504" i="1" a="1"/>
  <c r="G527" i="1" a="1"/>
  <c r="G561" i="1" a="1"/>
  <c r="G577" i="1" a="1"/>
  <c r="G591" i="1" a="1"/>
  <c r="G613" i="1" a="1"/>
  <c r="G621" i="1" a="1"/>
  <c r="G629" i="1" a="1"/>
  <c r="G637" i="1" a="1"/>
  <c r="G645" i="1" a="1"/>
  <c r="G653" i="1" a="1"/>
  <c r="G661" i="1" a="1"/>
  <c r="G669" i="1" a="1"/>
  <c r="G677" i="1" a="1"/>
  <c r="G685" i="1" a="1"/>
  <c r="G693" i="1" a="1"/>
  <c r="G701" i="1" a="1"/>
  <c r="G709" i="1" a="1"/>
  <c r="G717" i="1" a="1"/>
  <c r="G725" i="1" a="1"/>
  <c r="G733" i="1" a="1"/>
  <c r="G340" i="1" a="1"/>
  <c r="G393" i="1" a="1"/>
  <c r="G420" i="1" a="1"/>
  <c r="G444" i="1" a="1"/>
  <c r="G548" i="1" a="1"/>
  <c r="G565" i="1" a="1"/>
  <c r="G592" i="1" a="1"/>
  <c r="G604" i="1" a="1"/>
  <c r="G741" i="1" a="1"/>
  <c r="G747" i="1" a="1"/>
  <c r="G752" i="1" a="1"/>
  <c r="G757" i="1" a="1"/>
  <c r="G763" i="1" a="1"/>
  <c r="G768" i="1" a="1"/>
  <c r="G773" i="1" a="1"/>
  <c r="G779" i="1" a="1"/>
  <c r="G784" i="1" a="1"/>
  <c r="G789" i="1" a="1"/>
  <c r="G795" i="1" a="1"/>
  <c r="G800" i="1" a="1"/>
  <c r="G805" i="1" a="1"/>
  <c r="G811" i="1" a="1"/>
  <c r="G816" i="1" a="1"/>
  <c r="G821" i="1" a="1"/>
  <c r="G827" i="1" a="1"/>
  <c r="G832" i="1" a="1"/>
  <c r="G837" i="1" a="1"/>
  <c r="G843" i="1" a="1"/>
  <c r="G848" i="1" a="1"/>
  <c r="G853" i="1" a="1"/>
  <c r="G859" i="1" a="1"/>
  <c r="G864" i="1" a="1"/>
  <c r="G309" i="1" a="1"/>
  <c r="G344" i="1" a="1"/>
  <c r="G488" i="1" a="1"/>
  <c r="G532" i="1" a="1"/>
  <c r="G567" i="1" a="1"/>
  <c r="G581" i="1" a="1"/>
  <c r="G605" i="1" a="1"/>
  <c r="G372" i="1" a="1"/>
  <c r="G471" i="1" a="1"/>
  <c r="G493" i="1" a="1"/>
  <c r="G513" i="1" a="1"/>
  <c r="G535" i="1" a="1"/>
  <c r="G583" i="1" a="1"/>
  <c r="G616" i="1" a="1"/>
  <c r="G624" i="1" a="1"/>
  <c r="G632" i="1" a="1"/>
  <c r="G640" i="1" a="1"/>
  <c r="G648" i="1" a="1"/>
  <c r="G656" i="1" a="1"/>
  <c r="G664" i="1" a="1"/>
  <c r="G672" i="1" a="1"/>
  <c r="G680" i="1" a="1"/>
  <c r="G688" i="1" a="1"/>
  <c r="G696" i="1" a="1"/>
  <c r="G704" i="1" a="1"/>
  <c r="G712" i="1" a="1"/>
  <c r="G720" i="1" a="1"/>
  <c r="G728" i="1" a="1"/>
  <c r="G736" i="1" a="1"/>
  <c r="G743" i="1" a="1"/>
  <c r="G748" i="1" a="1"/>
  <c r="G753" i="1" a="1"/>
  <c r="G759" i="1" a="1"/>
  <c r="G764" i="1" a="1"/>
  <c r="G769" i="1" a="1"/>
  <c r="G780" i="1" a="1"/>
  <c r="G801" i="1" a="1"/>
  <c r="G807" i="1" a="1"/>
  <c r="G812" i="1" a="1"/>
  <c r="G817" i="1" a="1"/>
  <c r="G823" i="1" a="1"/>
  <c r="G828" i="1" a="1"/>
  <c r="G833" i="1" a="1"/>
  <c r="G839" i="1" a="1"/>
  <c r="G844" i="1" a="1"/>
  <c r="G849" i="1" a="1"/>
  <c r="G855" i="1" a="1"/>
  <c r="G860" i="1" a="1"/>
  <c r="G865" i="1" a="1"/>
  <c r="G2" i="1" a="1"/>
  <c r="E3" i="1" a="1"/>
  <c r="E4" i="1" a="1"/>
  <c r="E5" i="1" a="1"/>
  <c r="E12" i="1" a="1"/>
  <c r="E17" i="1" a="1"/>
  <c r="E22" i="1" a="1"/>
  <c r="E27" i="1" a="1"/>
  <c r="E32" i="1" a="1"/>
  <c r="E41" i="1" a="1"/>
  <c r="E50" i="1" a="1"/>
  <c r="E59" i="1" a="1"/>
  <c r="E64" i="1" a="1"/>
  <c r="E73" i="1" a="1"/>
  <c r="E91" i="1" a="1"/>
  <c r="E96" i="1" a="1"/>
  <c r="E28" i="1" a="1"/>
  <c r="E37" i="1" a="1"/>
  <c r="E46" i="1" a="1"/>
  <c r="E55" i="1" a="1"/>
  <c r="E69" i="1" a="1"/>
  <c r="E78" i="1" a="1"/>
  <c r="E87" i="1" a="1"/>
  <c r="E92" i="1" a="1"/>
  <c r="E110" i="1" a="1"/>
  <c r="E119" i="1" a="1"/>
  <c r="E124" i="1" a="1"/>
  <c r="E133" i="1" a="1"/>
  <c r="E142" i="1" a="1"/>
  <c r="E151" i="1" a="1"/>
  <c r="E156" i="1" a="1"/>
  <c r="E165" i="1" a="1"/>
  <c r="E183" i="1" a="1"/>
  <c r="E188" i="1" a="1"/>
  <c r="E206" i="1" a="1"/>
  <c r="E215" i="1" a="1"/>
  <c r="E229" i="1" a="1"/>
  <c r="E238" i="1" a="1"/>
  <c r="E13" i="1" a="1"/>
  <c r="E18" i="1" a="1"/>
  <c r="E33" i="1" a="1"/>
  <c r="E42" i="1" a="1"/>
  <c r="E51" i="1" a="1"/>
  <c r="E56" i="1" a="1"/>
  <c r="E65" i="1" a="1"/>
  <c r="E74" i="1" a="1"/>
  <c r="E97" i="1" a="1"/>
  <c r="E106" i="1" a="1"/>
  <c r="E120" i="1" a="1"/>
  <c r="E129" i="1" a="1"/>
  <c r="E138" i="1" a="1"/>
  <c r="E147" i="1" a="1"/>
  <c r="E152" i="1" a="1"/>
  <c r="E161" i="1" a="1"/>
  <c r="E170" i="1" a="1"/>
  <c r="E184" i="1" a="1"/>
  <c r="E211" i="1" a="1"/>
  <c r="E216" i="1" a="1"/>
  <c r="E225" i="1" a="1"/>
  <c r="E243" i="1" a="1"/>
  <c r="E248" i="1" a="1"/>
  <c r="E298" i="1" a="1"/>
  <c r="E312" i="1" a="1"/>
  <c r="E321" i="1" a="1"/>
  <c r="E339" i="1" a="1"/>
  <c r="E19" i="1" a="1"/>
  <c r="E29" i="1" a="1"/>
  <c r="E47" i="1" a="1"/>
  <c r="E52" i="1" a="1"/>
  <c r="E61" i="1" a="1"/>
  <c r="E79" i="1" a="1"/>
  <c r="E84" i="1" a="1"/>
  <c r="E93" i="1" a="1"/>
  <c r="E102" i="1" a="1"/>
  <c r="E111" i="1" a="1"/>
  <c r="E116" i="1" a="1"/>
  <c r="E125" i="1" a="1"/>
  <c r="E134" i="1" a="1"/>
  <c r="E143" i="1" a="1"/>
  <c r="E148" i="1" a="1"/>
  <c r="E157" i="1" a="1"/>
  <c r="E189" i="1" a="1"/>
  <c r="E198" i="1" a="1"/>
  <c r="E221" i="1" a="1"/>
  <c r="E230" i="1" a="1"/>
  <c r="E239" i="1" a="1"/>
  <c r="E244" i="1" a="1"/>
  <c r="E253" i="1" a="1"/>
  <c r="E262" i="1" a="1"/>
  <c r="E271" i="1" a="1"/>
  <c r="E14" i="1" a="1"/>
  <c r="E25" i="1" a="1"/>
  <c r="E34" i="1" a="1"/>
  <c r="E43" i="1" a="1"/>
  <c r="E48" i="1" a="1"/>
  <c r="E57" i="1" a="1"/>
  <c r="E66" i="1" a="1"/>
  <c r="E75" i="1" a="1"/>
  <c r="E80" i="1" a="1"/>
  <c r="E89" i="1" a="1"/>
  <c r="E98" i="1" a="1"/>
  <c r="E107" i="1" a="1"/>
  <c r="E121" i="1" a="1"/>
  <c r="E130" i="1" a="1"/>
  <c r="E139" i="1" a="1"/>
  <c r="E153" i="1" a="1"/>
  <c r="E162" i="1" a="1"/>
  <c r="E171" i="1" a="1"/>
  <c r="E176" i="1" a="1"/>
  <c r="E194" i="1" a="1"/>
  <c r="E217" i="1" a="1"/>
  <c r="E226" i="1" a="1"/>
  <c r="E235" i="1" a="1"/>
  <c r="E240" i="1" a="1"/>
  <c r="E258" i="1" a="1"/>
  <c r="E267" i="1" a="1"/>
  <c r="E272" i="1" a="1"/>
  <c r="E15" i="1" a="1"/>
  <c r="E39" i="1" a="1"/>
  <c r="E44" i="1" a="1"/>
  <c r="E62" i="1" a="1"/>
  <c r="E71" i="1" a="1"/>
  <c r="E76" i="1" a="1"/>
  <c r="E85" i="1" a="1"/>
  <c r="E94" i="1" a="1"/>
  <c r="E103" i="1" a="1"/>
  <c r="E108" i="1" a="1"/>
  <c r="E126" i="1" a="1"/>
  <c r="E135" i="1" a="1"/>
  <c r="E140" i="1" a="1"/>
  <c r="E149" i="1" a="1"/>
  <c r="E158" i="1" a="1"/>
  <c r="E190" i="1" a="1"/>
  <c r="E199" i="1" a="1"/>
  <c r="E222" i="1" a="1"/>
  <c r="E231" i="1" a="1"/>
  <c r="E236" i="1" a="1"/>
  <c r="E245" i="1" a="1"/>
  <c r="E254" i="1" a="1"/>
  <c r="E263" i="1" a="1"/>
  <c r="E268" i="1" a="1"/>
  <c r="E10" i="1" a="1"/>
  <c r="E16" i="1" a="1"/>
  <c r="E21" i="1" a="1"/>
  <c r="E26" i="1" a="1"/>
  <c r="E35" i="1" a="1"/>
  <c r="E40" i="1" a="1"/>
  <c r="E49" i="1" a="1"/>
  <c r="E58" i="1" a="1"/>
  <c r="E67" i="1" a="1"/>
  <c r="E90" i="1" a="1"/>
  <c r="E11" i="1" a="1"/>
  <c r="E31" i="1" a="1"/>
  <c r="E45" i="1" a="1"/>
  <c r="E68" i="1" a="1"/>
  <c r="E86" i="1" a="1"/>
  <c r="E95" i="1" a="1"/>
  <c r="E100" i="1" a="1"/>
  <c r="E109" i="1" a="1"/>
  <c r="E118" i="1" a="1"/>
  <c r="E127" i="1" a="1"/>
  <c r="E132" i="1" a="1"/>
  <c r="E141" i="1" a="1"/>
  <c r="E150" i="1" a="1"/>
  <c r="E159" i="1" a="1"/>
  <c r="E164" i="1" a="1"/>
  <c r="E182" i="1" a="1"/>
  <c r="E191" i="1" a="1"/>
  <c r="E196" i="1" a="1"/>
  <c r="E214" i="1" a="1"/>
  <c r="E223" i="1" a="1"/>
  <c r="E114" i="1" a="1"/>
  <c r="E128" i="1" a="1"/>
  <c r="E160" i="1" a="1"/>
  <c r="E186" i="1" a="1"/>
  <c r="E200" i="1" a="1"/>
  <c r="E228" i="1" a="1"/>
  <c r="E256" i="1" a="1"/>
  <c r="E264" i="1" a="1"/>
  <c r="E276" i="1" a="1"/>
  <c r="E290" i="1" a="1"/>
  <c r="E295" i="1" a="1"/>
  <c r="E310" i="1" a="1"/>
  <c r="E315" i="1" a="1"/>
  <c r="E326" i="1" a="1"/>
  <c r="E336" i="1" a="1"/>
  <c r="E341" i="1" a="1"/>
  <c r="E350" i="1" a="1"/>
  <c r="E359" i="1" a="1"/>
  <c r="E364" i="1" a="1"/>
  <c r="E373" i="1" a="1"/>
  <c r="E382" i="1" a="1"/>
  <c r="E391" i="1" a="1"/>
  <c r="E405" i="1" a="1"/>
  <c r="E423" i="1" a="1"/>
  <c r="E428" i="1" a="1"/>
  <c r="E437" i="1" a="1"/>
  <c r="E446" i="1" a="1"/>
  <c r="E455" i="1" a="1"/>
  <c r="E460" i="1" a="1"/>
  <c r="E469" i="1" a="1"/>
  <c r="E145" i="1" a="1"/>
  <c r="E163" i="1" a="1"/>
  <c r="E187" i="1" a="1"/>
  <c r="E201" i="1" a="1"/>
  <c r="E241" i="1" a="1"/>
  <c r="E270" i="1" a="1"/>
  <c r="E286" i="1" a="1"/>
  <c r="E296" i="1" a="1"/>
  <c r="E301" i="1" a="1"/>
  <c r="E331" i="1" a="1"/>
  <c r="E346" i="1" a="1"/>
  <c r="E360" i="1" a="1"/>
  <c r="E369" i="1" a="1"/>
  <c r="E387" i="1" a="1"/>
  <c r="E392" i="1" a="1"/>
  <c r="E401" i="1" a="1"/>
  <c r="E410" i="1" a="1"/>
  <c r="E424" i="1" a="1"/>
  <c r="E442" i="1" a="1"/>
  <c r="E451" i="1" a="1"/>
  <c r="E456" i="1" a="1"/>
  <c r="E465" i="1" a="1"/>
  <c r="E474" i="1" a="1"/>
  <c r="E488" i="1" a="1"/>
  <c r="E496" i="1" a="1"/>
  <c r="E500" i="1" a="1"/>
  <c r="E504" i="1" a="1"/>
  <c r="E508" i="1" a="1"/>
  <c r="E512" i="1" a="1"/>
  <c r="E516" i="1" a="1"/>
  <c r="E520" i="1" a="1"/>
  <c r="E146" i="1" a="1"/>
  <c r="E218" i="1" a="1"/>
  <c r="E232" i="1" a="1"/>
  <c r="E265" i="1" a="1"/>
  <c r="E291" i="1" a="1"/>
  <c r="E311" i="1" a="1"/>
  <c r="E322" i="1" a="1"/>
  <c r="E327" i="1" a="1"/>
  <c r="E332" i="1" a="1"/>
  <c r="E337" i="1" a="1"/>
  <c r="E351" i="1" a="1"/>
  <c r="E356" i="1" a="1"/>
  <c r="E383" i="1" a="1"/>
  <c r="E388" i="1" a="1"/>
  <c r="E406" i="1" a="1"/>
  <c r="E420" i="1" a="1"/>
  <c r="E429" i="1" a="1"/>
  <c r="E438" i="1" a="1"/>
  <c r="E447" i="1" a="1"/>
  <c r="E470" i="1" a="1"/>
  <c r="E479" i="1" a="1"/>
  <c r="E136" i="1" a="1"/>
  <c r="E192" i="1" a="1"/>
  <c r="E242" i="1" a="1"/>
  <c r="E282" i="1" a="1"/>
  <c r="E292" i="1" a="1"/>
  <c r="E297" i="1" a="1"/>
  <c r="E328" i="1" a="1"/>
  <c r="E347" i="1" a="1"/>
  <c r="E352" i="1" a="1"/>
  <c r="E370" i="1" a="1"/>
  <c r="E379" i="1" a="1"/>
  <c r="E384" i="1" a="1"/>
  <c r="E393" i="1" a="1"/>
  <c r="E411" i="1" a="1"/>
  <c r="E425" i="1" a="1"/>
  <c r="E434" i="1" a="1"/>
  <c r="E448" i="1" a="1"/>
  <c r="E457" i="1" a="1"/>
  <c r="E466" i="1" a="1"/>
  <c r="E475" i="1" a="1"/>
  <c r="E480" i="1" a="1"/>
  <c r="E489" i="1" a="1"/>
  <c r="E493" i="1" a="1"/>
  <c r="E497" i="1" a="1"/>
  <c r="E501" i="1" a="1"/>
  <c r="E513" i="1" a="1"/>
  <c r="E517" i="1" a="1"/>
  <c r="E521" i="1" a="1"/>
  <c r="E525" i="1" a="1"/>
  <c r="E529" i="1" a="1"/>
  <c r="E533" i="1" a="1"/>
  <c r="E541" i="1" a="1"/>
  <c r="E549" i="1" a="1"/>
  <c r="E553" i="1" a="1"/>
  <c r="E557" i="1" a="1"/>
  <c r="E565" i="1" a="1"/>
  <c r="E210" i="1" a="1"/>
  <c r="E233" i="1" a="1"/>
  <c r="E259" i="1" a="1"/>
  <c r="E288" i="1" a="1"/>
  <c r="E303" i="1" a="1"/>
  <c r="E308" i="1" a="1"/>
  <c r="E313" i="1" a="1"/>
  <c r="E318" i="1" a="1"/>
  <c r="E323" i="1" a="1"/>
  <c r="E333" i="1" a="1"/>
  <c r="E338" i="1" a="1"/>
  <c r="E343" i="1" a="1"/>
  <c r="E357" i="1" a="1"/>
  <c r="E366" i="1" a="1"/>
  <c r="E380" i="1" a="1"/>
  <c r="E389" i="1" a="1"/>
  <c r="E398" i="1" a="1"/>
  <c r="E407" i="1" a="1"/>
  <c r="E412" i="1" a="1"/>
  <c r="E421" i="1" a="1"/>
  <c r="E430" i="1" a="1"/>
  <c r="E444" i="1" a="1"/>
  <c r="E453" i="1" a="1"/>
  <c r="E462" i="1" a="1"/>
  <c r="E471" i="1" a="1"/>
  <c r="E476" i="1" a="1"/>
  <c r="E485" i="1" a="1"/>
  <c r="E122" i="1" a="1"/>
  <c r="E154" i="1" a="1"/>
  <c r="E195" i="1" a="1"/>
  <c r="E246" i="1" a="1"/>
  <c r="E293" i="1" a="1"/>
  <c r="E344" i="1" a="1"/>
  <c r="E362" i="1" a="1"/>
  <c r="E371" i="1" a="1"/>
  <c r="E385" i="1" a="1"/>
  <c r="E403" i="1" a="1"/>
  <c r="E435" i="1" a="1"/>
  <c r="E449" i="1" a="1"/>
  <c r="E458" i="1" a="1"/>
  <c r="E467" i="1" a="1"/>
  <c r="E472" i="1" a="1"/>
  <c r="E481" i="1" a="1"/>
  <c r="E494" i="1" a="1"/>
  <c r="E498" i="1" a="1"/>
  <c r="E506" i="1" a="1"/>
  <c r="E514" i="1" a="1"/>
  <c r="E522" i="1" a="1"/>
  <c r="E530" i="1" a="1"/>
  <c r="E534" i="1" a="1"/>
  <c r="E542" i="1" a="1"/>
  <c r="E546" i="1" a="1"/>
  <c r="E550" i="1" a="1"/>
  <c r="E554" i="1" a="1"/>
  <c r="E558" i="1" a="1"/>
  <c r="E562" i="1" a="1"/>
  <c r="E566" i="1" a="1"/>
  <c r="E123" i="1" a="1"/>
  <c r="E155" i="1" a="1"/>
  <c r="E168" i="1" a="1"/>
  <c r="E224" i="1" a="1"/>
  <c r="E284" i="1" a="1"/>
  <c r="E294" i="1" a="1"/>
  <c r="E309" i="1" a="1"/>
  <c r="E314" i="1" a="1"/>
  <c r="E319" i="1" a="1"/>
  <c r="E334" i="1" a="1"/>
  <c r="E340" i="1" a="1"/>
  <c r="E349" i="1" a="1"/>
  <c r="E358" i="1" a="1"/>
  <c r="E367" i="1" a="1"/>
  <c r="E372" i="1" a="1"/>
  <c r="E381" i="1" a="1"/>
  <c r="E390" i="1" a="1"/>
  <c r="E399" i="1" a="1"/>
  <c r="E422" i="1" a="1"/>
  <c r="E431" i="1" a="1"/>
  <c r="E436" i="1" a="1"/>
  <c r="E445" i="1" a="1"/>
  <c r="E454" i="1" a="1"/>
  <c r="E99" i="1" a="1"/>
  <c r="E227" i="1" a="1"/>
  <c r="E237" i="1" a="1"/>
  <c r="E255" i="1" a="1"/>
  <c r="E269" i="1" a="1"/>
  <c r="E285" i="1" a="1"/>
  <c r="E300" i="1" a="1"/>
  <c r="E305" i="1" a="1"/>
  <c r="E320" i="1" a="1"/>
  <c r="E325" i="1" a="1"/>
  <c r="E335" i="1" a="1"/>
  <c r="E345" i="1" a="1"/>
  <c r="E354" i="1" a="1"/>
  <c r="E363" i="1" a="1"/>
  <c r="E368" i="1" a="1"/>
  <c r="E386" i="1" a="1"/>
  <c r="E400" i="1" a="1"/>
  <c r="E409" i="1" a="1"/>
  <c r="E418" i="1" a="1"/>
  <c r="E427" i="1" a="1"/>
  <c r="E432" i="1" a="1"/>
  <c r="E441" i="1" a="1"/>
  <c r="E450" i="1" a="1"/>
  <c r="E459" i="1" a="1"/>
  <c r="E473" i="1" a="1"/>
  <c r="E482" i="1" a="1"/>
  <c r="E491" i="1" a="1"/>
  <c r="E495" i="1" a="1"/>
  <c r="E499" i="1" a="1"/>
  <c r="E503" i="1" a="1"/>
  <c r="E507" i="1" a="1"/>
  <c r="E511" i="1" a="1"/>
  <c r="E528" i="1" a="1"/>
  <c r="E536" i="1" a="1"/>
  <c r="E569" i="1" a="1"/>
  <c r="E585" i="1" a="1"/>
  <c r="E601" i="1" a="1"/>
  <c r="E617" i="1" a="1"/>
  <c r="E633" i="1" a="1"/>
  <c r="E665" i="1" a="1"/>
  <c r="E697" i="1" a="1"/>
  <c r="E721" i="1" a="1"/>
  <c r="E739" i="1" a="1"/>
  <c r="E748" i="1" a="1"/>
  <c r="E762" i="1" a="1"/>
  <c r="E771" i="1" a="1"/>
  <c r="E785" i="1" a="1"/>
  <c r="E794" i="1" a="1"/>
  <c r="E803" i="1" a="1"/>
  <c r="E812" i="1" a="1"/>
  <c r="E826" i="1" a="1"/>
  <c r="E844" i="1" a="1"/>
  <c r="E849" i="1" a="1"/>
  <c r="E858" i="1" a="1"/>
  <c r="E867" i="1" a="1"/>
  <c r="E523" i="1" a="1"/>
  <c r="E543" i="1" a="1"/>
  <c r="E548" i="1" a="1"/>
  <c r="E556" i="1" a="1"/>
  <c r="E563" i="1" a="1"/>
  <c r="E570" i="1" a="1"/>
  <c r="E575" i="1" a="1"/>
  <c r="E586" i="1" a="1"/>
  <c r="E596" i="1" a="1"/>
  <c r="E602" i="1" a="1"/>
  <c r="E607" i="1" a="1"/>
  <c r="E612" i="1" a="1"/>
  <c r="E618" i="1" a="1"/>
  <c r="E628" i="1" a="1"/>
  <c r="E634" i="1" a="1"/>
  <c r="E644" i="1" a="1"/>
  <c r="E650" i="1" a="1"/>
  <c r="E655" i="1" a="1"/>
  <c r="E660" i="1" a="1"/>
  <c r="E666" i="1" a="1"/>
  <c r="E671" i="1" a="1"/>
  <c r="E682" i="1" a="1"/>
  <c r="E687" i="1" a="1"/>
  <c r="E692" i="1" a="1"/>
  <c r="E703" i="1" a="1"/>
  <c r="E712" i="1" a="1"/>
  <c r="E717" i="1" a="1"/>
  <c r="E726" i="1" a="1"/>
  <c r="E735" i="1" a="1"/>
  <c r="E744" i="1" a="1"/>
  <c r="E749" i="1" a="1"/>
  <c r="E758" i="1" a="1"/>
  <c r="E767" i="1" a="1"/>
  <c r="E776" i="1" a="1"/>
  <c r="E790" i="1" a="1"/>
  <c r="E799" i="1" a="1"/>
  <c r="E808" i="1" a="1"/>
  <c r="E822" i="1" a="1"/>
  <c r="E831" i="1" a="1"/>
  <c r="E840" i="1" a="1"/>
  <c r="E845" i="1" a="1"/>
  <c r="E854" i="1" a="1"/>
  <c r="E863" i="1" a="1"/>
  <c r="E468" i="1" a="1"/>
  <c r="E515" i="1" a="1"/>
  <c r="E581" i="1" a="1"/>
  <c r="E597" i="1" a="1"/>
  <c r="E613" i="1" a="1"/>
  <c r="E629" i="1" a="1"/>
  <c r="E645" i="1" a="1"/>
  <c r="E693" i="1" a="1"/>
  <c r="E713" i="1" a="1"/>
  <c r="E722" i="1" a="1"/>
  <c r="E731" i="1" a="1"/>
  <c r="E740" i="1" a="1"/>
  <c r="E745" i="1" a="1"/>
  <c r="E763" i="1" a="1"/>
  <c r="E772" i="1" a="1"/>
  <c r="E777" i="1" a="1"/>
  <c r="E786" i="1" a="1"/>
  <c r="E795" i="1" a="1"/>
  <c r="E809" i="1" a="1"/>
  <c r="E827" i="1" a="1"/>
  <c r="E836" i="1" a="1"/>
  <c r="E859" i="1" a="1"/>
  <c r="E486" i="1" a="1"/>
  <c r="E544" i="1" a="1"/>
  <c r="E551" i="1" a="1"/>
  <c r="E559" i="1" a="1"/>
  <c r="E564" i="1" a="1"/>
  <c r="E571" i="1" a="1"/>
  <c r="E576" i="1" a="1"/>
  <c r="E587" i="1" a="1"/>
  <c r="E592" i="1" a="1"/>
  <c r="E598" i="1" a="1"/>
  <c r="E603" i="1" a="1"/>
  <c r="E608" i="1" a="1"/>
  <c r="E624" i="1" a="1"/>
  <c r="E630" i="1" a="1"/>
  <c r="E635" i="1" a="1"/>
  <c r="E646" i="1" a="1"/>
  <c r="E656" i="1" a="1"/>
  <c r="E662" i="1" a="1"/>
  <c r="E667" i="1" a="1"/>
  <c r="E672" i="1" a="1"/>
  <c r="E688" i="1" a="1"/>
  <c r="E704" i="1" a="1"/>
  <c r="E718" i="1" a="1"/>
  <c r="E727" i="1" a="1"/>
  <c r="E741" i="1" a="1"/>
  <c r="E750" i="1" a="1"/>
  <c r="E759" i="1" a="1"/>
  <c r="E768" i="1" a="1"/>
  <c r="E773" i="1" a="1"/>
  <c r="E791" i="1" a="1"/>
  <c r="E832" i="1" a="1"/>
  <c r="E837" i="1" a="1"/>
  <c r="E846" i="1" a="1"/>
  <c r="E487" i="1" a="1"/>
  <c r="E593" i="1" a="1"/>
  <c r="E609" i="1" a="1"/>
  <c r="E625" i="1" a="1"/>
  <c r="E641" i="1" a="1"/>
  <c r="E657" i="1" a="1"/>
  <c r="E673" i="1" a="1"/>
  <c r="E689" i="1" a="1"/>
  <c r="E705" i="1" a="1"/>
  <c r="E714" i="1" a="1"/>
  <c r="E723" i="1" a="1"/>
  <c r="E737" i="1" a="1"/>
  <c r="E755" i="1" a="1"/>
  <c r="E764" i="1" a="1"/>
  <c r="E787" i="1" a="1"/>
  <c r="E796" i="1" a="1"/>
  <c r="E810" i="1" a="1"/>
  <c r="E819" i="1" a="1"/>
  <c r="E842" i="1" a="1"/>
  <c r="E851" i="1" a="1"/>
  <c r="E860" i="1" a="1"/>
  <c r="E865" i="1" a="1"/>
  <c r="E477" i="1" a="1"/>
  <c r="E539" i="1" a="1"/>
  <c r="E552" i="1" a="1"/>
  <c r="E567" i="1" a="1"/>
  <c r="E572" i="1" a="1"/>
  <c r="E578" i="1" a="1"/>
  <c r="E583" i="1" a="1"/>
  <c r="E588" i="1" a="1"/>
  <c r="E594" i="1" a="1"/>
  <c r="E631" i="1" a="1"/>
  <c r="E636" i="1" a="1"/>
  <c r="E642" i="1" a="1"/>
  <c r="E647" i="1" a="1"/>
  <c r="E652" i="1" a="1"/>
  <c r="E663" i="1" a="1"/>
  <c r="E668" i="1" a="1"/>
  <c r="E674" i="1" a="1"/>
  <c r="E679" i="1" a="1"/>
  <c r="E690" i="1" a="1"/>
  <c r="E695" i="1" a="1"/>
  <c r="E700" i="1" a="1"/>
  <c r="E710" i="1" a="1"/>
  <c r="E719" i="1" a="1"/>
  <c r="E733" i="1" a="1"/>
  <c r="E742" i="1" a="1"/>
  <c r="E765" i="1" a="1"/>
  <c r="E774" i="1" a="1"/>
  <c r="E792" i="1" a="1"/>
  <c r="E797" i="1" a="1"/>
  <c r="E806" i="1" a="1"/>
  <c r="E824" i="1" a="1"/>
  <c r="E829" i="1" a="1"/>
  <c r="E847" i="1" a="1"/>
  <c r="E861" i="1" a="1"/>
  <c r="E478" i="1" a="1"/>
  <c r="E535" i="1" a="1"/>
  <c r="E605" i="1" a="1"/>
  <c r="E621" i="1" a="1"/>
  <c r="E637" i="1" a="1"/>
  <c r="E653" i="1" a="1"/>
  <c r="E669" i="1" a="1"/>
  <c r="E701" i="1" a="1"/>
  <c r="E706" i="1" a="1"/>
  <c r="E715" i="1" a="1"/>
  <c r="E724" i="1" a="1"/>
  <c r="E729" i="1" a="1"/>
  <c r="E761" i="1" a="1"/>
  <c r="E770" i="1" a="1"/>
  <c r="E788" i="1" a="1"/>
  <c r="E793" i="1" a="1"/>
  <c r="E811" i="1" a="1"/>
  <c r="E820" i="1" a="1"/>
  <c r="E825" i="1" a="1"/>
  <c r="E843" i="1" a="1"/>
  <c r="E852" i="1" a="1"/>
  <c r="E857" i="1" a="1"/>
  <c r="E866" i="1" a="1"/>
  <c r="E540" i="1" a="1"/>
  <c r="E547" i="1" a="1"/>
  <c r="E568" i="1" a="1"/>
  <c r="E574" i="1" a="1"/>
  <c r="E584" i="1" a="1"/>
  <c r="E590" i="1" a="1"/>
  <c r="E595" i="1" a="1"/>
  <c r="E606" i="1" a="1"/>
  <c r="E611" i="1" a="1"/>
  <c r="E632" i="1" a="1"/>
  <c r="E648" i="1" a="1"/>
  <c r="E654" i="1" a="1"/>
  <c r="E659" i="1" a="1"/>
  <c r="E664" i="1" a="1"/>
  <c r="E670" i="1" a="1"/>
  <c r="E686" i="1" a="1"/>
  <c r="E691" i="1" a="1"/>
  <c r="E711" i="1" a="1"/>
  <c r="E720" i="1" a="1"/>
  <c r="E725" i="1" a="1"/>
  <c r="E734" i="1" a="1"/>
  <c r="E752" i="1" a="1"/>
  <c r="E757" i="1" a="1"/>
  <c r="E766" i="1" a="1"/>
  <c r="E775" i="1" a="1"/>
  <c r="E789" i="1" a="1"/>
  <c r="E798" i="1" a="1"/>
  <c r="E830" i="1" a="1"/>
  <c r="E839" i="1" a="1"/>
  <c r="E848" i="1" a="1"/>
  <c r="E862" i="1" a="1"/>
  <c r="E2" i="1" a="1"/>
  <c r="H4" i="3" a="1"/>
  <c r="H12" i="3" a="1"/>
  <c r="H16" i="3" a="1"/>
  <c r="H28" i="3" a="1"/>
  <c r="H5" i="3" a="1"/>
  <c r="H11" i="3" a="1"/>
  <c r="H15" i="3" a="1"/>
  <c r="H19" i="3" a="1"/>
  <c r="H27" i="3" a="1"/>
  <c r="H33" i="3" a="1"/>
  <c r="H42" i="3" a="1"/>
  <c r="H51" i="3" a="1"/>
  <c r="H65" i="3" a="1"/>
  <c r="H74" i="3" a="1"/>
  <c r="H92" i="3" a="1"/>
  <c r="H97" i="3" a="1"/>
  <c r="H106" i="3" a="1"/>
  <c r="H124" i="3" a="1"/>
  <c r="H129" i="3" a="1"/>
  <c r="H138" i="3" a="1"/>
  <c r="H147" i="3" a="1"/>
  <c r="H156" i="3" a="1"/>
  <c r="H161" i="3" a="1"/>
  <c r="H170" i="3" a="1"/>
  <c r="H188" i="3" a="1"/>
  <c r="H211" i="3" a="1"/>
  <c r="H225" i="3" a="1"/>
  <c r="H243" i="3" a="1"/>
  <c r="H284" i="3" a="1"/>
  <c r="H298" i="3" a="1"/>
  <c r="H321" i="3" a="1"/>
  <c r="H339" i="3" a="1"/>
  <c r="H18" i="3" a="1"/>
  <c r="H29" i="3" a="1"/>
  <c r="H47" i="3" a="1"/>
  <c r="H56" i="3" a="1"/>
  <c r="H61" i="3" a="1"/>
  <c r="H79" i="3" a="1"/>
  <c r="H93" i="3" a="1"/>
  <c r="H102" i="3" a="1"/>
  <c r="H111" i="3" a="1"/>
  <c r="H120" i="3" a="1"/>
  <c r="H125" i="3" a="1"/>
  <c r="H134" i="3" a="1"/>
  <c r="H143" i="3" a="1"/>
  <c r="H152" i="3" a="1"/>
  <c r="H157" i="3" a="1"/>
  <c r="H184" i="3" a="1"/>
  <c r="H189" i="3" a="1"/>
  <c r="H198" i="3" a="1"/>
  <c r="H216" i="3" a="1"/>
  <c r="H221" i="3" a="1"/>
  <c r="H230" i="3" a="1"/>
  <c r="H239" i="3" a="1"/>
  <c r="H248" i="3" a="1"/>
  <c r="H253" i="3" a="1"/>
  <c r="H262" i="3" a="1"/>
  <c r="H271" i="3" a="1"/>
  <c r="H285" i="3" a="1"/>
  <c r="H294" i="3" a="1"/>
  <c r="H303" i="3" a="1"/>
  <c r="H312" i="3" a="1"/>
  <c r="H326" i="3" a="1"/>
  <c r="H335" i="3" a="1"/>
  <c r="H344" i="3" a="1"/>
  <c r="H352" i="3" a="1"/>
  <c r="H356" i="3" a="1"/>
  <c r="H360" i="3" a="1"/>
  <c r="H364" i="3" a="1"/>
  <c r="H368" i="3" a="1"/>
  <c r="H372" i="3" a="1"/>
  <c r="H380" i="3" a="1"/>
  <c r="H384" i="3" a="1"/>
  <c r="H388" i="3" a="1"/>
  <c r="H392" i="3" a="1"/>
  <c r="H13" i="3" a="1"/>
  <c r="H34" i="3" a="1"/>
  <c r="H43" i="3" a="1"/>
  <c r="H52" i="3" a="1"/>
  <c r="H57" i="3" a="1"/>
  <c r="H66" i="3" a="1"/>
  <c r="H75" i="3" a="1"/>
  <c r="H84" i="3" a="1"/>
  <c r="H89" i="3" a="1"/>
  <c r="H98" i="3" a="1"/>
  <c r="H107" i="3" a="1"/>
  <c r="H116" i="3" a="1"/>
  <c r="H121" i="3" a="1"/>
  <c r="H130" i="3" a="1"/>
  <c r="H139" i="3" a="1"/>
  <c r="H148" i="3" a="1"/>
  <c r="H153" i="3" a="1"/>
  <c r="H162" i="3" a="1"/>
  <c r="H171" i="3" a="1"/>
  <c r="H194" i="3" a="1"/>
  <c r="H217" i="3" a="1"/>
  <c r="H226" i="3" a="1"/>
  <c r="H235" i="3" a="1"/>
  <c r="H244" i="3" a="1"/>
  <c r="H258" i="3" a="1"/>
  <c r="H267" i="3" a="1"/>
  <c r="H276" i="3" a="1"/>
  <c r="H290" i="3" a="1"/>
  <c r="H308" i="3" a="1"/>
  <c r="H313" i="3" a="1"/>
  <c r="H322" i="3" a="1"/>
  <c r="H331" i="3" a="1"/>
  <c r="H340" i="3" a="1"/>
  <c r="H39" i="3" a="1"/>
  <c r="H48" i="3" a="1"/>
  <c r="H62" i="3" a="1"/>
  <c r="H71" i="3" a="1"/>
  <c r="H80" i="3" a="1"/>
  <c r="H85" i="3" a="1"/>
  <c r="H94" i="3" a="1"/>
  <c r="H103" i="3" a="1"/>
  <c r="H126" i="3" a="1"/>
  <c r="H135" i="3" a="1"/>
  <c r="H149" i="3" a="1"/>
  <c r="H158" i="3" a="1"/>
  <c r="H176" i="3" a="1"/>
  <c r="H190" i="3" a="1"/>
  <c r="H199" i="3" a="1"/>
  <c r="H222" i="3" a="1"/>
  <c r="H231" i="3" a="1"/>
  <c r="H240" i="3" a="1"/>
  <c r="H245" i="3" a="1"/>
  <c r="H254" i="3" a="1"/>
  <c r="H263" i="3" a="1"/>
  <c r="H272" i="3" a="1"/>
  <c r="H286" i="3" a="1"/>
  <c r="H295" i="3" a="1"/>
  <c r="H309" i="3" a="1"/>
  <c r="H318" i="3" a="1"/>
  <c r="H327" i="3" a="1"/>
  <c r="H336" i="3" a="1"/>
  <c r="H341" i="3" a="1"/>
  <c r="H345" i="3" a="1"/>
  <c r="H349" i="3" a="1"/>
  <c r="H357" i="3" a="1"/>
  <c r="H369" i="3" a="1"/>
  <c r="H373" i="3" a="1"/>
  <c r="H381" i="3" a="1"/>
  <c r="H385" i="3" a="1"/>
  <c r="H389" i="3" a="1"/>
  <c r="H393" i="3" a="1"/>
  <c r="H401" i="3" a="1"/>
  <c r="H405" i="3" a="1"/>
  <c r="H409" i="3" a="1"/>
  <c r="H421" i="3" a="1"/>
  <c r="H425" i="3" a="1"/>
  <c r="H429" i="3" a="1"/>
  <c r="H437" i="3" a="1"/>
  <c r="H441" i="3" a="1"/>
  <c r="H445" i="3" a="1"/>
  <c r="H449" i="3" a="1"/>
  <c r="H453" i="3" a="1"/>
  <c r="H457" i="3" a="1"/>
  <c r="H465" i="3" a="1"/>
  <c r="H469" i="3" a="1"/>
  <c r="H473" i="3" a="1"/>
  <c r="H477" i="3" a="1"/>
  <c r="H481" i="3" a="1"/>
  <c r="H485" i="3" a="1"/>
  <c r="H489" i="3" a="1"/>
  <c r="H493" i="3" a="1"/>
  <c r="H497" i="3" a="1"/>
  <c r="H501" i="3" a="1"/>
  <c r="H513" i="3" a="1"/>
  <c r="H517" i="3" a="1"/>
  <c r="H521" i="3" a="1"/>
  <c r="H525" i="3" a="1"/>
  <c r="H529" i="3" a="1"/>
  <c r="H533" i="3" a="1"/>
  <c r="H14" i="3" a="1"/>
  <c r="H25" i="3" a="1"/>
  <c r="H35" i="3" a="1"/>
  <c r="H44" i="3" a="1"/>
  <c r="H49" i="3" a="1"/>
  <c r="H58" i="3" a="1"/>
  <c r="H67" i="3" a="1"/>
  <c r="H76" i="3" a="1"/>
  <c r="H90" i="3" a="1"/>
  <c r="H99" i="3" a="1"/>
  <c r="H108" i="3" a="1"/>
  <c r="H122" i="3" a="1"/>
  <c r="H140" i="3" a="1"/>
  <c r="H145" i="3" a="1"/>
  <c r="H154" i="3" a="1"/>
  <c r="H163" i="3" a="1"/>
  <c r="H21" i="3" a="1"/>
  <c r="H31" i="3" a="1"/>
  <c r="H40" i="3" a="1"/>
  <c r="H45" i="3" a="1"/>
  <c r="H86" i="3" a="1"/>
  <c r="H95" i="3" a="1"/>
  <c r="H109" i="3" a="1"/>
  <c r="H118" i="3" a="1"/>
  <c r="H127" i="3" a="1"/>
  <c r="H136" i="3" a="1"/>
  <c r="H141" i="3" a="1"/>
  <c r="H150" i="3" a="1"/>
  <c r="H159" i="3" a="1"/>
  <c r="H168" i="3" a="1"/>
  <c r="H182" i="3" a="1"/>
  <c r="H26" i="3" a="1"/>
  <c r="H41" i="3" a="1"/>
  <c r="H50" i="3" a="1"/>
  <c r="H59" i="3" a="1"/>
  <c r="H68" i="3" a="1"/>
  <c r="H73" i="3" a="1"/>
  <c r="H91" i="3" a="1"/>
  <c r="H100" i="3" a="1"/>
  <c r="H114" i="3" a="1"/>
  <c r="H123" i="3" a="1"/>
  <c r="H132" i="3" a="1"/>
  <c r="H146" i="3" a="1"/>
  <c r="H155" i="3" a="1"/>
  <c r="H164" i="3" a="1"/>
  <c r="H187" i="3" a="1"/>
  <c r="H196" i="3" a="1"/>
  <c r="H201" i="3" a="1"/>
  <c r="H210" i="3" a="1"/>
  <c r="H228" i="3" a="1"/>
  <c r="H233" i="3" a="1"/>
  <c r="H242" i="3" a="1"/>
  <c r="H265" i="3" a="1"/>
  <c r="H292" i="3" a="1"/>
  <c r="H297" i="3" a="1"/>
  <c r="H315" i="3" a="1"/>
  <c r="H338" i="3" a="1"/>
  <c r="H32" i="3" a="1"/>
  <c r="H192" i="3" a="1"/>
  <c r="H218" i="3" a="1"/>
  <c r="H227" i="3" a="1"/>
  <c r="H237" i="3" a="1"/>
  <c r="H256" i="3" a="1"/>
  <c r="H282" i="3" a="1"/>
  <c r="H291" i="3" a="1"/>
  <c r="H301" i="3" a="1"/>
  <c r="H337" i="3" a="1"/>
  <c r="H347" i="3" a="1"/>
  <c r="H382" i="3" a="1"/>
  <c r="H391" i="3" a="1"/>
  <c r="H398" i="3" a="1"/>
  <c r="H422" i="3" a="1"/>
  <c r="H428" i="3" a="1"/>
  <c r="H434" i="3" a="1"/>
  <c r="H459" i="3" a="1"/>
  <c r="H471" i="3" a="1"/>
  <c r="H478" i="3" a="1"/>
  <c r="H488" i="3" a="1"/>
  <c r="H506" i="3" a="1"/>
  <c r="H528" i="3" a="1"/>
  <c r="H541" i="3" a="1"/>
  <c r="H549" i="3" a="1"/>
  <c r="H553" i="3" a="1"/>
  <c r="H557" i="3" a="1"/>
  <c r="H565" i="3" a="1"/>
  <c r="H569" i="3" a="1"/>
  <c r="H581" i="3" a="1"/>
  <c r="H585" i="3" a="1"/>
  <c r="H593" i="3" a="1"/>
  <c r="H597" i="3" a="1"/>
  <c r="H601" i="3" a="1"/>
  <c r="H605" i="3" a="1"/>
  <c r="H609" i="3" a="1"/>
  <c r="H613" i="3" a="1"/>
  <c r="H617" i="3" a="1"/>
  <c r="H621" i="3" a="1"/>
  <c r="H625" i="3" a="1"/>
  <c r="H629" i="3" a="1"/>
  <c r="H633" i="3" a="1"/>
  <c r="H637" i="3" a="1"/>
  <c r="H641" i="3" a="1"/>
  <c r="H645" i="3" a="1"/>
  <c r="H653" i="3" a="1"/>
  <c r="H657" i="3" a="1"/>
  <c r="H665" i="3" a="1"/>
  <c r="H669" i="3" a="1"/>
  <c r="H673" i="3" a="1"/>
  <c r="H689" i="3" a="1"/>
  <c r="H693" i="3" a="1"/>
  <c r="H697" i="3" a="1"/>
  <c r="H701" i="3" a="1"/>
  <c r="H705" i="3" a="1"/>
  <c r="H713" i="3" a="1"/>
  <c r="H717" i="3" a="1"/>
  <c r="H721" i="3" a="1"/>
  <c r="H725" i="3" a="1"/>
  <c r="H729" i="3" a="1"/>
  <c r="H733" i="3" a="1"/>
  <c r="H737" i="3" a="1"/>
  <c r="H741" i="3" a="1"/>
  <c r="H745" i="3" a="1"/>
  <c r="H749" i="3" a="1"/>
  <c r="H757" i="3" a="1"/>
  <c r="H761" i="3" a="1"/>
  <c r="H765" i="3" a="1"/>
  <c r="H773" i="3" a="1"/>
  <c r="H22" i="3" a="1"/>
  <c r="H142" i="3" a="1"/>
  <c r="H183" i="3" a="1"/>
  <c r="H238" i="3" a="1"/>
  <c r="H310" i="3" a="1"/>
  <c r="H328" i="3" a="1"/>
  <c r="H383" i="3" a="1"/>
  <c r="H411" i="3" a="1"/>
  <c r="H447" i="3" a="1"/>
  <c r="H454" i="3" a="1"/>
  <c r="H460" i="3" a="1"/>
  <c r="H466" i="3" a="1"/>
  <c r="H472" i="3" a="1"/>
  <c r="H498" i="3" a="1"/>
  <c r="H515" i="3" a="1"/>
  <c r="H37" i="3" a="1"/>
  <c r="H55" i="3" a="1"/>
  <c r="H87" i="3" a="1"/>
  <c r="H110" i="3" a="1"/>
  <c r="H119" i="3" a="1"/>
  <c r="H195" i="3" a="1"/>
  <c r="H229" i="3" a="1"/>
  <c r="H241" i="3" a="1"/>
  <c r="H259" i="3" a="1"/>
  <c r="H268" i="3" a="1"/>
  <c r="H293" i="3" a="1"/>
  <c r="H311" i="3" a="1"/>
  <c r="H319" i="3" a="1"/>
  <c r="H358" i="3" a="1"/>
  <c r="H366" i="3" a="1"/>
  <c r="H399" i="3" a="1"/>
  <c r="H406" i="3" a="1"/>
  <c r="H412" i="3" a="1"/>
  <c r="H423" i="3" a="1"/>
  <c r="H430" i="3" a="1"/>
  <c r="H435" i="3" a="1"/>
  <c r="H442" i="3" a="1"/>
  <c r="H448" i="3" a="1"/>
  <c r="H479" i="3" a="1"/>
  <c r="H494" i="3" a="1"/>
  <c r="H503" i="3" a="1"/>
  <c r="H507" i="3" a="1"/>
  <c r="H511" i="3" a="1"/>
  <c r="H520" i="3" a="1"/>
  <c r="H534" i="3" a="1"/>
  <c r="H542" i="3" a="1"/>
  <c r="H546" i="3" a="1"/>
  <c r="H550" i="3" a="1"/>
  <c r="H554" i="3" a="1"/>
  <c r="H558" i="3" a="1"/>
  <c r="H562" i="3" a="1"/>
  <c r="H566" i="3" a="1"/>
  <c r="H570" i="3" a="1"/>
  <c r="H574" i="3" a="1"/>
  <c r="H578" i="3" a="1"/>
  <c r="H586" i="3" a="1"/>
  <c r="H590" i="3" a="1"/>
  <c r="H594" i="3" a="1"/>
  <c r="H598" i="3" a="1"/>
  <c r="H602" i="3" a="1"/>
  <c r="H606" i="3" a="1"/>
  <c r="H618" i="3" a="1"/>
  <c r="H630" i="3" a="1"/>
  <c r="H634" i="3" a="1"/>
  <c r="H642" i="3" a="1"/>
  <c r="H646" i="3" a="1"/>
  <c r="H650" i="3" a="1"/>
  <c r="H654" i="3" a="1"/>
  <c r="H662" i="3" a="1"/>
  <c r="H666" i="3" a="1"/>
  <c r="H670" i="3" a="1"/>
  <c r="H674" i="3" a="1"/>
  <c r="H186" i="3" a="1"/>
  <c r="H269" i="3" a="1"/>
  <c r="H305" i="3" a="1"/>
  <c r="H314" i="3" a="1"/>
  <c r="H320" i="3" a="1"/>
  <c r="H350" i="3" a="1"/>
  <c r="H359" i="3" a="1"/>
  <c r="H367" i="3" a="1"/>
  <c r="H386" i="3" a="1"/>
  <c r="H400" i="3" a="1"/>
  <c r="H418" i="3" a="1"/>
  <c r="H424" i="3" a="1"/>
  <c r="H436" i="3" a="1"/>
  <c r="H455" i="3" a="1"/>
  <c r="H467" i="3" a="1"/>
  <c r="H474" i="3" a="1"/>
  <c r="H480" i="3" a="1"/>
  <c r="H499" i="3" a="1"/>
  <c r="H516" i="3" a="1"/>
  <c r="H530" i="3" a="1"/>
  <c r="H78" i="3" a="1"/>
  <c r="H128" i="3" a="1"/>
  <c r="H151" i="3" a="1"/>
  <c r="H206" i="3" a="1"/>
  <c r="H232" i="3" a="1"/>
  <c r="H270" i="3" a="1"/>
  <c r="H296" i="3" a="1"/>
  <c r="H46" i="3" a="1"/>
  <c r="H96" i="3" a="1"/>
  <c r="H332" i="3" a="1"/>
  <c r="H343" i="3" a="1"/>
  <c r="H370" i="3" a="1"/>
  <c r="H432" i="3" a="1"/>
  <c r="H438" i="3" a="1"/>
  <c r="H444" i="3" a="1"/>
  <c r="H475" i="3" a="1"/>
  <c r="H491" i="3" a="1"/>
  <c r="H500" i="3" a="1"/>
  <c r="H522" i="3" a="1"/>
  <c r="H10" i="3" a="1"/>
  <c r="H64" i="3" a="1"/>
  <c r="H133" i="3" a="1"/>
  <c r="H160" i="3" a="1"/>
  <c r="H200" i="3" a="1"/>
  <c r="H214" i="3" a="1"/>
  <c r="H223" i="3" a="1"/>
  <c r="H246" i="3" a="1"/>
  <c r="H288" i="3" a="1"/>
  <c r="H333" i="3" a="1"/>
  <c r="H264" i="3" a="1"/>
  <c r="H351" i="3" a="1"/>
  <c r="H363" i="3" a="1"/>
  <c r="H431" i="3" a="1"/>
  <c r="H486" i="3" a="1"/>
  <c r="H496" i="3" a="1"/>
  <c r="H556" i="3" a="1"/>
  <c r="H564" i="3" a="1"/>
  <c r="H588" i="3" a="1"/>
  <c r="H596" i="3" a="1"/>
  <c r="H607" i="3" a="1"/>
  <c r="H628" i="3" a="1"/>
  <c r="H647" i="3" a="1"/>
  <c r="H655" i="3" a="1"/>
  <c r="H691" i="3" a="1"/>
  <c r="H704" i="3" a="1"/>
  <c r="H710" i="3" a="1"/>
  <c r="H735" i="3" a="1"/>
  <c r="H742" i="3" a="1"/>
  <c r="H758" i="3" a="1"/>
  <c r="H763" i="3" a="1"/>
  <c r="H768" i="3" a="1"/>
  <c r="H787" i="3" a="1"/>
  <c r="H796" i="3" a="1"/>
  <c r="H810" i="3" a="1"/>
  <c r="H819" i="3" a="1"/>
  <c r="H837" i="3" a="1"/>
  <c r="H842" i="3" a="1"/>
  <c r="H851" i="3" a="1"/>
  <c r="H860" i="3" a="1"/>
  <c r="H688" i="3" a="1"/>
  <c r="H803" i="3" a="1"/>
  <c r="H867" i="3" a="1"/>
  <c r="H446" i="3" a="1"/>
  <c r="H476" i="3" a="1"/>
  <c r="H487" i="3" a="1"/>
  <c r="H514" i="3" a="1"/>
  <c r="H523" i="3" a="1"/>
  <c r="H539" i="3" a="1"/>
  <c r="H547" i="3" a="1"/>
  <c r="H608" i="3" a="1"/>
  <c r="H648" i="3" a="1"/>
  <c r="H656" i="3" a="1"/>
  <c r="H686" i="3" a="1"/>
  <c r="H692" i="3" a="1"/>
  <c r="H723" i="3" a="1"/>
  <c r="H748" i="3" a="1"/>
  <c r="H774" i="3" a="1"/>
  <c r="H792" i="3" a="1"/>
  <c r="H806" i="3" a="1"/>
  <c r="H824" i="3" a="1"/>
  <c r="H847" i="3" a="1"/>
  <c r="H865" i="3" a="1"/>
  <c r="H255" i="3" a="1"/>
  <c r="H719" i="3" a="1"/>
  <c r="H766" i="3" a="1"/>
  <c r="H858" i="3" a="1"/>
  <c r="H845" i="3" a="1"/>
  <c r="H300" i="3" a="1"/>
  <c r="H403" i="3" a="1"/>
  <c r="H420" i="3" a="1"/>
  <c r="H450" i="3" a="1"/>
  <c r="H462" i="3" a="1"/>
  <c r="H508" i="3" a="1"/>
  <c r="H535" i="3" a="1"/>
  <c r="H540" i="3" a="1"/>
  <c r="H548" i="3" a="1"/>
  <c r="H559" i="3" a="1"/>
  <c r="H567" i="3" a="1"/>
  <c r="H575" i="3" a="1"/>
  <c r="H631" i="3" a="1"/>
  <c r="H663" i="3" a="1"/>
  <c r="H671" i="3" a="1"/>
  <c r="H682" i="3" a="1"/>
  <c r="H706" i="3" a="1"/>
  <c r="H711" i="3" a="1"/>
  <c r="H718" i="3" a="1"/>
  <c r="H724" i="3" a="1"/>
  <c r="H759" i="3" a="1"/>
  <c r="H764" i="3" a="1"/>
  <c r="H788" i="3" a="1"/>
  <c r="H797" i="3" a="1"/>
  <c r="H811" i="3" a="1"/>
  <c r="H820" i="3" a="1"/>
  <c r="H829" i="3" a="1"/>
  <c r="H843" i="3" a="1"/>
  <c r="H852" i="3" a="1"/>
  <c r="H861" i="3" a="1"/>
  <c r="H866" i="3" a="1"/>
  <c r="H371" i="3" a="1"/>
  <c r="H551" i="3" a="1"/>
  <c r="H812" i="3" a="1"/>
  <c r="H844" i="3" a="1"/>
  <c r="H224" i="3" a="1"/>
  <c r="H334" i="3" a="1"/>
  <c r="H354" i="3" a="1"/>
  <c r="H451" i="3" a="1"/>
  <c r="H536" i="3" a="1"/>
  <c r="H568" i="3" a="1"/>
  <c r="H576" i="3" a="1"/>
  <c r="H624" i="3" a="1"/>
  <c r="H632" i="3" a="1"/>
  <c r="H664" i="3" a="1"/>
  <c r="H672" i="3" a="1"/>
  <c r="H687" i="3" a="1"/>
  <c r="H700" i="3" a="1"/>
  <c r="H712" i="3" a="1"/>
  <c r="H731" i="3" a="1"/>
  <c r="H744" i="3" a="1"/>
  <c r="H750" i="3" a="1"/>
  <c r="H770" i="3" a="1"/>
  <c r="H775" i="3" a="1"/>
  <c r="H793" i="3" a="1"/>
  <c r="H798" i="3" a="1"/>
  <c r="H825" i="3" a="1"/>
  <c r="H830" i="3" a="1"/>
  <c r="H839" i="3" a="1"/>
  <c r="H848" i="3" a="1"/>
  <c r="H857" i="3" a="1"/>
  <c r="H862" i="3" a="1"/>
  <c r="H165" i="3" a="1"/>
  <c r="H379" i="3" a="1"/>
  <c r="H407" i="3" a="1"/>
  <c r="H543" i="3" a="1"/>
  <c r="H726" i="3" a="1"/>
  <c r="H755" i="3" a="1"/>
  <c r="H794" i="3" a="1"/>
  <c r="H69" i="3" a="1"/>
  <c r="H236" i="3" a="1"/>
  <c r="H323" i="3" a="1"/>
  <c r="H456" i="3" a="1"/>
  <c r="H468" i="3" a="1"/>
  <c r="H544" i="3" a="1"/>
  <c r="H552" i="3" a="1"/>
  <c r="H571" i="3" a="1"/>
  <c r="H584" i="3" a="1"/>
  <c r="H592" i="3" a="1"/>
  <c r="H603" i="3" a="1"/>
  <c r="H611" i="3" a="1"/>
  <c r="H635" i="3" a="1"/>
  <c r="H659" i="3" a="1"/>
  <c r="H679" i="3" a="1"/>
  <c r="H695" i="3" a="1"/>
  <c r="H714" i="3" a="1"/>
  <c r="H720" i="3" a="1"/>
  <c r="H739" i="3" a="1"/>
  <c r="H771" i="3" a="1"/>
  <c r="H776" i="3" a="1"/>
  <c r="H785" i="3" a="1"/>
  <c r="H790" i="3" a="1"/>
  <c r="H799" i="3" a="1"/>
  <c r="H808" i="3" a="1"/>
  <c r="H822" i="3" a="1"/>
  <c r="H831" i="3" a="1"/>
  <c r="H840" i="3" a="1"/>
  <c r="H849" i="3" a="1"/>
  <c r="H854" i="3" a="1"/>
  <c r="H863" i="3" a="1"/>
  <c r="H17" i="3" a="1"/>
  <c r="H346" i="3" a="1"/>
  <c r="H387" i="3" a="1"/>
  <c r="H458" i="3" a="1"/>
  <c r="H470" i="3" a="1"/>
  <c r="H572" i="3" a="1"/>
  <c r="H612" i="3" a="1"/>
  <c r="H636" i="3" a="1"/>
  <c r="H644" i="3" a="1"/>
  <c r="H652" i="3" a="1"/>
  <c r="H660" i="3" a="1"/>
  <c r="H667" i="3" a="1"/>
  <c r="H690" i="3" a="1"/>
  <c r="H727" i="3" a="1"/>
  <c r="H734" i="3" a="1"/>
  <c r="H740" i="3" a="1"/>
  <c r="H762" i="3" a="1"/>
  <c r="H767" i="3" a="1"/>
  <c r="H786" i="3" a="1"/>
  <c r="H795" i="3" a="1"/>
  <c r="H827" i="3" a="1"/>
  <c r="H836" i="3" a="1"/>
  <c r="H191" i="3" a="1"/>
  <c r="H215" i="3" a="1"/>
  <c r="H325" i="3" a="1"/>
  <c r="H362" i="3" a="1"/>
  <c r="H390" i="3" a="1"/>
  <c r="H410" i="3" a="1"/>
  <c r="H427" i="3" a="1"/>
  <c r="H495" i="3" a="1"/>
  <c r="H504" i="3" a="1"/>
  <c r="H512" i="3" a="1"/>
  <c r="H563" i="3" a="1"/>
  <c r="H587" i="3" a="1"/>
  <c r="H595" i="3" a="1"/>
  <c r="H668" i="3" a="1"/>
  <c r="H703" i="3" a="1"/>
  <c r="H715" i="3" a="1"/>
  <c r="H722" i="3" a="1"/>
  <c r="H752" i="3" a="1"/>
  <c r="H772" i="3" a="1"/>
  <c r="H777" i="3" a="1"/>
  <c r="H791" i="3" a="1"/>
  <c r="H809" i="3" a="1"/>
  <c r="H832" i="3" a="1"/>
  <c r="H846" i="3" a="1"/>
  <c r="H482" i="3" a="1"/>
  <c r="H583" i="3" a="1"/>
  <c r="H789" i="3" a="1"/>
  <c r="H826" i="3" a="1"/>
  <c r="H859" i="3" a="1"/>
  <c r="H2" i="3" a="1"/>
  <c r="H3" i="3" a="1"/>
  <c r="G3" i="3" a="1"/>
  <c r="G7" i="3" a="1"/>
  <c r="G11" i="3" a="1"/>
  <c r="G15" i="3" a="1"/>
  <c r="G19" i="3" a="1"/>
  <c r="G23" i="3" a="1"/>
  <c r="G27" i="3" a="1"/>
  <c r="G31" i="3" a="1"/>
  <c r="G35" i="3" a="1"/>
  <c r="G39" i="3" a="1"/>
  <c r="G43" i="3" a="1"/>
  <c r="G47" i="3" a="1"/>
  <c r="G51" i="3" a="1"/>
  <c r="G55" i="3" a="1"/>
  <c r="G59" i="3" a="1"/>
  <c r="G63" i="3" a="1"/>
  <c r="G67" i="3" a="1"/>
  <c r="G71" i="3" a="1"/>
  <c r="G75" i="3" a="1"/>
  <c r="G79" i="3" a="1"/>
  <c r="G83" i="3" a="1"/>
  <c r="G87" i="3" a="1"/>
  <c r="G91" i="3" a="1"/>
  <c r="G95" i="3" a="1"/>
  <c r="G99" i="3" a="1"/>
  <c r="G103" i="3" a="1"/>
  <c r="G107" i="3" a="1"/>
  <c r="G111" i="3" a="1"/>
  <c r="G115" i="3" a="1"/>
  <c r="G119" i="3" a="1"/>
  <c r="G123" i="3" a="1"/>
  <c r="G127" i="3" a="1"/>
  <c r="G131" i="3" a="1"/>
  <c r="G135" i="3" a="1"/>
  <c r="G139" i="3" a="1"/>
  <c r="G143" i="3" a="1"/>
  <c r="G147" i="3" a="1"/>
  <c r="G151" i="3" a="1"/>
  <c r="G155" i="3" a="1"/>
  <c r="G159" i="3" a="1"/>
  <c r="G163" i="3" a="1"/>
  <c r="G167" i="3" a="1"/>
  <c r="G171" i="3" a="1"/>
  <c r="G175" i="3" a="1"/>
  <c r="G179" i="3" a="1"/>
  <c r="G183" i="3" a="1"/>
  <c r="G187" i="3" a="1"/>
  <c r="G191" i="3" a="1"/>
  <c r="G195" i="3" a="1"/>
  <c r="G199" i="3" a="1"/>
  <c r="G203" i="3" a="1"/>
  <c r="G207" i="3" a="1"/>
  <c r="G211" i="3" a="1"/>
  <c r="G215" i="3" a="1"/>
  <c r="G219" i="3" a="1"/>
  <c r="G223" i="3" a="1"/>
  <c r="G227" i="3" a="1"/>
  <c r="G231" i="3" a="1"/>
  <c r="G235" i="3" a="1"/>
  <c r="G239" i="3" a="1"/>
  <c r="G243" i="3" a="1"/>
  <c r="G247" i="3" a="1"/>
  <c r="G251" i="3" a="1"/>
  <c r="G255" i="3" a="1"/>
  <c r="G259" i="3" a="1"/>
  <c r="G263" i="3" a="1"/>
  <c r="G267" i="3" a="1"/>
  <c r="G271" i="3" a="1"/>
  <c r="G275" i="3" a="1"/>
  <c r="G279" i="3" a="1"/>
  <c r="G283" i="3" a="1"/>
  <c r="G287" i="3" a="1"/>
  <c r="G291" i="3" a="1"/>
  <c r="G295" i="3" a="1"/>
  <c r="G299" i="3" a="1"/>
  <c r="G303" i="3" a="1"/>
  <c r="G307" i="3" a="1"/>
  <c r="G311" i="3" a="1"/>
  <c r="G315" i="3" a="1"/>
  <c r="G319" i="3" a="1"/>
  <c r="G323" i="3" a="1"/>
  <c r="G327" i="3" a="1"/>
  <c r="G331" i="3" a="1"/>
  <c r="G335" i="3" a="1"/>
  <c r="G339" i="3" a="1"/>
  <c r="G343" i="3" a="1"/>
  <c r="G347" i="3" a="1"/>
  <c r="G351" i="3" a="1"/>
  <c r="G355" i="3" a="1"/>
  <c r="G359" i="3" a="1"/>
  <c r="G363" i="3" a="1"/>
  <c r="G367" i="3" a="1"/>
  <c r="G371" i="3" a="1"/>
  <c r="G375" i="3" a="1"/>
  <c r="G379" i="3" a="1"/>
  <c r="G383" i="3" a="1"/>
  <c r="G387" i="3" a="1"/>
  <c r="G391" i="3" a="1"/>
  <c r="G395" i="3" a="1"/>
  <c r="G399" i="3" a="1"/>
  <c r="G403" i="3" a="1"/>
  <c r="G407" i="3" a="1"/>
  <c r="G411" i="3" a="1"/>
  <c r="G415" i="3" a="1"/>
  <c r="G419" i="3" a="1"/>
  <c r="G423" i="3" a="1"/>
  <c r="G427" i="3" a="1"/>
  <c r="G431" i="3" a="1"/>
  <c r="G435" i="3" a="1"/>
  <c r="G439" i="3" a="1"/>
  <c r="G443" i="3" a="1"/>
  <c r="G447" i="3" a="1"/>
  <c r="G451" i="3" a="1"/>
  <c r="G455" i="3" a="1"/>
  <c r="G459" i="3" a="1"/>
  <c r="G463" i="3" a="1"/>
  <c r="G467" i="3" a="1"/>
  <c r="G471" i="3" a="1"/>
  <c r="G475" i="3" a="1"/>
  <c r="G479" i="3" a="1"/>
  <c r="G483" i="3" a="1"/>
  <c r="G487" i="3" a="1"/>
  <c r="G491" i="3" a="1"/>
  <c r="G495" i="3" a="1"/>
  <c r="G499" i="3" a="1"/>
  <c r="G503" i="3" a="1"/>
  <c r="G4" i="3" a="1"/>
  <c r="G5" i="3" a="1"/>
  <c r="G6" i="3" a="1"/>
  <c r="G10" i="3" a="1"/>
  <c r="G14" i="3" a="1"/>
  <c r="G18" i="3" a="1"/>
  <c r="G22" i="3" a="1"/>
  <c r="G26" i="3" a="1"/>
  <c r="G30" i="3" a="1"/>
  <c r="G34" i="3" a="1"/>
  <c r="G38" i="3" a="1"/>
  <c r="G42" i="3" a="1"/>
  <c r="G46" i="3" a="1"/>
  <c r="G50" i="3" a="1"/>
  <c r="G54" i="3" a="1"/>
  <c r="G58" i="3" a="1"/>
  <c r="G62" i="3" a="1"/>
  <c r="G66" i="3" a="1"/>
  <c r="G70" i="3" a="1"/>
  <c r="G74" i="3" a="1"/>
  <c r="G78" i="3" a="1"/>
  <c r="G82" i="3" a="1"/>
  <c r="G86" i="3" a="1"/>
  <c r="G90" i="3" a="1"/>
  <c r="G94" i="3" a="1"/>
  <c r="G98" i="3" a="1"/>
  <c r="G102" i="3" a="1"/>
  <c r="G106" i="3" a="1"/>
  <c r="G110" i="3" a="1"/>
  <c r="G114" i="3" a="1"/>
  <c r="G118" i="3" a="1"/>
  <c r="G122" i="3" a="1"/>
  <c r="G126" i="3" a="1"/>
  <c r="G130" i="3" a="1"/>
  <c r="G134" i="3" a="1"/>
  <c r="G138" i="3" a="1"/>
  <c r="G142" i="3" a="1"/>
  <c r="G146" i="3" a="1"/>
  <c r="G150" i="3" a="1"/>
  <c r="G154" i="3" a="1"/>
  <c r="G158" i="3" a="1"/>
  <c r="G162" i="3" a="1"/>
  <c r="G166" i="3" a="1"/>
  <c r="G170" i="3" a="1"/>
  <c r="G174" i="3" a="1"/>
  <c r="G178" i="3" a="1"/>
  <c r="G182" i="3" a="1"/>
  <c r="G186" i="3" a="1"/>
  <c r="G190" i="3" a="1"/>
  <c r="G194" i="3" a="1"/>
  <c r="G198" i="3" a="1"/>
  <c r="G202" i="3" a="1"/>
  <c r="G206" i="3" a="1"/>
  <c r="G210" i="3" a="1"/>
  <c r="G214" i="3" a="1"/>
  <c r="G218" i="3" a="1"/>
  <c r="G222" i="3" a="1"/>
  <c r="G226" i="3" a="1"/>
  <c r="G230" i="3" a="1"/>
  <c r="G234" i="3" a="1"/>
  <c r="G238" i="3" a="1"/>
  <c r="G242" i="3" a="1"/>
  <c r="G246" i="3" a="1"/>
  <c r="G250" i="3" a="1"/>
  <c r="G254" i="3" a="1"/>
  <c r="G258" i="3" a="1"/>
  <c r="G262" i="3" a="1"/>
  <c r="G266" i="3" a="1"/>
  <c r="G270" i="3" a="1"/>
  <c r="G274" i="3" a="1"/>
  <c r="G278" i="3" a="1"/>
  <c r="G282" i="3" a="1"/>
  <c r="G286" i="3" a="1"/>
  <c r="G290" i="3" a="1"/>
  <c r="G294" i="3" a="1"/>
  <c r="G298" i="3" a="1"/>
  <c r="G302" i="3" a="1"/>
  <c r="G306" i="3" a="1"/>
  <c r="G310" i="3" a="1"/>
  <c r="G314" i="3" a="1"/>
  <c r="G318" i="3" a="1"/>
  <c r="G322" i="3" a="1"/>
  <c r="G326" i="3" a="1"/>
  <c r="G330" i="3" a="1"/>
  <c r="G334" i="3" a="1"/>
  <c r="G338" i="3" a="1"/>
  <c r="G342" i="3" a="1"/>
  <c r="G346" i="3" a="1"/>
  <c r="G350" i="3" a="1"/>
  <c r="G354" i="3" a="1"/>
  <c r="G358" i="3" a="1"/>
  <c r="G362" i="3" a="1"/>
  <c r="G366" i="3" a="1"/>
  <c r="G370" i="3" a="1"/>
  <c r="G374" i="3" a="1"/>
  <c r="G378" i="3" a="1"/>
  <c r="G382" i="3" a="1"/>
  <c r="G386" i="3" a="1"/>
  <c r="G390" i="3" a="1"/>
  <c r="G394" i="3" a="1"/>
  <c r="G398" i="3" a="1"/>
  <c r="G402" i="3" a="1"/>
  <c r="G406" i="3" a="1"/>
  <c r="G410" i="3" a="1"/>
  <c r="G414" i="3" a="1"/>
  <c r="G418" i="3" a="1"/>
  <c r="G422" i="3" a="1"/>
  <c r="G426" i="3" a="1"/>
  <c r="G430" i="3" a="1"/>
  <c r="G434" i="3" a="1"/>
  <c r="G438" i="3" a="1"/>
  <c r="G442" i="3" a="1"/>
  <c r="G446" i="3" a="1"/>
  <c r="G450" i="3" a="1"/>
  <c r="G454" i="3" a="1"/>
  <c r="G458" i="3" a="1"/>
  <c r="G462" i="3" a="1"/>
  <c r="G466" i="3" a="1"/>
  <c r="G470" i="3" a="1"/>
  <c r="G474" i="3" a="1"/>
  <c r="G478" i="3" a="1"/>
  <c r="G482" i="3" a="1"/>
  <c r="G486" i="3" a="1"/>
  <c r="G490" i="3" a="1"/>
  <c r="G494" i="3" a="1"/>
  <c r="G498" i="3" a="1"/>
  <c r="G502" i="3" a="1"/>
  <c r="G506" i="3" a="1"/>
  <c r="G510" i="3" a="1"/>
  <c r="G8" i="3" a="1"/>
  <c r="G13" i="3" a="1"/>
  <c r="G24" i="3" a="1"/>
  <c r="G29" i="3" a="1"/>
  <c r="G40" i="3" a="1"/>
  <c r="G45" i="3" a="1"/>
  <c r="G56" i="3" a="1"/>
  <c r="G61" i="3" a="1"/>
  <c r="G72" i="3" a="1"/>
  <c r="G77" i="3" a="1"/>
  <c r="G88" i="3" a="1"/>
  <c r="G93" i="3" a="1"/>
  <c r="G104" i="3" a="1"/>
  <c r="G109" i="3" a="1"/>
  <c r="G120" i="3" a="1"/>
  <c r="G125" i="3" a="1"/>
  <c r="G136" i="3" a="1"/>
  <c r="G141" i="3" a="1"/>
  <c r="G152" i="3" a="1"/>
  <c r="G157" i="3" a="1"/>
  <c r="G168" i="3" a="1"/>
  <c r="G173" i="3" a="1"/>
  <c r="G184" i="3" a="1"/>
  <c r="G189" i="3" a="1"/>
  <c r="G200" i="3" a="1"/>
  <c r="G205" i="3" a="1"/>
  <c r="G216" i="3" a="1"/>
  <c r="G221" i="3" a="1"/>
  <c r="G232" i="3" a="1"/>
  <c r="G237" i="3" a="1"/>
  <c r="G248" i="3" a="1"/>
  <c r="G253" i="3" a="1"/>
  <c r="G264" i="3" a="1"/>
  <c r="G269" i="3" a="1"/>
  <c r="G9" i="3" a="1"/>
  <c r="G25" i="3" a="1"/>
  <c r="G33" i="3" a="1"/>
  <c r="G68" i="3" a="1"/>
  <c r="G76" i="3" a="1"/>
  <c r="G85" i="3" a="1"/>
  <c r="G101" i="3" a="1"/>
  <c r="G108" i="3" a="1"/>
  <c r="G116" i="3" a="1"/>
  <c r="G129" i="3" a="1"/>
  <c r="G137" i="3" a="1"/>
  <c r="G144" i="3" a="1"/>
  <c r="G165" i="3" a="1"/>
  <c r="G172" i="3" a="1"/>
  <c r="G180" i="3" a="1"/>
  <c r="G193" i="3" a="1"/>
  <c r="G201" i="3" a="1"/>
  <c r="G208" i="3" a="1"/>
  <c r="G229" i="3" a="1"/>
  <c r="G236" i="3" a="1"/>
  <c r="G244" i="3" a="1"/>
  <c r="G17" i="3" a="1"/>
  <c r="G52" i="3" a="1"/>
  <c r="G60" i="3" a="1"/>
  <c r="G69" i="3" a="1"/>
  <c r="G297" i="3" a="1"/>
  <c r="G309" i="3" a="1"/>
  <c r="G321" i="3" a="1"/>
  <c r="G333" i="3" a="1"/>
  <c r="G340" i="3" a="1"/>
  <c r="G352" i="3" a="1"/>
  <c r="G364" i="3" a="1"/>
  <c r="G376" i="3" a="1"/>
  <c r="G425" i="3" a="1"/>
  <c r="G437" i="3" a="1"/>
  <c r="G449" i="3" a="1"/>
  <c r="G461" i="3" a="1"/>
  <c r="G36" i="3" a="1"/>
  <c r="G44" i="3" a="1"/>
  <c r="G53" i="3" a="1"/>
  <c r="G96" i="3" a="1"/>
  <c r="G117" i="3" a="1"/>
  <c r="G124" i="3" a="1"/>
  <c r="G132" i="3" a="1"/>
  <c r="G145" i="3" a="1"/>
  <c r="G153" i="3" a="1"/>
  <c r="G160" i="3" a="1"/>
  <c r="G181" i="3" a="1"/>
  <c r="G188" i="3" a="1"/>
  <c r="G196" i="3" a="1"/>
  <c r="G209" i="3" a="1"/>
  <c r="G217" i="3" a="1"/>
  <c r="G224" i="3" a="1"/>
  <c r="G245" i="3" a="1"/>
  <c r="G252" i="3" a="1"/>
  <c r="G260" i="3" a="1"/>
  <c r="G273" i="3" a="1"/>
  <c r="G285" i="3" a="1"/>
  <c r="G292" i="3" a="1"/>
  <c r="G304" i="3" a="1"/>
  <c r="G316" i="3" a="1"/>
  <c r="G328" i="3" a="1"/>
  <c r="G377" i="3" a="1"/>
  <c r="G389" i="3" a="1"/>
  <c r="G401" i="3" a="1"/>
  <c r="G413" i="3" a="1"/>
  <c r="G420" i="3" a="1"/>
  <c r="G432" i="3" a="1"/>
  <c r="G444" i="3" a="1"/>
  <c r="G456" i="3" a="1"/>
  <c r="G509" i="3" a="1"/>
  <c r="G20" i="3" a="1"/>
  <c r="G28" i="3" a="1"/>
  <c r="G37" i="3" a="1"/>
  <c r="G80" i="3" a="1"/>
  <c r="G280" i="3" a="1"/>
  <c r="G329" i="3" a="1"/>
  <c r="G341" i="3" a="1"/>
  <c r="G353" i="3" a="1"/>
  <c r="G365" i="3" a="1"/>
  <c r="G372" i="3" a="1"/>
  <c r="G384" i="3" a="1"/>
  <c r="G396" i="3" a="1"/>
  <c r="G408" i="3" a="1"/>
  <c r="G457" i="3" a="1"/>
  <c r="G468" i="3" a="1"/>
  <c r="G473" i="3" a="1"/>
  <c r="G484" i="3" a="1"/>
  <c r="G489" i="3" a="1"/>
  <c r="G500" i="3" a="1"/>
  <c r="G505" i="3" a="1"/>
  <c r="G514" i="3" a="1"/>
  <c r="G518" i="3" a="1"/>
  <c r="G522" i="3" a="1"/>
  <c r="G526" i="3" a="1"/>
  <c r="G530" i="3" a="1"/>
  <c r="G534" i="3" a="1"/>
  <c r="G538" i="3" a="1"/>
  <c r="G542" i="3" a="1"/>
  <c r="G48" i="3" a="1"/>
  <c r="G32" i="3" a="1"/>
  <c r="G57" i="3" a="1"/>
  <c r="G65" i="3" a="1"/>
  <c r="G100" i="3" a="1"/>
  <c r="G113" i="3" a="1"/>
  <c r="G121" i="3" a="1"/>
  <c r="G128" i="3" a="1"/>
  <c r="G149" i="3" a="1"/>
  <c r="G156" i="3" a="1"/>
  <c r="G164" i="3" a="1"/>
  <c r="G177" i="3" a="1"/>
  <c r="G185" i="3" a="1"/>
  <c r="G192" i="3" a="1"/>
  <c r="G213" i="3" a="1"/>
  <c r="G220" i="3" a="1"/>
  <c r="G228" i="3" a="1"/>
  <c r="G16" i="3" a="1"/>
  <c r="G12" i="3" a="1"/>
  <c r="G49" i="3" a="1"/>
  <c r="G73" i="3" a="1"/>
  <c r="G97" i="3" a="1"/>
  <c r="G212" i="3" a="1"/>
  <c r="G256" i="3" a="1"/>
  <c r="G268" i="3" a="1"/>
  <c r="G277" i="3" a="1"/>
  <c r="G288" i="3" a="1"/>
  <c r="G296" i="3" a="1"/>
  <c r="G317" i="3" a="1"/>
  <c r="G345" i="3" a="1"/>
  <c r="G356" i="3" a="1"/>
  <c r="G385" i="3" a="1"/>
  <c r="G453" i="3" a="1"/>
  <c r="G548" i="3" a="1"/>
  <c r="G557" i="3" a="1"/>
  <c r="G562" i="3" a="1"/>
  <c r="G571" i="3" a="1"/>
  <c r="G580" i="3" a="1"/>
  <c r="G589" i="3" a="1"/>
  <c r="G21" i="3" a="1"/>
  <c r="G176" i="3" a="1"/>
  <c r="G233" i="3" a="1"/>
  <c r="G308" i="3" a="1"/>
  <c r="G337" i="3" a="1"/>
  <c r="G348" i="3" a="1"/>
  <c r="G405" i="3" a="1"/>
  <c r="G416" i="3" a="1"/>
  <c r="G424" i="3" a="1"/>
  <c r="G445" i="3" a="1"/>
  <c r="G464" i="3" a="1"/>
  <c r="G477" i="3" a="1"/>
  <c r="G485" i="3" a="1"/>
  <c r="G492" i="3" a="1"/>
  <c r="G512" i="3" a="1"/>
  <c r="G517" i="3" a="1"/>
  <c r="G523" i="3" a="1"/>
  <c r="G528" i="3" a="1"/>
  <c r="G533" i="3" a="1"/>
  <c r="G539" i="3" a="1"/>
  <c r="G544" i="3" a="1"/>
  <c r="G553" i="3" a="1"/>
  <c r="G558" i="3" a="1"/>
  <c r="G567" i="3" a="1"/>
  <c r="G576" i="3" a="1"/>
  <c r="G585" i="3" a="1"/>
  <c r="G590" i="3" a="1"/>
  <c r="G594" i="3" a="1"/>
  <c r="G598" i="3" a="1"/>
  <c r="G602" i="3" a="1"/>
  <c r="G606" i="3" a="1"/>
  <c r="G610" i="3" a="1"/>
  <c r="G614" i="3" a="1"/>
  <c r="G618" i="3" a="1"/>
  <c r="G622" i="3" a="1"/>
  <c r="G626" i="3" a="1"/>
  <c r="G630" i="3" a="1"/>
  <c r="G634" i="3" a="1"/>
  <c r="G638" i="3" a="1"/>
  <c r="G642" i="3" a="1"/>
  <c r="G646" i="3" a="1"/>
  <c r="G650" i="3" a="1"/>
  <c r="G654" i="3" a="1"/>
  <c r="G658" i="3" a="1"/>
  <c r="G662" i="3" a="1"/>
  <c r="G666" i="3" a="1"/>
  <c r="G670" i="3" a="1"/>
  <c r="G674" i="3" a="1"/>
  <c r="G678" i="3" a="1"/>
  <c r="G682" i="3" a="1"/>
  <c r="G686" i="3" a="1"/>
  <c r="G690" i="3" a="1"/>
  <c r="G694" i="3" a="1"/>
  <c r="G698" i="3" a="1"/>
  <c r="G702" i="3" a="1"/>
  <c r="G706" i="3" a="1"/>
  <c r="G710" i="3" a="1"/>
  <c r="G714" i="3" a="1"/>
  <c r="G718" i="3" a="1"/>
  <c r="G722" i="3" a="1"/>
  <c r="G726" i="3" a="1"/>
  <c r="G730" i="3" a="1"/>
  <c r="G734" i="3" a="1"/>
  <c r="G738" i="3" a="1"/>
  <c r="G742" i="3" a="1"/>
  <c r="G746" i="3" a="1"/>
  <c r="G750" i="3" a="1"/>
  <c r="G754" i="3" a="1"/>
  <c r="G758" i="3" a="1"/>
  <c r="G762" i="3" a="1"/>
  <c r="G766" i="3" a="1"/>
  <c r="G770" i="3" a="1"/>
  <c r="G774" i="3" a="1"/>
  <c r="G140" i="3" a="1"/>
  <c r="G197" i="3" a="1"/>
  <c r="G257" i="3" a="1"/>
  <c r="G281" i="3" a="1"/>
  <c r="G289" i="3" a="1"/>
  <c r="G300" i="3" a="1"/>
  <c r="G357" i="3" a="1"/>
  <c r="G368" i="3" a="1"/>
  <c r="G397" i="3" a="1"/>
  <c r="G436" i="3" a="1"/>
  <c r="G507" i="3" a="1"/>
  <c r="G549" i="3" a="1"/>
  <c r="G554" i="3" a="1"/>
  <c r="G563" i="3" a="1"/>
  <c r="G572" i="3" a="1"/>
  <c r="G581" i="3" a="1"/>
  <c r="G586" i="3" a="1"/>
  <c r="G81" i="3" a="1"/>
  <c r="G105" i="3" a="1"/>
  <c r="G161" i="3" a="1"/>
  <c r="G249" i="3" a="1"/>
  <c r="G261" i="3" a="1"/>
  <c r="G320" i="3" a="1"/>
  <c r="G349" i="3" a="1"/>
  <c r="G360" i="3" a="1"/>
  <c r="G388" i="3" a="1"/>
  <c r="G409" i="3" a="1"/>
  <c r="G417" i="3" a="1"/>
  <c r="G428" i="3" a="1"/>
  <c r="G465" i="3" a="1"/>
  <c r="G472" i="3" a="1"/>
  <c r="G480" i="3" a="1"/>
  <c r="G493" i="3" a="1"/>
  <c r="G501" i="3" a="1"/>
  <c r="G513" i="3" a="1"/>
  <c r="G519" i="3" a="1"/>
  <c r="G524" i="3" a="1"/>
  <c r="G529" i="3" a="1"/>
  <c r="G535" i="3" a="1"/>
  <c r="G540" i="3" a="1"/>
  <c r="G545" i="3" a="1"/>
  <c r="G550" i="3" a="1"/>
  <c r="G559" i="3" a="1"/>
  <c r="G568" i="3" a="1"/>
  <c r="G577" i="3" a="1"/>
  <c r="G582" i="3" a="1"/>
  <c r="G591" i="3" a="1"/>
  <c r="G595" i="3" a="1"/>
  <c r="G599" i="3" a="1"/>
  <c r="G603" i="3" a="1"/>
  <c r="G607" i="3" a="1"/>
  <c r="G611" i="3" a="1"/>
  <c r="G615" i="3" a="1"/>
  <c r="G619" i="3" a="1"/>
  <c r="G623" i="3" a="1"/>
  <c r="G627" i="3" a="1"/>
  <c r="G631" i="3" a="1"/>
  <c r="G635" i="3" a="1"/>
  <c r="G639" i="3" a="1"/>
  <c r="G643" i="3" a="1"/>
  <c r="G647" i="3" a="1"/>
  <c r="G651" i="3" a="1"/>
  <c r="G655" i="3" a="1"/>
  <c r="G659" i="3" a="1"/>
  <c r="G663" i="3" a="1"/>
  <c r="G667" i="3" a="1"/>
  <c r="G671" i="3" a="1"/>
  <c r="G675" i="3" a="1"/>
  <c r="G679" i="3" a="1"/>
  <c r="G683" i="3" a="1"/>
  <c r="G687" i="3" a="1"/>
  <c r="G691" i="3" a="1"/>
  <c r="G695" i="3" a="1"/>
  <c r="G699" i="3" a="1"/>
  <c r="G703" i="3" a="1"/>
  <c r="G707" i="3" a="1"/>
  <c r="G711" i="3" a="1"/>
  <c r="G715" i="3" a="1"/>
  <c r="G64" i="3" a="1"/>
  <c r="G84" i="3" a="1"/>
  <c r="G272" i="3" a="1"/>
  <c r="G293" i="3" a="1"/>
  <c r="G301" i="3" a="1"/>
  <c r="G312" i="3" a="1"/>
  <c r="G89" i="3" a="1"/>
  <c r="G148" i="3" a="1"/>
  <c r="G204" i="3" a="1"/>
  <c r="G240" i="3" a="1"/>
  <c r="G313" i="3" a="1"/>
  <c r="G324" i="3" a="1"/>
  <c r="G332" i="3" a="1"/>
  <c r="G41" i="3" a="1"/>
  <c r="G112" i="3" a="1"/>
  <c r="G169" i="3" a="1"/>
  <c r="G225" i="3" a="1"/>
  <c r="G276" i="3" a="1"/>
  <c r="G284" i="3" a="1"/>
  <c r="G305" i="3" a="1"/>
  <c r="G373" i="3" a="1"/>
  <c r="G381" i="3" a="1"/>
  <c r="G392" i="3" a="1"/>
  <c r="G441" i="3" a="1"/>
  <c r="G452" i="3" a="1"/>
  <c r="G460" i="3" a="1"/>
  <c r="G515" i="3" a="1"/>
  <c r="G525" i="3" a="1"/>
  <c r="G536" i="3" a="1"/>
  <c r="G574" i="3" a="1"/>
  <c r="G583" i="3" a="1"/>
  <c r="G592" i="3" a="1"/>
  <c r="G600" i="3" a="1"/>
  <c r="G608" i="3" a="1"/>
  <c r="G616" i="3" a="1"/>
  <c r="G624" i="3" a="1"/>
  <c r="G632" i="3" a="1"/>
  <c r="G640" i="3" a="1"/>
  <c r="G648" i="3" a="1"/>
  <c r="G656" i="3" a="1"/>
  <c r="G664" i="3" a="1"/>
  <c r="G672" i="3" a="1"/>
  <c r="G680" i="3" a="1"/>
  <c r="G688" i="3" a="1"/>
  <c r="G696" i="3" a="1"/>
  <c r="G704" i="3" a="1"/>
  <c r="G712" i="3" a="1"/>
  <c r="G725" i="3" a="1"/>
  <c r="G732" i="3" a="1"/>
  <c r="G737" i="3" a="1"/>
  <c r="G743" i="3" a="1"/>
  <c r="G748" i="3" a="1"/>
  <c r="G753" i="3" a="1"/>
  <c r="G759" i="3" a="1"/>
  <c r="G764" i="3" a="1"/>
  <c r="G769" i="3" a="1"/>
  <c r="G775" i="3" a="1"/>
  <c r="G784" i="3" a="1"/>
  <c r="G793" i="3" a="1"/>
  <c r="G802" i="3" a="1"/>
  <c r="G807" i="3" a="1"/>
  <c r="G816" i="3" a="1"/>
  <c r="G825" i="3" a="1"/>
  <c r="G834" i="3" a="1"/>
  <c r="G839" i="3" a="1"/>
  <c r="G848" i="3" a="1"/>
  <c r="G857" i="3" a="1"/>
  <c r="G866" i="3" a="1"/>
  <c r="G412" i="3" a="1"/>
  <c r="G546" i="3" a="1"/>
  <c r="G564" i="3" a="1"/>
  <c r="G788" i="3" a="1"/>
  <c r="G820" i="3" a="1"/>
  <c r="G369" i="3" a="1"/>
  <c r="G393" i="3" a="1"/>
  <c r="G421" i="3" a="1"/>
  <c r="G448" i="3" a="1"/>
  <c r="G469" i="3" a="1"/>
  <c r="G488" i="3" a="1"/>
  <c r="G547" i="3" a="1"/>
  <c r="G556" i="3" a="1"/>
  <c r="G565" i="3" a="1"/>
  <c r="G720" i="3" a="1"/>
  <c r="G727" i="3" a="1"/>
  <c r="G780" i="3" a="1"/>
  <c r="G789" i="3" a="1"/>
  <c r="G798" i="3" a="1"/>
  <c r="G803" i="3" a="1"/>
  <c r="G812" i="3" a="1"/>
  <c r="G821" i="3" a="1"/>
  <c r="G830" i="3" a="1"/>
  <c r="G835" i="3" a="1"/>
  <c r="G844" i="3" a="1"/>
  <c r="G853" i="3" a="1"/>
  <c r="G862" i="3" a="1"/>
  <c r="G867" i="3" a="1"/>
  <c r="G779" i="3" a="1"/>
  <c r="G811" i="3" a="1"/>
  <c r="G838" i="3" a="1"/>
  <c r="G861" i="3" a="1"/>
  <c r="G92" i="3" a="1"/>
  <c r="G241" i="3" a="1"/>
  <c r="G325" i="3" a="1"/>
  <c r="G504" i="3" a="1"/>
  <c r="G516" i="3" a="1"/>
  <c r="G527" i="3" a="1"/>
  <c r="G537" i="3" a="1"/>
  <c r="G566" i="3" a="1"/>
  <c r="G575" i="3" a="1"/>
  <c r="G584" i="3" a="1"/>
  <c r="G593" i="3" a="1"/>
  <c r="G601" i="3" a="1"/>
  <c r="G609" i="3" a="1"/>
  <c r="G617" i="3" a="1"/>
  <c r="G625" i="3" a="1"/>
  <c r="G633" i="3" a="1"/>
  <c r="G641" i="3" a="1"/>
  <c r="G649" i="3" a="1"/>
  <c r="G657" i="3" a="1"/>
  <c r="G665" i="3" a="1"/>
  <c r="G673" i="3" a="1"/>
  <c r="G681" i="3" a="1"/>
  <c r="G689" i="3" a="1"/>
  <c r="G697" i="3" a="1"/>
  <c r="G705" i="3" a="1"/>
  <c r="G713" i="3" a="1"/>
  <c r="G733" i="3" a="1"/>
  <c r="G739" i="3" a="1"/>
  <c r="G744" i="3" a="1"/>
  <c r="G749" i="3" a="1"/>
  <c r="G755" i="3" a="1"/>
  <c r="G760" i="3" a="1"/>
  <c r="G765" i="3" a="1"/>
  <c r="G771" i="3" a="1"/>
  <c r="G776" i="3" a="1"/>
  <c r="G785" i="3" a="1"/>
  <c r="G794" i="3" a="1"/>
  <c r="G799" i="3" a="1"/>
  <c r="G808" i="3" a="1"/>
  <c r="G817" i="3" a="1"/>
  <c r="G826" i="3" a="1"/>
  <c r="G831" i="3" a="1"/>
  <c r="G840" i="3" a="1"/>
  <c r="G849" i="3" a="1"/>
  <c r="G858" i="3" a="1"/>
  <c r="G863" i="3" a="1"/>
  <c r="G719" i="3" a="1"/>
  <c r="G797" i="3" a="1"/>
  <c r="G852" i="3" a="1"/>
  <c r="G336" i="3" a="1"/>
  <c r="G400" i="3" a="1"/>
  <c r="G508" i="3" a="1"/>
  <c r="G578" i="3" a="1"/>
  <c r="G587" i="3" a="1"/>
  <c r="G721" i="3" a="1"/>
  <c r="G728" i="3" a="1"/>
  <c r="G781" i="3" a="1"/>
  <c r="G790" i="3" a="1"/>
  <c r="G795" i="3" a="1"/>
  <c r="G804" i="3" a="1"/>
  <c r="G813" i="3" a="1"/>
  <c r="G822" i="3" a="1"/>
  <c r="G827" i="3" a="1"/>
  <c r="G836" i="3" a="1"/>
  <c r="G845" i="3" a="1"/>
  <c r="G854" i="3" a="1"/>
  <c r="G859" i="3" a="1"/>
  <c r="G806" i="3" a="1"/>
  <c r="G829" i="3" a="1"/>
  <c r="G133" i="3" a="1"/>
  <c r="G265" i="3" a="1"/>
  <c r="G344" i="3" a="1"/>
  <c r="G380" i="3" a="1"/>
  <c r="G404" i="3" a="1"/>
  <c r="G429" i="3" a="1"/>
  <c r="G476" i="3" a="1"/>
  <c r="G496" i="3" a="1"/>
  <c r="G520" i="3" a="1"/>
  <c r="G531" i="3" a="1"/>
  <c r="G541" i="3" a="1"/>
  <c r="G551" i="3" a="1"/>
  <c r="G560" i="3" a="1"/>
  <c r="G569" i="3" a="1"/>
  <c r="G596" i="3" a="1"/>
  <c r="G604" i="3" a="1"/>
  <c r="G612" i="3" a="1"/>
  <c r="G620" i="3" a="1"/>
  <c r="G628" i="3" a="1"/>
  <c r="G636" i="3" a="1"/>
  <c r="G644" i="3" a="1"/>
  <c r="G652" i="3" a="1"/>
  <c r="G660" i="3" a="1"/>
  <c r="G668" i="3" a="1"/>
  <c r="G676" i="3" a="1"/>
  <c r="G684" i="3" a="1"/>
  <c r="G692" i="3" a="1"/>
  <c r="G700" i="3" a="1"/>
  <c r="G708" i="3" a="1"/>
  <c r="G716" i="3" a="1"/>
  <c r="G723" i="3" a="1"/>
  <c r="G735" i="3" a="1"/>
  <c r="G740" i="3" a="1"/>
  <c r="G745" i="3" a="1"/>
  <c r="G751" i="3" a="1"/>
  <c r="G756" i="3" a="1"/>
  <c r="G761" i="3" a="1"/>
  <c r="G767" i="3" a="1"/>
  <c r="G772" i="3" a="1"/>
  <c r="G777" i="3" a="1"/>
  <c r="G786" i="3" a="1"/>
  <c r="G791" i="3" a="1"/>
  <c r="G800" i="3" a="1"/>
  <c r="G809" i="3" a="1"/>
  <c r="G818" i="3" a="1"/>
  <c r="G823" i="3" a="1"/>
  <c r="G832" i="3" a="1"/>
  <c r="G841" i="3" a="1"/>
  <c r="G850" i="3" a="1"/>
  <c r="G855" i="3" a="1"/>
  <c r="G864" i="3" a="1"/>
  <c r="G440" i="3" a="1"/>
  <c r="G555" i="3" a="1"/>
  <c r="G573" i="3" a="1"/>
  <c r="G843" i="3" a="1"/>
  <c r="G433" i="3" a="1"/>
  <c r="G570" i="3" a="1"/>
  <c r="G579" i="3" a="1"/>
  <c r="G588" i="3" a="1"/>
  <c r="G729" i="3" a="1"/>
  <c r="G782" i="3" a="1"/>
  <c r="G787" i="3" a="1"/>
  <c r="G796" i="3" a="1"/>
  <c r="G805" i="3" a="1"/>
  <c r="G814" i="3" a="1"/>
  <c r="G819" i="3" a="1"/>
  <c r="G828" i="3" a="1"/>
  <c r="G837" i="3" a="1"/>
  <c r="G846" i="3" a="1"/>
  <c r="G851" i="3" a="1"/>
  <c r="G860" i="3" a="1"/>
  <c r="G361" i="3" a="1"/>
  <c r="G481" i="3" a="1"/>
  <c r="G497" i="3" a="1"/>
  <c r="G511" i="3" a="1"/>
  <c r="G521" i="3" a="1"/>
  <c r="G532" i="3" a="1"/>
  <c r="G543" i="3" a="1"/>
  <c r="G552" i="3" a="1"/>
  <c r="G561" i="3" a="1"/>
  <c r="G597" i="3" a="1"/>
  <c r="G605" i="3" a="1"/>
  <c r="G613" i="3" a="1"/>
  <c r="G621" i="3" a="1"/>
  <c r="G629" i="3" a="1"/>
  <c r="G637" i="3" a="1"/>
  <c r="G645" i="3" a="1"/>
  <c r="G653" i="3" a="1"/>
  <c r="G661" i="3" a="1"/>
  <c r="G669" i="3" a="1"/>
  <c r="G677" i="3" a="1"/>
  <c r="G685" i="3" a="1"/>
  <c r="G693" i="3" a="1"/>
  <c r="G701" i="3" a="1"/>
  <c r="G709" i="3" a="1"/>
  <c r="G717" i="3" a="1"/>
  <c r="G724" i="3" a="1"/>
  <c r="G731" i="3" a="1"/>
  <c r="G736" i="3" a="1"/>
  <c r="G741" i="3" a="1"/>
  <c r="G747" i="3" a="1"/>
  <c r="G752" i="3" a="1"/>
  <c r="G757" i="3" a="1"/>
  <c r="G763" i="3" a="1"/>
  <c r="G768" i="3" a="1"/>
  <c r="G773" i="3" a="1"/>
  <c r="G778" i="3" a="1"/>
  <c r="G783" i="3" a="1"/>
  <c r="G792" i="3" a="1"/>
  <c r="G801" i="3" a="1"/>
  <c r="G810" i="3" a="1"/>
  <c r="G815" i="3" a="1"/>
  <c r="G824" i="3" a="1"/>
  <c r="G833" i="3" a="1"/>
  <c r="G842" i="3" a="1"/>
  <c r="G847" i="3" a="1"/>
  <c r="G856" i="3" a="1"/>
  <c r="G865" i="3" a="1"/>
  <c r="G2" i="3" a="1"/>
  <c r="E3" i="3" a="1"/>
  <c r="E4" i="3" a="1"/>
  <c r="E5" i="3" a="1"/>
  <c r="E14" i="3" a="1"/>
  <c r="E28" i="3" a="1"/>
  <c r="E37" i="3" a="1"/>
  <c r="E46" i="3" a="1"/>
  <c r="E55" i="3" a="1"/>
  <c r="E69" i="3" a="1"/>
  <c r="E78" i="3" a="1"/>
  <c r="E87" i="3" a="1"/>
  <c r="E92" i="3" a="1"/>
  <c r="E110" i="3" a="1"/>
  <c r="E119" i="3" a="1"/>
  <c r="E124" i="3" a="1"/>
  <c r="E133" i="3" a="1"/>
  <c r="E142" i="3" a="1"/>
  <c r="E151" i="3" a="1"/>
  <c r="E156" i="3" a="1"/>
  <c r="E165" i="3" a="1"/>
  <c r="E183" i="3" a="1"/>
  <c r="E188" i="3" a="1"/>
  <c r="E206" i="3" a="1"/>
  <c r="E215" i="3" a="1"/>
  <c r="E229" i="3" a="1"/>
  <c r="E238" i="3" a="1"/>
  <c r="E270" i="3" a="1"/>
  <c r="E284" i="3" a="1"/>
  <c r="E293" i="3" a="1"/>
  <c r="E311" i="3" a="1"/>
  <c r="E325" i="3" a="1"/>
  <c r="E334" i="3" a="1"/>
  <c r="E343" i="3" a="1"/>
  <c r="E10" i="3" a="1"/>
  <c r="E19" i="3" a="1"/>
  <c r="E33" i="3" a="1"/>
  <c r="E42" i="3" a="1"/>
  <c r="E51" i="3" a="1"/>
  <c r="E56" i="3" a="1"/>
  <c r="E65" i="3" a="1"/>
  <c r="E74" i="3" a="1"/>
  <c r="E97" i="3" a="1"/>
  <c r="E106" i="3" a="1"/>
  <c r="E120" i="3" a="1"/>
  <c r="E129" i="3" a="1"/>
  <c r="E138" i="3" a="1"/>
  <c r="E147" i="3" a="1"/>
  <c r="E152" i="3" a="1"/>
  <c r="E161" i="3" a="1"/>
  <c r="E170" i="3" a="1"/>
  <c r="E184" i="3" a="1"/>
  <c r="E211" i="3" a="1"/>
  <c r="E216" i="3" a="1"/>
  <c r="E225" i="3" a="1"/>
  <c r="E243" i="3" a="1"/>
  <c r="E248" i="3" a="1"/>
  <c r="E298" i="3" a="1"/>
  <c r="E312" i="3" a="1"/>
  <c r="E321" i="3" a="1"/>
  <c r="E339" i="3" a="1"/>
  <c r="E15" i="3" a="1"/>
  <c r="E29" i="3" a="1"/>
  <c r="E47" i="3" a="1"/>
  <c r="E52" i="3" a="1"/>
  <c r="E61" i="3" a="1"/>
  <c r="E79" i="3" a="1"/>
  <c r="E84" i="3" a="1"/>
  <c r="E93" i="3" a="1"/>
  <c r="E102" i="3" a="1"/>
  <c r="E111" i="3" a="1"/>
  <c r="E116" i="3" a="1"/>
  <c r="E125" i="3" a="1"/>
  <c r="E134" i="3" a="1"/>
  <c r="E143" i="3" a="1"/>
  <c r="E148" i="3" a="1"/>
  <c r="E157" i="3" a="1"/>
  <c r="E189" i="3" a="1"/>
  <c r="E198" i="3" a="1"/>
  <c r="E221" i="3" a="1"/>
  <c r="E230" i="3" a="1"/>
  <c r="E239" i="3" a="1"/>
  <c r="E244" i="3" a="1"/>
  <c r="E253" i="3" a="1"/>
  <c r="E11" i="3" a="1"/>
  <c r="E16" i="3" a="1"/>
  <c r="E25" i="3" a="1"/>
  <c r="E34" i="3" a="1"/>
  <c r="E43" i="3" a="1"/>
  <c r="E48" i="3" a="1"/>
  <c r="E57" i="3" a="1"/>
  <c r="E66" i="3" a="1"/>
  <c r="E75" i="3" a="1"/>
  <c r="E80" i="3" a="1"/>
  <c r="E89" i="3" a="1"/>
  <c r="E98" i="3" a="1"/>
  <c r="E107" i="3" a="1"/>
  <c r="E121" i="3" a="1"/>
  <c r="E130" i="3" a="1"/>
  <c r="E139" i="3" a="1"/>
  <c r="E153" i="3" a="1"/>
  <c r="E162" i="3" a="1"/>
  <c r="E171" i="3" a="1"/>
  <c r="E176" i="3" a="1"/>
  <c r="E194" i="3" a="1"/>
  <c r="E12" i="3" a="1"/>
  <c r="E21" i="3" a="1"/>
  <c r="E39" i="3" a="1"/>
  <c r="E44" i="3" a="1"/>
  <c r="E62" i="3" a="1"/>
  <c r="E71" i="3" a="1"/>
  <c r="E76" i="3" a="1"/>
  <c r="E85" i="3" a="1"/>
  <c r="E94" i="3" a="1"/>
  <c r="E103" i="3" a="1"/>
  <c r="E108" i="3" a="1"/>
  <c r="E126" i="3" a="1"/>
  <c r="E135" i="3" a="1"/>
  <c r="E140" i="3" a="1"/>
  <c r="E149" i="3" a="1"/>
  <c r="E158" i="3" a="1"/>
  <c r="E190" i="3" a="1"/>
  <c r="E17" i="3" a="1"/>
  <c r="E26" i="3" a="1"/>
  <c r="E35" i="3" a="1"/>
  <c r="E40" i="3" a="1"/>
  <c r="E49" i="3" a="1"/>
  <c r="E58" i="3" a="1"/>
  <c r="E67" i="3" a="1"/>
  <c r="E90" i="3" a="1"/>
  <c r="E99" i="3" a="1"/>
  <c r="E122" i="3" a="1"/>
  <c r="E13" i="3" a="1"/>
  <c r="E22" i="3" a="1"/>
  <c r="E31" i="3" a="1"/>
  <c r="E45" i="3" a="1"/>
  <c r="E68" i="3" a="1"/>
  <c r="E86" i="3" a="1"/>
  <c r="E95" i="3" a="1"/>
  <c r="E100" i="3" a="1"/>
  <c r="E109" i="3" a="1"/>
  <c r="E118" i="3" a="1"/>
  <c r="E127" i="3" a="1"/>
  <c r="E132" i="3" a="1"/>
  <c r="E141" i="3" a="1"/>
  <c r="E150" i="3" a="1"/>
  <c r="E159" i="3" a="1"/>
  <c r="E18" i="3" a="1"/>
  <c r="E27" i="3" a="1"/>
  <c r="E32" i="3" a="1"/>
  <c r="E41" i="3" a="1"/>
  <c r="E50" i="3" a="1"/>
  <c r="E59" i="3" a="1"/>
  <c r="E64" i="3" a="1"/>
  <c r="E73" i="3" a="1"/>
  <c r="E91" i="3" a="1"/>
  <c r="E128" i="3" a="1"/>
  <c r="E160" i="3" a="1"/>
  <c r="E182" i="3" a="1"/>
  <c r="E191" i="3" a="1"/>
  <c r="E228" i="3" a="1"/>
  <c r="E241" i="3" a="1"/>
  <c r="E263" i="3" a="1"/>
  <c r="E285" i="3" a="1"/>
  <c r="E290" i="3" a="1"/>
  <c r="E296" i="3" a="1"/>
  <c r="E350" i="3" a="1"/>
  <c r="E359" i="3" a="1"/>
  <c r="E364" i="3" a="1"/>
  <c r="E373" i="3" a="1"/>
  <c r="E382" i="3" a="1"/>
  <c r="E391" i="3" a="1"/>
  <c r="E405" i="3" a="1"/>
  <c r="E423" i="3" a="1"/>
  <c r="E428" i="3" a="1"/>
  <c r="E437" i="3" a="1"/>
  <c r="E446" i="3" a="1"/>
  <c r="E455" i="3" a="1"/>
  <c r="E460" i="3" a="1"/>
  <c r="E469" i="3" a="1"/>
  <c r="E478" i="3" a="1"/>
  <c r="E487" i="3" a="1"/>
  <c r="E501" i="3" a="1"/>
  <c r="E533" i="3" a="1"/>
  <c r="E542" i="3" a="1"/>
  <c r="E551" i="3" a="1"/>
  <c r="E556" i="3" a="1"/>
  <c r="E114" i="3" a="1"/>
  <c r="E145" i="3" a="1"/>
  <c r="E163" i="3" a="1"/>
  <c r="E192" i="3" a="1"/>
  <c r="E217" i="3" a="1"/>
  <c r="E222" i="3" a="1"/>
  <c r="E235" i="3" a="1"/>
  <c r="E254" i="3" a="1"/>
  <c r="E259" i="3" a="1"/>
  <c r="E264" i="3" a="1"/>
  <c r="E269" i="3" a="1"/>
  <c r="E313" i="3" a="1"/>
  <c r="E323" i="3" a="1"/>
  <c r="E335" i="3" a="1"/>
  <c r="E341" i="3" a="1"/>
  <c r="E346" i="3" a="1"/>
  <c r="E360" i="3" a="1"/>
  <c r="E369" i="3" a="1"/>
  <c r="E387" i="3" a="1"/>
  <c r="E392" i="3" a="1"/>
  <c r="E401" i="3" a="1"/>
  <c r="E410" i="3" a="1"/>
  <c r="E424" i="3" a="1"/>
  <c r="E442" i="3" a="1"/>
  <c r="E451" i="3" a="1"/>
  <c r="E456" i="3" a="1"/>
  <c r="E465" i="3" a="1"/>
  <c r="E474" i="3" a="1"/>
  <c r="E488" i="3" a="1"/>
  <c r="E497" i="3" a="1"/>
  <c r="E506" i="3" a="1"/>
  <c r="E515" i="3" a="1"/>
  <c r="E520" i="3" a="1"/>
  <c r="E529" i="3" a="1"/>
  <c r="E547" i="3" a="1"/>
  <c r="E552" i="3" a="1"/>
  <c r="E570" i="3" a="1"/>
  <c r="E146" i="3" a="1"/>
  <c r="E164" i="3" a="1"/>
  <c r="E199" i="3" a="1"/>
  <c r="E210" i="3" a="1"/>
  <c r="E236" i="3" a="1"/>
  <c r="E242" i="3" a="1"/>
  <c r="E276" i="3" a="1"/>
  <c r="E286" i="3" a="1"/>
  <c r="E291" i="3" a="1"/>
  <c r="E297" i="3" a="1"/>
  <c r="E308" i="3" a="1"/>
  <c r="E318" i="3" a="1"/>
  <c r="E336" i="3" a="1"/>
  <c r="E351" i="3" a="1"/>
  <c r="E356" i="3" a="1"/>
  <c r="E383" i="3" a="1"/>
  <c r="E388" i="3" a="1"/>
  <c r="E406" i="3" a="1"/>
  <c r="E420" i="3" a="1"/>
  <c r="E429" i="3" a="1"/>
  <c r="E438" i="3" a="1"/>
  <c r="E447" i="3" a="1"/>
  <c r="E470" i="3" a="1"/>
  <c r="E479" i="3" a="1"/>
  <c r="E493" i="3" a="1"/>
  <c r="E511" i="3" a="1"/>
  <c r="E516" i="3" a="1"/>
  <c r="E525" i="3" a="1"/>
  <c r="E534" i="3" a="1"/>
  <c r="E543" i="3" a="1"/>
  <c r="E548" i="3" a="1"/>
  <c r="E557" i="3" a="1"/>
  <c r="E566" i="3" a="1"/>
  <c r="E575" i="3" a="1"/>
  <c r="E598" i="3" a="1"/>
  <c r="E607" i="3" a="1"/>
  <c r="E612" i="3" a="1"/>
  <c r="E621" i="3" a="1"/>
  <c r="E630" i="3" a="1"/>
  <c r="E644" i="3" a="1"/>
  <c r="E653" i="3" a="1"/>
  <c r="E662" i="3" a="1"/>
  <c r="E671" i="3" a="1"/>
  <c r="E703" i="3" a="1"/>
  <c r="E717" i="3" a="1"/>
  <c r="E726" i="3" a="1"/>
  <c r="E735" i="3" a="1"/>
  <c r="E740" i="3" a="1"/>
  <c r="E749" i="3" a="1"/>
  <c r="E758" i="3" a="1"/>
  <c r="E136" i="3" a="1"/>
  <c r="E200" i="3" a="1"/>
  <c r="E218" i="3" a="1"/>
  <c r="E223" i="3" a="1"/>
  <c r="E231" i="3" a="1"/>
  <c r="E255" i="3" a="1"/>
  <c r="E265" i="3" a="1"/>
  <c r="E271" i="3" a="1"/>
  <c r="E292" i="3" a="1"/>
  <c r="E303" i="3" a="1"/>
  <c r="E314" i="3" a="1"/>
  <c r="E347" i="3" a="1"/>
  <c r="E352" i="3" a="1"/>
  <c r="E370" i="3" a="1"/>
  <c r="E379" i="3" a="1"/>
  <c r="E384" i="3" a="1"/>
  <c r="E393" i="3" a="1"/>
  <c r="E411" i="3" a="1"/>
  <c r="E425" i="3" a="1"/>
  <c r="E434" i="3" a="1"/>
  <c r="E448" i="3" a="1"/>
  <c r="E457" i="3" a="1"/>
  <c r="E466" i="3" a="1"/>
  <c r="E475" i="3" a="1"/>
  <c r="E480" i="3" a="1"/>
  <c r="E489" i="3" a="1"/>
  <c r="E498" i="3" a="1"/>
  <c r="E507" i="3" a="1"/>
  <c r="E512" i="3" a="1"/>
  <c r="E521" i="3" a="1"/>
  <c r="E530" i="3" a="1"/>
  <c r="E539" i="3" a="1"/>
  <c r="E544" i="3" a="1"/>
  <c r="E553" i="3" a="1"/>
  <c r="E562" i="3" a="1"/>
  <c r="E571" i="3" a="1"/>
  <c r="E576" i="3" a="1"/>
  <c r="E585" i="3" a="1"/>
  <c r="E594" i="3" a="1"/>
  <c r="E603" i="3" a="1"/>
  <c r="E608" i="3" a="1"/>
  <c r="E617" i="3" a="1"/>
  <c r="E635" i="3" a="1"/>
  <c r="E667" i="3" a="1"/>
  <c r="E672" i="3" a="1"/>
  <c r="E690" i="3" a="1"/>
  <c r="E704" i="3" a="1"/>
  <c r="E713" i="3" a="1"/>
  <c r="E722" i="3" a="1"/>
  <c r="E731" i="3" a="1"/>
  <c r="E745" i="3" a="1"/>
  <c r="E186" i="3" a="1"/>
  <c r="E224" i="3" a="1"/>
  <c r="E232" i="3" a="1"/>
  <c r="E237" i="3" a="1"/>
  <c r="E245" i="3" a="1"/>
  <c r="E256" i="3" a="1"/>
  <c r="E272" i="3" a="1"/>
  <c r="E309" i="3" a="1"/>
  <c r="E319" i="3" a="1"/>
  <c r="E326" i="3" a="1"/>
  <c r="E331" i="3" a="1"/>
  <c r="E337" i="3" a="1"/>
  <c r="E357" i="3" a="1"/>
  <c r="E366" i="3" a="1"/>
  <c r="E380" i="3" a="1"/>
  <c r="E389" i="3" a="1"/>
  <c r="E398" i="3" a="1"/>
  <c r="E407" i="3" a="1"/>
  <c r="E412" i="3" a="1"/>
  <c r="E421" i="3" a="1"/>
  <c r="E430" i="3" a="1"/>
  <c r="E444" i="3" a="1"/>
  <c r="E453" i="3" a="1"/>
  <c r="E462" i="3" a="1"/>
  <c r="E471" i="3" a="1"/>
  <c r="E476" i="3" a="1"/>
  <c r="E485" i="3" a="1"/>
  <c r="E494" i="3" a="1"/>
  <c r="E503" i="3" a="1"/>
  <c r="E508" i="3" a="1"/>
  <c r="E517" i="3" a="1"/>
  <c r="E535" i="3" a="1"/>
  <c r="E540" i="3" a="1"/>
  <c r="E549" i="3" a="1"/>
  <c r="E558" i="3" a="1"/>
  <c r="E567" i="3" a="1"/>
  <c r="E572" i="3" a="1"/>
  <c r="E581" i="3" a="1"/>
  <c r="E590" i="3" a="1"/>
  <c r="E613" i="3" a="1"/>
  <c r="E631" i="3" a="1"/>
  <c r="E636" i="3" a="1"/>
  <c r="E645" i="3" a="1"/>
  <c r="E654" i="3" a="1"/>
  <c r="E663" i="3" a="1"/>
  <c r="E668" i="3" a="1"/>
  <c r="E686" i="3" a="1"/>
  <c r="E695" i="3" a="1"/>
  <c r="E700" i="3" a="1"/>
  <c r="E718" i="3" a="1"/>
  <c r="E154" i="3" a="1"/>
  <c r="E195" i="3" a="1"/>
  <c r="E201" i="3" a="1"/>
  <c r="E226" i="3" a="1"/>
  <c r="E282" i="3" a="1"/>
  <c r="E288" i="3" a="1"/>
  <c r="E294" i="3" a="1"/>
  <c r="E300" i="3" a="1"/>
  <c r="E315" i="3" a="1"/>
  <c r="E320" i="3" a="1"/>
  <c r="E332" i="3" a="1"/>
  <c r="E344" i="3" a="1"/>
  <c r="E362" i="3" a="1"/>
  <c r="E371" i="3" a="1"/>
  <c r="E385" i="3" a="1"/>
  <c r="E403" i="3" a="1"/>
  <c r="E435" i="3" a="1"/>
  <c r="E449" i="3" a="1"/>
  <c r="E458" i="3" a="1"/>
  <c r="E467" i="3" a="1"/>
  <c r="E472" i="3" a="1"/>
  <c r="E481" i="3" a="1"/>
  <c r="E499" i="3" a="1"/>
  <c r="E504" i="3" a="1"/>
  <c r="E513" i="3" a="1"/>
  <c r="E522" i="3" a="1"/>
  <c r="E536" i="3" a="1"/>
  <c r="E554" i="3" a="1"/>
  <c r="E563" i="3" a="1"/>
  <c r="E568" i="3" a="1"/>
  <c r="E123" i="3" a="1"/>
  <c r="E155" i="3" a="1"/>
  <c r="E187" i="3" a="1"/>
  <c r="E196" i="3" a="1"/>
  <c r="E233" i="3" a="1"/>
  <c r="E240" i="3" a="1"/>
  <c r="E246" i="3" a="1"/>
  <c r="E262" i="3" a="1"/>
  <c r="E267" i="3" a="1"/>
  <c r="E305" i="3" a="1"/>
  <c r="E310" i="3" a="1"/>
  <c r="E327" i="3" a="1"/>
  <c r="E338" i="3" a="1"/>
  <c r="E349" i="3" a="1"/>
  <c r="E358" i="3" a="1"/>
  <c r="E367" i="3" a="1"/>
  <c r="E372" i="3" a="1"/>
  <c r="E381" i="3" a="1"/>
  <c r="E390" i="3" a="1"/>
  <c r="E399" i="3" a="1"/>
  <c r="E422" i="3" a="1"/>
  <c r="E431" i="3" a="1"/>
  <c r="E436" i="3" a="1"/>
  <c r="E445" i="3" a="1"/>
  <c r="E454" i="3" a="1"/>
  <c r="E96" i="3" a="1"/>
  <c r="E168" i="3" a="1"/>
  <c r="E214" i="3" a="1"/>
  <c r="E227" i="3" a="1"/>
  <c r="E258" i="3" a="1"/>
  <c r="E268" i="3" a="1"/>
  <c r="E295" i="3" a="1"/>
  <c r="E301" i="3" a="1"/>
  <c r="E322" i="3" a="1"/>
  <c r="E328" i="3" a="1"/>
  <c r="E333" i="3" a="1"/>
  <c r="E340" i="3" a="1"/>
  <c r="E345" i="3" a="1"/>
  <c r="E354" i="3" a="1"/>
  <c r="E363" i="3" a="1"/>
  <c r="E368" i="3" a="1"/>
  <c r="E386" i="3" a="1"/>
  <c r="E400" i="3" a="1"/>
  <c r="E409" i="3" a="1"/>
  <c r="E418" i="3" a="1"/>
  <c r="E427" i="3" a="1"/>
  <c r="E432" i="3" a="1"/>
  <c r="E441" i="3" a="1"/>
  <c r="E450" i="3" a="1"/>
  <c r="E459" i="3" a="1"/>
  <c r="E495" i="3" a="1"/>
  <c r="E592" i="3" a="1"/>
  <c r="E605" i="3" a="1"/>
  <c r="E611" i="3" a="1"/>
  <c r="E625" i="3" a="1"/>
  <c r="E632" i="3" a="1"/>
  <c r="E656" i="3" a="1"/>
  <c r="E669" i="3" a="1"/>
  <c r="E692" i="3" a="1"/>
  <c r="E697" i="3" a="1"/>
  <c r="E715" i="3" a="1"/>
  <c r="E734" i="3" a="1"/>
  <c r="E739" i="3" a="1"/>
  <c r="E771" i="3" a="1"/>
  <c r="E776" i="3" a="1"/>
  <c r="E785" i="3" a="1"/>
  <c r="E794" i="3" a="1"/>
  <c r="E803" i="3" a="1"/>
  <c r="E808" i="3" a="1"/>
  <c r="E826" i="3" a="1"/>
  <c r="E840" i="3" a="1"/>
  <c r="E849" i="3" a="1"/>
  <c r="E858" i="3" a="1"/>
  <c r="E862" i="3" a="1"/>
  <c r="E866" i="3" a="1"/>
  <c r="E496" i="3" a="1"/>
  <c r="E523" i="3" a="1"/>
  <c r="E546" i="3" a="1"/>
  <c r="E587" i="3" a="1"/>
  <c r="E650" i="3" a="1"/>
  <c r="E705" i="3" a="1"/>
  <c r="E723" i="3" a="1"/>
  <c r="E729" i="3" a="1"/>
  <c r="E741" i="3" a="1"/>
  <c r="E752" i="3" a="1"/>
  <c r="E757" i="3" a="1"/>
  <c r="E762" i="3" a="1"/>
  <c r="E767" i="3" a="1"/>
  <c r="E772" i="3" a="1"/>
  <c r="E790" i="3" a="1"/>
  <c r="E799" i="3" a="1"/>
  <c r="E822" i="3" a="1"/>
  <c r="E831" i="3" a="1"/>
  <c r="E836" i="3" a="1"/>
  <c r="E845" i="3" a="1"/>
  <c r="E854" i="3" a="1"/>
  <c r="E473" i="3" a="1"/>
  <c r="E486" i="3" a="1"/>
  <c r="E500" i="3" a="1"/>
  <c r="E550" i="3" a="1"/>
  <c r="E564" i="3" a="1"/>
  <c r="E574" i="3" a="1"/>
  <c r="E588" i="3" a="1"/>
  <c r="E593" i="3" a="1"/>
  <c r="E606" i="3" a="1"/>
  <c r="E633" i="3" a="1"/>
  <c r="E657" i="3" a="1"/>
  <c r="E664" i="3" a="1"/>
  <c r="E670" i="3" a="1"/>
  <c r="E693" i="3" a="1"/>
  <c r="E710" i="3" a="1"/>
  <c r="E724" i="3" a="1"/>
  <c r="E763" i="3" a="1"/>
  <c r="E768" i="3" a="1"/>
  <c r="E777" i="3" a="1"/>
  <c r="E786" i="3" a="1"/>
  <c r="E795" i="3" a="1"/>
  <c r="E809" i="3" a="1"/>
  <c r="E827" i="3" a="1"/>
  <c r="E832" i="3" a="1"/>
  <c r="E859" i="3" a="1"/>
  <c r="E863" i="3" a="1"/>
  <c r="E867" i="3" a="1"/>
  <c r="E477" i="3" a="1"/>
  <c r="E595" i="3" a="1"/>
  <c r="E601" i="3" a="1"/>
  <c r="E646" i="3" a="1"/>
  <c r="E682" i="3" a="1"/>
  <c r="E687" i="3" a="1"/>
  <c r="E706" i="3" a="1"/>
  <c r="E742" i="3" a="1"/>
  <c r="E748" i="3" a="1"/>
  <c r="E764" i="3" a="1"/>
  <c r="E773" i="3" a="1"/>
  <c r="E791" i="3" a="1"/>
  <c r="E796" i="3" a="1"/>
  <c r="E837" i="3" a="1"/>
  <c r="E846" i="3" a="1"/>
  <c r="E514" i="3" a="1"/>
  <c r="E565" i="3" a="1"/>
  <c r="E596" i="3" a="1"/>
  <c r="E609" i="3" a="1"/>
  <c r="E628" i="3" a="1"/>
  <c r="E634" i="3" a="1"/>
  <c r="E652" i="3" a="1"/>
  <c r="E665" i="3" a="1"/>
  <c r="E673" i="3" a="1"/>
  <c r="E688" i="3" a="1"/>
  <c r="E711" i="3" a="1"/>
  <c r="E719" i="3" a="1"/>
  <c r="E725" i="3" a="1"/>
  <c r="E737" i="3" a="1"/>
  <c r="E759" i="3" a="1"/>
  <c r="E787" i="3" a="1"/>
  <c r="E792" i="3" a="1"/>
  <c r="E810" i="3" a="1"/>
  <c r="E819" i="3" a="1"/>
  <c r="E824" i="3" a="1"/>
  <c r="E842" i="3" a="1"/>
  <c r="E851" i="3" a="1"/>
  <c r="E860" i="3" a="1"/>
  <c r="E541" i="3" a="1"/>
  <c r="E578" i="3" a="1"/>
  <c r="E583" i="3" a="1"/>
  <c r="E602" i="3" a="1"/>
  <c r="E641" i="3" a="1"/>
  <c r="E647" i="3" a="1"/>
  <c r="E659" i="3" a="1"/>
  <c r="E701" i="3" a="1"/>
  <c r="E712" i="3" a="1"/>
  <c r="E720" i="3" a="1"/>
  <c r="E765" i="3" a="1"/>
  <c r="E774" i="3" a="1"/>
  <c r="E788" i="3" a="1"/>
  <c r="E797" i="3" a="1"/>
  <c r="E806" i="3" a="1"/>
  <c r="E820" i="3" a="1"/>
  <c r="E829" i="3" a="1"/>
  <c r="E847" i="3" a="1"/>
  <c r="E852" i="3" a="1"/>
  <c r="E482" i="3" a="1"/>
  <c r="E491" i="3" a="1"/>
  <c r="E528" i="3" a="1"/>
  <c r="E559" i="3" a="1"/>
  <c r="E569" i="3" a="1"/>
  <c r="E584" i="3" a="1"/>
  <c r="E597" i="3" a="1"/>
  <c r="E618" i="3" a="1"/>
  <c r="E624" i="3" a="1"/>
  <c r="E629" i="3" a="1"/>
  <c r="E637" i="3" a="1"/>
  <c r="E648" i="3" a="1"/>
  <c r="E660" i="3" a="1"/>
  <c r="E666" i="3" a="1"/>
  <c r="E674" i="3" a="1"/>
  <c r="E689" i="3" a="1"/>
  <c r="E714" i="3" a="1"/>
  <c r="E727" i="3" a="1"/>
  <c r="E733" i="3" a="1"/>
  <c r="E744" i="3" a="1"/>
  <c r="E750" i="3" a="1"/>
  <c r="E755" i="3" a="1"/>
  <c r="E770" i="3" a="1"/>
  <c r="E793" i="3" a="1"/>
  <c r="E811" i="3" a="1"/>
  <c r="E825" i="3" a="1"/>
  <c r="E843" i="3" a="1"/>
  <c r="E848" i="3" a="1"/>
  <c r="E857" i="3" a="1"/>
  <c r="E861" i="3" a="1"/>
  <c r="E865" i="3" a="1"/>
  <c r="E468" i="3" a="1"/>
  <c r="E586" i="3" a="1"/>
  <c r="E642" i="3" a="1"/>
  <c r="E655" i="3" a="1"/>
  <c r="E679" i="3" a="1"/>
  <c r="E691" i="3" a="1"/>
  <c r="E721" i="3" a="1"/>
  <c r="E761" i="3" a="1"/>
  <c r="E766" i="3" a="1"/>
  <c r="E775" i="3" a="1"/>
  <c r="E789" i="3" a="1"/>
  <c r="E798" i="3" a="1"/>
  <c r="E812" i="3" a="1"/>
  <c r="E830" i="3" a="1"/>
  <c r="E839" i="3" a="1"/>
  <c r="E844" i="3" a="1"/>
  <c r="E2" i="3" a="1"/>
  <c r="G845" i="5" l="1"/>
  <c r="G821" i="5"/>
  <c r="G793" i="5"/>
  <c r="G751" i="5"/>
  <c r="G693" i="5"/>
  <c r="G604" i="5"/>
  <c r="G867" i="5"/>
  <c r="G859" i="5"/>
  <c r="G851" i="5"/>
  <c r="G843" i="5"/>
  <c r="G835" i="5"/>
  <c r="G827" i="5"/>
  <c r="G819" i="5"/>
  <c r="G811" i="5"/>
  <c r="G791" i="5"/>
  <c r="G781" i="5"/>
  <c r="G734" i="5"/>
  <c r="G465" i="5"/>
  <c r="G228" i="5"/>
  <c r="G801" i="5"/>
  <c r="G779" i="5"/>
  <c r="G763" i="5"/>
  <c r="G747" i="5"/>
  <c r="G730" i="5"/>
  <c r="G709" i="5"/>
  <c r="G688" i="5"/>
  <c r="G667" i="5"/>
  <c r="G645" i="5"/>
  <c r="G456" i="5"/>
  <c r="G208" i="5"/>
  <c r="G572" i="5"/>
  <c r="G537" i="5"/>
  <c r="G497" i="5"/>
  <c r="G361" i="5"/>
  <c r="G853" i="5"/>
  <c r="G829" i="5"/>
  <c r="G803" i="5"/>
  <c r="G735" i="5"/>
  <c r="G651" i="5"/>
  <c r="G466" i="5"/>
  <c r="G865" i="5"/>
  <c r="G857" i="5"/>
  <c r="G849" i="5"/>
  <c r="G841" i="5"/>
  <c r="G833" i="5"/>
  <c r="G825" i="5"/>
  <c r="G817" i="5"/>
  <c r="G809" i="5"/>
  <c r="G787" i="5"/>
  <c r="G775" i="5"/>
  <c r="G759" i="5"/>
  <c r="G743" i="5"/>
  <c r="G725" i="5"/>
  <c r="G704" i="5"/>
  <c r="G683" i="5"/>
  <c r="G661" i="5"/>
  <c r="G640" i="5"/>
  <c r="G529" i="5"/>
  <c r="G178" i="5"/>
  <c r="G230" i="5"/>
  <c r="G799" i="5"/>
  <c r="G863" i="5"/>
  <c r="G855" i="5"/>
  <c r="G847" i="5"/>
  <c r="G839" i="5"/>
  <c r="G831" i="5"/>
  <c r="G823" i="5"/>
  <c r="G815" i="5"/>
  <c r="G807" i="5"/>
  <c r="G797" i="5"/>
  <c r="G615" i="5"/>
  <c r="G591" i="5"/>
  <c r="G565" i="5"/>
  <c r="G442" i="5"/>
  <c r="G273" i="5"/>
  <c r="G176" i="5"/>
  <c r="G789" i="5"/>
  <c r="G795" i="5"/>
  <c r="G785" i="5"/>
  <c r="G771" i="5"/>
  <c r="G755" i="5"/>
  <c r="G739" i="5"/>
  <c r="G720" i="5"/>
  <c r="G699" i="5"/>
  <c r="G677" i="5"/>
  <c r="G656" i="5"/>
  <c r="G635" i="5"/>
  <c r="G559" i="5"/>
  <c r="G430" i="5"/>
  <c r="G333" i="5"/>
  <c r="G254" i="5"/>
  <c r="G100" i="5"/>
  <c r="G861" i="5"/>
  <c r="G837" i="5"/>
  <c r="G813" i="5"/>
  <c r="G767" i="5"/>
  <c r="G715" i="5"/>
  <c r="G672" i="5"/>
  <c r="G628" i="5"/>
  <c r="G580" i="5"/>
  <c r="G549" i="5"/>
  <c r="G509" i="5"/>
  <c r="G805" i="5"/>
  <c r="G783" i="5"/>
  <c r="G633" i="5"/>
  <c r="G609" i="5"/>
  <c r="G585" i="5"/>
  <c r="G517" i="5"/>
  <c r="G477" i="5"/>
  <c r="G384" i="5"/>
  <c r="G331" i="5"/>
  <c r="G250" i="5"/>
  <c r="G866" i="5"/>
  <c r="G862" i="5"/>
  <c r="G858" i="5"/>
  <c r="G854" i="5"/>
  <c r="G850" i="5"/>
  <c r="G846" i="5"/>
  <c r="G842" i="5"/>
  <c r="G838" i="5"/>
  <c r="G834" i="5"/>
  <c r="G830" i="5"/>
  <c r="G826" i="5"/>
  <c r="G822" i="5"/>
  <c r="G818" i="5"/>
  <c r="G814" i="5"/>
  <c r="G810" i="5"/>
  <c r="G806" i="5"/>
  <c r="G802" i="5"/>
  <c r="G798" i="5"/>
  <c r="G794" i="5"/>
  <c r="G790" i="5"/>
  <c r="G786" i="5"/>
  <c r="G782" i="5"/>
  <c r="G778" i="5"/>
  <c r="G774" i="5"/>
  <c r="G770" i="5"/>
  <c r="G766" i="5"/>
  <c r="G762" i="5"/>
  <c r="G758" i="5"/>
  <c r="G754" i="5"/>
  <c r="G750" i="5"/>
  <c r="G746" i="5"/>
  <c r="G742" i="5"/>
  <c r="G738" i="5"/>
  <c r="G729" i="5"/>
  <c r="G724" i="5"/>
  <c r="G719" i="5"/>
  <c r="G713" i="5"/>
  <c r="G708" i="5"/>
  <c r="G703" i="5"/>
  <c r="G697" i="5"/>
  <c r="G692" i="5"/>
  <c r="G687" i="5"/>
  <c r="G681" i="5"/>
  <c r="G676" i="5"/>
  <c r="G671" i="5"/>
  <c r="G665" i="5"/>
  <c r="G660" i="5"/>
  <c r="G655" i="5"/>
  <c r="G649" i="5"/>
  <c r="G644" i="5"/>
  <c r="G639" i="5"/>
  <c r="G627" i="5"/>
  <c r="G621" i="5"/>
  <c r="G603" i="5"/>
  <c r="G596" i="5"/>
  <c r="G571" i="5"/>
  <c r="G556" i="5"/>
  <c r="G547" i="5"/>
  <c r="G525" i="5"/>
  <c r="G505" i="5"/>
  <c r="G485" i="5"/>
  <c r="G416" i="5"/>
  <c r="G393" i="5"/>
  <c r="G370" i="5"/>
  <c r="G357" i="5"/>
  <c r="G346" i="5"/>
  <c r="G313" i="5"/>
  <c r="G272" i="5"/>
  <c r="G249" i="5"/>
  <c r="G205" i="5"/>
  <c r="G74" i="5"/>
  <c r="G733" i="5"/>
  <c r="G632" i="5"/>
  <c r="G608" i="5"/>
  <c r="G601" i="5"/>
  <c r="G583" i="5"/>
  <c r="G577" i="5"/>
  <c r="G555" i="5"/>
  <c r="G535" i="5"/>
  <c r="G515" i="5"/>
  <c r="G493" i="5"/>
  <c r="G473" i="5"/>
  <c r="G464" i="5"/>
  <c r="G428" i="5"/>
  <c r="G405" i="5"/>
  <c r="G392" i="5"/>
  <c r="G369" i="5"/>
  <c r="G326" i="5"/>
  <c r="G308" i="5"/>
  <c r="G289" i="5"/>
  <c r="G244" i="5"/>
  <c r="G221" i="5"/>
  <c r="G197" i="5"/>
  <c r="G162" i="5"/>
  <c r="G777" i="5"/>
  <c r="G773" i="5"/>
  <c r="G769" i="5"/>
  <c r="G765" i="5"/>
  <c r="G761" i="5"/>
  <c r="G757" i="5"/>
  <c r="G753" i="5"/>
  <c r="G749" i="5"/>
  <c r="G745" i="5"/>
  <c r="G741" i="5"/>
  <c r="G737" i="5"/>
  <c r="G728" i="5"/>
  <c r="G723" i="5"/>
  <c r="G717" i="5"/>
  <c r="G712" i="5"/>
  <c r="G707" i="5"/>
  <c r="G701" i="5"/>
  <c r="G696" i="5"/>
  <c r="G691" i="5"/>
  <c r="G685" i="5"/>
  <c r="G680" i="5"/>
  <c r="G675" i="5"/>
  <c r="G669" i="5"/>
  <c r="G664" i="5"/>
  <c r="G659" i="5"/>
  <c r="G653" i="5"/>
  <c r="G648" i="5"/>
  <c r="G643" i="5"/>
  <c r="G637" i="5"/>
  <c r="G619" i="5"/>
  <c r="G613" i="5"/>
  <c r="G595" i="5"/>
  <c r="G589" i="5"/>
  <c r="G543" i="5"/>
  <c r="G523" i="5"/>
  <c r="G503" i="5"/>
  <c r="G483" i="5"/>
  <c r="G460" i="5"/>
  <c r="G450" i="5"/>
  <c r="G437" i="5"/>
  <c r="G414" i="5"/>
  <c r="G401" i="5"/>
  <c r="G378" i="5"/>
  <c r="G286" i="5"/>
  <c r="G265" i="5"/>
  <c r="G242" i="5"/>
  <c r="G220" i="5"/>
  <c r="G194" i="5"/>
  <c r="G142" i="5"/>
  <c r="G732" i="5"/>
  <c r="G631" i="5"/>
  <c r="G624" i="5"/>
  <c r="G600" i="5"/>
  <c r="G576" i="5"/>
  <c r="G568" i="5"/>
  <c r="G561" i="5"/>
  <c r="G531" i="5"/>
  <c r="G511" i="5"/>
  <c r="G491" i="5"/>
  <c r="G471" i="5"/>
  <c r="G304" i="5"/>
  <c r="G262" i="5"/>
  <c r="G240" i="5"/>
  <c r="G50" i="5"/>
  <c r="G864" i="5"/>
  <c r="G860" i="5"/>
  <c r="G856" i="5"/>
  <c r="G852" i="5"/>
  <c r="G848" i="5"/>
  <c r="G844" i="5"/>
  <c r="G840" i="5"/>
  <c r="G836" i="5"/>
  <c r="G832" i="5"/>
  <c r="G828" i="5"/>
  <c r="G824" i="5"/>
  <c r="G820" i="5"/>
  <c r="G816" i="5"/>
  <c r="G812" i="5"/>
  <c r="G808" i="5"/>
  <c r="G804" i="5"/>
  <c r="G800" i="5"/>
  <c r="G796" i="5"/>
  <c r="G792" i="5"/>
  <c r="G788" i="5"/>
  <c r="G784" i="5"/>
  <c r="G780" i="5"/>
  <c r="G776" i="5"/>
  <c r="G772" i="5"/>
  <c r="G768" i="5"/>
  <c r="G764" i="5"/>
  <c r="G760" i="5"/>
  <c r="G756" i="5"/>
  <c r="G752" i="5"/>
  <c r="G748" i="5"/>
  <c r="G744" i="5"/>
  <c r="G740" i="5"/>
  <c r="G736" i="5"/>
  <c r="G727" i="5"/>
  <c r="G721" i="5"/>
  <c r="G716" i="5"/>
  <c r="G711" i="5"/>
  <c r="G705" i="5"/>
  <c r="G700" i="5"/>
  <c r="G695" i="5"/>
  <c r="G689" i="5"/>
  <c r="G684" i="5"/>
  <c r="G679" i="5"/>
  <c r="G673" i="5"/>
  <c r="G668" i="5"/>
  <c r="G663" i="5"/>
  <c r="G657" i="5"/>
  <c r="G652" i="5"/>
  <c r="G647" i="5"/>
  <c r="G641" i="5"/>
  <c r="G636" i="5"/>
  <c r="G612" i="5"/>
  <c r="G605" i="5"/>
  <c r="G587" i="5"/>
  <c r="G581" i="5"/>
  <c r="G575" i="5"/>
  <c r="G567" i="5"/>
  <c r="G499" i="5"/>
  <c r="G479" i="5"/>
  <c r="G412" i="5"/>
  <c r="G400" i="5"/>
  <c r="G377" i="5"/>
  <c r="G364" i="5"/>
  <c r="G354" i="5"/>
  <c r="G338" i="5"/>
  <c r="G322" i="5"/>
  <c r="G302" i="5"/>
  <c r="G284" i="5"/>
  <c r="G261" i="5"/>
  <c r="G216" i="5"/>
  <c r="G190" i="5"/>
  <c r="G125" i="5"/>
  <c r="G731" i="5"/>
  <c r="G623" i="5"/>
  <c r="G617" i="5"/>
  <c r="G599" i="5"/>
  <c r="G592" i="5"/>
  <c r="G573" i="5"/>
  <c r="G560" i="5"/>
  <c r="G541" i="5"/>
  <c r="G457" i="5"/>
  <c r="G444" i="5"/>
  <c r="G434" i="5"/>
  <c r="G421" i="5"/>
  <c r="G409" i="5"/>
  <c r="G398" i="5"/>
  <c r="G386" i="5"/>
  <c r="G350" i="5"/>
  <c r="G335" i="5"/>
  <c r="G317" i="5"/>
  <c r="G277" i="5"/>
  <c r="G233" i="5"/>
  <c r="G209" i="5"/>
  <c r="G184" i="5"/>
  <c r="G117" i="5"/>
  <c r="G30" i="5"/>
  <c r="G348" i="5"/>
  <c r="G341" i="5"/>
  <c r="G314" i="5"/>
  <c r="G305" i="5"/>
  <c r="G296" i="5"/>
  <c r="G276" i="5"/>
  <c r="G264" i="5"/>
  <c r="G252" i="5"/>
  <c r="G241" i="5"/>
  <c r="G229" i="5"/>
  <c r="G218" i="5"/>
  <c r="G206" i="5"/>
  <c r="G192" i="5"/>
  <c r="G177" i="5"/>
  <c r="G157" i="5"/>
  <c r="G141" i="5"/>
  <c r="G93" i="5"/>
  <c r="G73" i="5"/>
  <c r="G48" i="5"/>
  <c r="G156" i="5"/>
  <c r="G136" i="5"/>
  <c r="G116" i="5"/>
  <c r="G90" i="5"/>
  <c r="G24" i="5"/>
  <c r="G170" i="5"/>
  <c r="G154" i="5"/>
  <c r="G133" i="5"/>
  <c r="G66" i="5"/>
  <c r="G41" i="5"/>
  <c r="G21" i="5"/>
  <c r="G625" i="5"/>
  <c r="G616" i="5"/>
  <c r="G607" i="5"/>
  <c r="G593" i="5"/>
  <c r="G584" i="5"/>
  <c r="G569" i="5"/>
  <c r="G564" i="5"/>
  <c r="G553" i="5"/>
  <c r="G527" i="5"/>
  <c r="G521" i="5"/>
  <c r="G495" i="5"/>
  <c r="G489" i="5"/>
  <c r="G462" i="5"/>
  <c r="G448" i="5"/>
  <c r="G441" i="5"/>
  <c r="G433" i="5"/>
  <c r="G389" i="5"/>
  <c r="G382" i="5"/>
  <c r="G368" i="5"/>
  <c r="G360" i="5"/>
  <c r="G330" i="5"/>
  <c r="G321" i="5"/>
  <c r="G292" i="5"/>
  <c r="G282" i="5"/>
  <c r="G270" i="5"/>
  <c r="G237" i="5"/>
  <c r="G226" i="5"/>
  <c r="G213" i="5"/>
  <c r="G201" i="5"/>
  <c r="G186" i="5"/>
  <c r="G149" i="5"/>
  <c r="G109" i="5"/>
  <c r="G84" i="5"/>
  <c r="G64" i="5"/>
  <c r="G726" i="5"/>
  <c r="G722" i="5"/>
  <c r="G718" i="5"/>
  <c r="G714" i="5"/>
  <c r="G710" i="5"/>
  <c r="G706" i="5"/>
  <c r="G702" i="5"/>
  <c r="G698" i="5"/>
  <c r="G694" i="5"/>
  <c r="G690" i="5"/>
  <c r="G686" i="5"/>
  <c r="G682" i="5"/>
  <c r="G678" i="5"/>
  <c r="G674" i="5"/>
  <c r="G670" i="5"/>
  <c r="G666" i="5"/>
  <c r="G662" i="5"/>
  <c r="G658" i="5"/>
  <c r="G654" i="5"/>
  <c r="G650" i="5"/>
  <c r="G646" i="5"/>
  <c r="G642" i="5"/>
  <c r="G638" i="5"/>
  <c r="G629" i="5"/>
  <c r="G620" i="5"/>
  <c r="G611" i="5"/>
  <c r="G597" i="5"/>
  <c r="G588" i="5"/>
  <c r="G579" i="5"/>
  <c r="G563" i="5"/>
  <c r="G539" i="5"/>
  <c r="G533" i="5"/>
  <c r="G507" i="5"/>
  <c r="G501" i="5"/>
  <c r="G475" i="5"/>
  <c r="G469" i="5"/>
  <c r="G425" i="5"/>
  <c r="G418" i="5"/>
  <c r="G410" i="5"/>
  <c r="G396" i="5"/>
  <c r="G366" i="5"/>
  <c r="G352" i="5"/>
  <c r="G345" i="5"/>
  <c r="G328" i="5"/>
  <c r="G320" i="5"/>
  <c r="G310" i="5"/>
  <c r="G301" i="5"/>
  <c r="G290" i="5"/>
  <c r="G258" i="5"/>
  <c r="G248" i="5"/>
  <c r="G234" i="5"/>
  <c r="G200" i="5"/>
  <c r="G185" i="5"/>
  <c r="G169" i="5"/>
  <c r="G126" i="5"/>
  <c r="G106" i="5"/>
  <c r="G40" i="5"/>
  <c r="G14" i="5"/>
  <c r="G557" i="5"/>
  <c r="G551" i="5"/>
  <c r="G545" i="5"/>
  <c r="G519" i="5"/>
  <c r="G513" i="5"/>
  <c r="G487" i="5"/>
  <c r="G481" i="5"/>
  <c r="G453" i="5"/>
  <c r="G446" i="5"/>
  <c r="G432" i="5"/>
  <c r="G424" i="5"/>
  <c r="G402" i="5"/>
  <c r="G380" i="5"/>
  <c r="G373" i="5"/>
  <c r="G336" i="5"/>
  <c r="G327" i="5"/>
  <c r="G298" i="5"/>
  <c r="G280" i="5"/>
  <c r="G269" i="5"/>
  <c r="G256" i="5"/>
  <c r="G222" i="5"/>
  <c r="G212" i="5"/>
  <c r="G198" i="5"/>
  <c r="G164" i="5"/>
  <c r="G148" i="5"/>
  <c r="G82" i="5"/>
  <c r="G57" i="5"/>
  <c r="G32" i="5"/>
  <c r="G552" i="5"/>
  <c r="G548" i="5"/>
  <c r="G544" i="5"/>
  <c r="G540" i="5"/>
  <c r="G536" i="5"/>
  <c r="G532" i="5"/>
  <c r="G528" i="5"/>
  <c r="G524" i="5"/>
  <c r="G520" i="5"/>
  <c r="G516" i="5"/>
  <c r="G512" i="5"/>
  <c r="G508" i="5"/>
  <c r="G504" i="5"/>
  <c r="G500" i="5"/>
  <c r="G496" i="5"/>
  <c r="G492" i="5"/>
  <c r="G488" i="5"/>
  <c r="G484" i="5"/>
  <c r="G480" i="5"/>
  <c r="G476" i="5"/>
  <c r="G472" i="5"/>
  <c r="G468" i="5"/>
  <c r="G454" i="5"/>
  <c r="G445" i="5"/>
  <c r="G436" i="5"/>
  <c r="G422" i="5"/>
  <c r="G413" i="5"/>
  <c r="G404" i="5"/>
  <c r="G390" i="5"/>
  <c r="G381" i="5"/>
  <c r="G372" i="5"/>
  <c r="G358" i="5"/>
  <c r="G349" i="5"/>
  <c r="G340" i="5"/>
  <c r="G329" i="5"/>
  <c r="G324" i="5"/>
  <c r="G318" i="5"/>
  <c r="G306" i="5"/>
  <c r="G294" i="5"/>
  <c r="G288" i="5"/>
  <c r="G268" i="5"/>
  <c r="G246" i="5"/>
  <c r="G225" i="5"/>
  <c r="G204" i="5"/>
  <c r="G182" i="5"/>
  <c r="G161" i="5"/>
  <c r="G140" i="5"/>
  <c r="G132" i="5"/>
  <c r="G122" i="5"/>
  <c r="G98" i="5"/>
  <c r="G89" i="5"/>
  <c r="G80" i="5"/>
  <c r="G56" i="5"/>
  <c r="G46" i="5"/>
  <c r="G37" i="5"/>
  <c r="G13" i="5"/>
  <c r="G458" i="5"/>
  <c r="G449" i="5"/>
  <c r="G440" i="5"/>
  <c r="G426" i="5"/>
  <c r="G417" i="5"/>
  <c r="G408" i="5"/>
  <c r="G394" i="5"/>
  <c r="G385" i="5"/>
  <c r="G376" i="5"/>
  <c r="G362" i="5"/>
  <c r="G353" i="5"/>
  <c r="G344" i="5"/>
  <c r="G339" i="5"/>
  <c r="G323" i="5"/>
  <c r="G312" i="5"/>
  <c r="G300" i="5"/>
  <c r="G293" i="5"/>
  <c r="G281" i="5"/>
  <c r="G274" i="5"/>
  <c r="G266" i="5"/>
  <c r="G260" i="5"/>
  <c r="G253" i="5"/>
  <c r="G245" i="5"/>
  <c r="G238" i="5"/>
  <c r="G232" i="5"/>
  <c r="G224" i="5"/>
  <c r="G217" i="5"/>
  <c r="G210" i="5"/>
  <c r="G202" i="5"/>
  <c r="G196" i="5"/>
  <c r="G189" i="5"/>
  <c r="G181" i="5"/>
  <c r="G174" i="5"/>
  <c r="G168" i="5"/>
  <c r="G160" i="5"/>
  <c r="G153" i="5"/>
  <c r="G146" i="5"/>
  <c r="G138" i="5"/>
  <c r="G114" i="5"/>
  <c r="G105" i="5"/>
  <c r="G96" i="5"/>
  <c r="G72" i="5"/>
  <c r="G62" i="5"/>
  <c r="G53" i="5"/>
  <c r="G29" i="5"/>
  <c r="G20" i="5"/>
  <c r="G10" i="5"/>
  <c r="G188" i="5"/>
  <c r="G166" i="5"/>
  <c r="G145" i="5"/>
  <c r="G130" i="5"/>
  <c r="G121" i="5"/>
  <c r="G112" i="5"/>
  <c r="G88" i="5"/>
  <c r="G78" i="5"/>
  <c r="G69" i="5"/>
  <c r="G45" i="5"/>
  <c r="G36" i="5"/>
  <c r="G26" i="5"/>
  <c r="G180" i="5"/>
  <c r="G173" i="5"/>
  <c r="G165" i="5"/>
  <c r="G158" i="5"/>
  <c r="G152" i="5"/>
  <c r="G144" i="5"/>
  <c r="G137" i="5"/>
  <c r="G128" i="5"/>
  <c r="G104" i="5"/>
  <c r="G94" i="5"/>
  <c r="G85" i="5"/>
  <c r="G61" i="5"/>
  <c r="G52" i="5"/>
  <c r="G42" i="5"/>
  <c r="G18" i="5"/>
  <c r="G9" i="5"/>
  <c r="G634" i="5"/>
  <c r="G630" i="5"/>
  <c r="G626" i="5"/>
  <c r="G622" i="5"/>
  <c r="G618" i="5"/>
  <c r="G614" i="5"/>
  <c r="G610" i="5"/>
  <c r="G606" i="5"/>
  <c r="G602" i="5"/>
  <c r="G598" i="5"/>
  <c r="G594" i="5"/>
  <c r="G590" i="5"/>
  <c r="G586" i="5"/>
  <c r="G582" i="5"/>
  <c r="G578" i="5"/>
  <c r="G574" i="5"/>
  <c r="G570" i="5"/>
  <c r="G566" i="5"/>
  <c r="G562" i="5"/>
  <c r="G558" i="5"/>
  <c r="G554" i="5"/>
  <c r="G550" i="5"/>
  <c r="G546" i="5"/>
  <c r="G542" i="5"/>
  <c r="G538" i="5"/>
  <c r="G534" i="5"/>
  <c r="G530" i="5"/>
  <c r="G526" i="5"/>
  <c r="G522" i="5"/>
  <c r="G518" i="5"/>
  <c r="G514" i="5"/>
  <c r="G510" i="5"/>
  <c r="G506" i="5"/>
  <c r="G502" i="5"/>
  <c r="G498" i="5"/>
  <c r="G494" i="5"/>
  <c r="G490" i="5"/>
  <c r="G486" i="5"/>
  <c r="G482" i="5"/>
  <c r="G478" i="5"/>
  <c r="G474" i="5"/>
  <c r="G470" i="5"/>
  <c r="G461" i="5"/>
  <c r="G452" i="5"/>
  <c r="G438" i="5"/>
  <c r="G429" i="5"/>
  <c r="G420" i="5"/>
  <c r="G406" i="5"/>
  <c r="G397" i="5"/>
  <c r="G388" i="5"/>
  <c r="G374" i="5"/>
  <c r="G365" i="5"/>
  <c r="G356" i="5"/>
  <c r="G342" i="5"/>
  <c r="G337" i="5"/>
  <c r="G332" i="5"/>
  <c r="G316" i="5"/>
  <c r="G309" i="5"/>
  <c r="G297" i="5"/>
  <c r="G285" i="5"/>
  <c r="G278" i="5"/>
  <c r="G257" i="5"/>
  <c r="G236" i="5"/>
  <c r="G214" i="5"/>
  <c r="G193" i="5"/>
  <c r="G172" i="5"/>
  <c r="G150" i="5"/>
  <c r="G120" i="5"/>
  <c r="G110" i="5"/>
  <c r="G101" i="5"/>
  <c r="G77" i="5"/>
  <c r="G68" i="5"/>
  <c r="G58" i="5"/>
  <c r="G34" i="5"/>
  <c r="G25" i="5"/>
  <c r="G16" i="5"/>
  <c r="G8" i="5"/>
  <c r="G134" i="5"/>
  <c r="G129" i="5"/>
  <c r="G124" i="5"/>
  <c r="G118" i="5"/>
  <c r="G113" i="5"/>
  <c r="G108" i="5"/>
  <c r="G102" i="5"/>
  <c r="G97" i="5"/>
  <c r="G92" i="5"/>
  <c r="G86" i="5"/>
  <c r="G81" i="5"/>
  <c r="G76" i="5"/>
  <c r="G70" i="5"/>
  <c r="G65" i="5"/>
  <c r="G60" i="5"/>
  <c r="G54" i="5"/>
  <c r="G49" i="5"/>
  <c r="G44" i="5"/>
  <c r="G38" i="5"/>
  <c r="G33" i="5"/>
  <c r="G28" i="5"/>
  <c r="G22" i="5"/>
  <c r="G17" i="5"/>
  <c r="G12" i="5"/>
  <c r="G6" i="5"/>
  <c r="G467" i="5"/>
  <c r="G463" i="5"/>
  <c r="G459" i="5"/>
  <c r="G455" i="5"/>
  <c r="G451" i="5"/>
  <c r="G447" i="5"/>
  <c r="G443" i="5"/>
  <c r="G439" i="5"/>
  <c r="G435" i="5"/>
  <c r="G431" i="5"/>
  <c r="G427" i="5"/>
  <c r="G423" i="5"/>
  <c r="G419" i="5"/>
  <c r="G415" i="5"/>
  <c r="G411" i="5"/>
  <c r="G407" i="5"/>
  <c r="G403" i="5"/>
  <c r="G399" i="5"/>
  <c r="G395" i="5"/>
  <c r="G391" i="5"/>
  <c r="G387" i="5"/>
  <c r="G383" i="5"/>
  <c r="G379" i="5"/>
  <c r="G375" i="5"/>
  <c r="G371" i="5"/>
  <c r="G367" i="5"/>
  <c r="G363" i="5"/>
  <c r="G359" i="5"/>
  <c r="G355" i="5"/>
  <c r="G351" i="5"/>
  <c r="G347" i="5"/>
  <c r="G343" i="5"/>
  <c r="G334" i="5"/>
  <c r="G325" i="5"/>
  <c r="G5" i="5"/>
  <c r="G4" i="5"/>
  <c r="G319" i="5"/>
  <c r="G315" i="5"/>
  <c r="G311" i="5"/>
  <c r="G307" i="5"/>
  <c r="G303" i="5"/>
  <c r="G299" i="5"/>
  <c r="G295" i="5"/>
  <c r="G291" i="5"/>
  <c r="G287" i="5"/>
  <c r="G283" i="5"/>
  <c r="G279" i="5"/>
  <c r="G275" i="5"/>
  <c r="G271" i="5"/>
  <c r="G267" i="5"/>
  <c r="G263" i="5"/>
  <c r="G259" i="5"/>
  <c r="G255" i="5"/>
  <c r="G251" i="5"/>
  <c r="G247" i="5"/>
  <c r="G243" i="5"/>
  <c r="G239" i="5"/>
  <c r="G235" i="5"/>
  <c r="G231" i="5"/>
  <c r="G227" i="5"/>
  <c r="G223" i="5"/>
  <c r="G219" i="5"/>
  <c r="G215" i="5"/>
  <c r="G211" i="5"/>
  <c r="G207" i="5"/>
  <c r="G203" i="5"/>
  <c r="G199" i="5"/>
  <c r="G195" i="5"/>
  <c r="G191" i="5"/>
  <c r="G187" i="5"/>
  <c r="G183" i="5"/>
  <c r="G179" i="5"/>
  <c r="G175" i="5"/>
  <c r="G171" i="5"/>
  <c r="G167" i="5"/>
  <c r="G163" i="5"/>
  <c r="G159" i="5"/>
  <c r="G155" i="5"/>
  <c r="G151" i="5"/>
  <c r="G147" i="5"/>
  <c r="G143" i="5"/>
  <c r="G139" i="5"/>
  <c r="G135" i="5"/>
  <c r="G131" i="5"/>
  <c r="G127" i="5"/>
  <c r="G123" i="5"/>
  <c r="G119" i="5"/>
  <c r="G115" i="5"/>
  <c r="G111" i="5"/>
  <c r="G107" i="5"/>
  <c r="G103" i="5"/>
  <c r="G99" i="5"/>
  <c r="G95" i="5"/>
  <c r="G91" i="5"/>
  <c r="G87" i="5"/>
  <c r="G83" i="5"/>
  <c r="G79" i="5"/>
  <c r="G75" i="5"/>
  <c r="G71" i="5"/>
  <c r="G67" i="5"/>
  <c r="G63" i="5"/>
  <c r="G59" i="5"/>
  <c r="G55" i="5"/>
  <c r="G51" i="5"/>
  <c r="G47" i="5"/>
  <c r="G43" i="5"/>
  <c r="G39" i="5"/>
  <c r="G35" i="5"/>
  <c r="G31" i="5"/>
  <c r="G27" i="5"/>
  <c r="G23" i="5"/>
  <c r="G19" i="5"/>
  <c r="G15" i="5"/>
  <c r="G11" i="5"/>
  <c r="G7" i="5"/>
  <c r="G3" i="5"/>
  <c r="E866" i="5"/>
  <c r="E770" i="5"/>
  <c r="E715" i="5"/>
  <c r="E686" i="5"/>
  <c r="E659" i="5"/>
  <c r="E617" i="5"/>
  <c r="E611" i="5"/>
  <c r="E606" i="5"/>
  <c r="E601" i="5"/>
  <c r="E595" i="5"/>
  <c r="E590" i="5"/>
  <c r="E585" i="5"/>
  <c r="E574" i="5"/>
  <c r="E569" i="5"/>
  <c r="E563" i="5"/>
  <c r="E558" i="5"/>
  <c r="E553" i="5"/>
  <c r="E547" i="5"/>
  <c r="E542" i="5"/>
  <c r="E521" i="5"/>
  <c r="E515" i="5"/>
  <c r="E498" i="5"/>
  <c r="E453" i="5"/>
  <c r="E393" i="5"/>
  <c r="E380" i="5"/>
  <c r="E843" i="5"/>
  <c r="E811" i="5"/>
  <c r="E793" i="5"/>
  <c r="E761" i="5"/>
  <c r="E752" i="5"/>
  <c r="E729" i="5"/>
  <c r="E720" i="5"/>
  <c r="E706" i="5"/>
  <c r="E697" i="5"/>
  <c r="E691" i="5"/>
  <c r="E670" i="5"/>
  <c r="E665" i="5"/>
  <c r="E654" i="5"/>
  <c r="E633" i="5"/>
  <c r="E861" i="5"/>
  <c r="E852" i="5"/>
  <c r="E847" i="5"/>
  <c r="E829" i="5"/>
  <c r="E820" i="5"/>
  <c r="E806" i="5"/>
  <c r="E797" i="5"/>
  <c r="E788" i="5"/>
  <c r="E774" i="5"/>
  <c r="E765" i="5"/>
  <c r="E742" i="5"/>
  <c r="E733" i="5"/>
  <c r="E724" i="5"/>
  <c r="E719" i="5"/>
  <c r="E710" i="5"/>
  <c r="E701" i="5"/>
  <c r="E664" i="5"/>
  <c r="E648" i="5"/>
  <c r="E632" i="5"/>
  <c r="E584" i="5"/>
  <c r="E568" i="5"/>
  <c r="E552" i="5"/>
  <c r="E536" i="5"/>
  <c r="E520" i="5"/>
  <c r="E503" i="5"/>
  <c r="E485" i="5"/>
  <c r="E480" i="5"/>
  <c r="E471" i="5"/>
  <c r="E421" i="5"/>
  <c r="E398" i="5"/>
  <c r="E352" i="5"/>
  <c r="E824" i="5"/>
  <c r="E792" i="5"/>
  <c r="E737" i="5"/>
  <c r="E705" i="5"/>
  <c r="E669" i="5"/>
  <c r="E647" i="5"/>
  <c r="E605" i="5"/>
  <c r="E594" i="5"/>
  <c r="E583" i="5"/>
  <c r="E578" i="5"/>
  <c r="E567" i="5"/>
  <c r="E562" i="5"/>
  <c r="E557" i="5"/>
  <c r="E551" i="5"/>
  <c r="E546" i="5"/>
  <c r="E541" i="5"/>
  <c r="E535" i="5"/>
  <c r="E530" i="5"/>
  <c r="E525" i="5"/>
  <c r="E514" i="5"/>
  <c r="E497" i="5"/>
  <c r="E491" i="5"/>
  <c r="E470" i="5"/>
  <c r="E462" i="5"/>
  <c r="E430" i="5"/>
  <c r="E389" i="5"/>
  <c r="E379" i="5"/>
  <c r="E371" i="5"/>
  <c r="E332" i="5"/>
  <c r="E865" i="5"/>
  <c r="E842" i="5"/>
  <c r="E810" i="5"/>
  <c r="E787" i="5"/>
  <c r="E755" i="5"/>
  <c r="E723" i="5"/>
  <c r="E690" i="5"/>
  <c r="E663" i="5"/>
  <c r="E642" i="5"/>
  <c r="E621" i="5"/>
  <c r="E860" i="5"/>
  <c r="E837" i="5"/>
  <c r="E791" i="5"/>
  <c r="E759" i="5"/>
  <c r="E741" i="5"/>
  <c r="E727" i="5"/>
  <c r="E718" i="5"/>
  <c r="E700" i="5"/>
  <c r="E668" i="5"/>
  <c r="E652" i="5"/>
  <c r="E636" i="5"/>
  <c r="E588" i="5"/>
  <c r="E572" i="5"/>
  <c r="E556" i="5"/>
  <c r="E540" i="5"/>
  <c r="E508" i="5"/>
  <c r="E495" i="5"/>
  <c r="E420" i="5"/>
  <c r="E407" i="5"/>
  <c r="E370" i="5"/>
  <c r="E357" i="5"/>
  <c r="E331" i="5"/>
  <c r="E857" i="5"/>
  <c r="E819" i="5"/>
  <c r="E714" i="5"/>
  <c r="E679" i="5"/>
  <c r="E637" i="5"/>
  <c r="E764" i="5"/>
  <c r="E832" i="5"/>
  <c r="E786" i="5"/>
  <c r="E768" i="5"/>
  <c r="E722" i="5"/>
  <c r="E704" i="5"/>
  <c r="E673" i="5"/>
  <c r="E667" i="5"/>
  <c r="E662" i="5"/>
  <c r="E657" i="5"/>
  <c r="E646" i="5"/>
  <c r="E641" i="5"/>
  <c r="E635" i="5"/>
  <c r="E630" i="5"/>
  <c r="E625" i="5"/>
  <c r="E609" i="5"/>
  <c r="E603" i="5"/>
  <c r="E598" i="5"/>
  <c r="E593" i="5"/>
  <c r="E587" i="5"/>
  <c r="E571" i="5"/>
  <c r="E566" i="5"/>
  <c r="E550" i="5"/>
  <c r="E539" i="5"/>
  <c r="E534" i="5"/>
  <c r="E529" i="5"/>
  <c r="E523" i="5"/>
  <c r="E513" i="5"/>
  <c r="E507" i="5"/>
  <c r="E476" i="5"/>
  <c r="E467" i="5"/>
  <c r="E448" i="5"/>
  <c r="E429" i="5"/>
  <c r="E406" i="5"/>
  <c r="E388" i="5"/>
  <c r="E301" i="5"/>
  <c r="E825" i="5"/>
  <c r="E695" i="5"/>
  <c r="E674" i="5"/>
  <c r="E653" i="5"/>
  <c r="E631" i="5"/>
  <c r="E846" i="5"/>
  <c r="E796" i="5"/>
  <c r="E773" i="5"/>
  <c r="E750" i="5"/>
  <c r="E859" i="5"/>
  <c r="E827" i="5"/>
  <c r="E809" i="5"/>
  <c r="E795" i="5"/>
  <c r="E777" i="5"/>
  <c r="E763" i="5"/>
  <c r="E745" i="5"/>
  <c r="E731" i="5"/>
  <c r="E713" i="5"/>
  <c r="E689" i="5"/>
  <c r="E863" i="5"/>
  <c r="E854" i="5"/>
  <c r="E845" i="5"/>
  <c r="E836" i="5"/>
  <c r="E831" i="5"/>
  <c r="E822" i="5"/>
  <c r="E799" i="5"/>
  <c r="E790" i="5"/>
  <c r="E772" i="5"/>
  <c r="E767" i="5"/>
  <c r="E758" i="5"/>
  <c r="E749" i="5"/>
  <c r="E740" i="5"/>
  <c r="E735" i="5"/>
  <c r="E726" i="5"/>
  <c r="E717" i="5"/>
  <c r="E703" i="5"/>
  <c r="E688" i="5"/>
  <c r="E672" i="5"/>
  <c r="E656" i="5"/>
  <c r="E624" i="5"/>
  <c r="E608" i="5"/>
  <c r="E592" i="5"/>
  <c r="E576" i="5"/>
  <c r="E544" i="5"/>
  <c r="E528" i="5"/>
  <c r="E512" i="5"/>
  <c r="E501" i="5"/>
  <c r="E494" i="5"/>
  <c r="E489" i="5"/>
  <c r="E466" i="5"/>
  <c r="E438" i="5"/>
  <c r="E412" i="5"/>
  <c r="E366" i="5"/>
  <c r="E356" i="5"/>
  <c r="E848" i="5"/>
  <c r="E851" i="5"/>
  <c r="E867" i="5"/>
  <c r="E858" i="5"/>
  <c r="E808" i="5"/>
  <c r="E776" i="5"/>
  <c r="E739" i="5"/>
  <c r="E712" i="5"/>
  <c r="E693" i="5"/>
  <c r="E687" i="5"/>
  <c r="E682" i="5"/>
  <c r="E671" i="5"/>
  <c r="E666" i="5"/>
  <c r="E655" i="5"/>
  <c r="E650" i="5"/>
  <c r="E645" i="5"/>
  <c r="E634" i="5"/>
  <c r="E629" i="5"/>
  <c r="E618" i="5"/>
  <c r="E613" i="5"/>
  <c r="E607" i="5"/>
  <c r="E602" i="5"/>
  <c r="E597" i="5"/>
  <c r="E586" i="5"/>
  <c r="E581" i="5"/>
  <c r="E575" i="5"/>
  <c r="E570" i="5"/>
  <c r="E565" i="5"/>
  <c r="E559" i="5"/>
  <c r="E554" i="5"/>
  <c r="E549" i="5"/>
  <c r="E543" i="5"/>
  <c r="E533" i="5"/>
  <c r="E522" i="5"/>
  <c r="E517" i="5"/>
  <c r="E511" i="5"/>
  <c r="E506" i="5"/>
  <c r="E499" i="5"/>
  <c r="E475" i="5"/>
  <c r="E457" i="5"/>
  <c r="E444" i="5"/>
  <c r="E435" i="5"/>
  <c r="E403" i="5"/>
  <c r="E384" i="5"/>
  <c r="E343" i="5"/>
  <c r="E849" i="5"/>
  <c r="E840" i="5"/>
  <c r="E826" i="5"/>
  <c r="E803" i="5"/>
  <c r="E794" i="5"/>
  <c r="E785" i="5"/>
  <c r="E771" i="5"/>
  <c r="E762" i="5"/>
  <c r="E744" i="5"/>
  <c r="E721" i="5"/>
  <c r="E862" i="5"/>
  <c r="E844" i="5"/>
  <c r="E839" i="5"/>
  <c r="E830" i="5"/>
  <c r="E812" i="5"/>
  <c r="E798" i="5"/>
  <c r="E789" i="5"/>
  <c r="E775" i="5"/>
  <c r="E766" i="5"/>
  <c r="E757" i="5"/>
  <c r="E748" i="5"/>
  <c r="E734" i="5"/>
  <c r="E725" i="5"/>
  <c r="E711" i="5"/>
  <c r="E692" i="5"/>
  <c r="E660" i="5"/>
  <c r="E644" i="5"/>
  <c r="E628" i="5"/>
  <c r="E612" i="5"/>
  <c r="E596" i="5"/>
  <c r="E564" i="5"/>
  <c r="E548" i="5"/>
  <c r="E516" i="5"/>
  <c r="E493" i="5"/>
  <c r="E486" i="5"/>
  <c r="E481" i="5"/>
  <c r="E472" i="5"/>
  <c r="E434" i="5"/>
  <c r="E425" i="5"/>
  <c r="E411" i="5"/>
  <c r="E229" i="5"/>
  <c r="E183" i="5"/>
  <c r="E162" i="5"/>
  <c r="E135" i="5"/>
  <c r="E325" i="5"/>
  <c r="E243" i="5"/>
  <c r="E225" i="5"/>
  <c r="E206" i="5"/>
  <c r="E347" i="5"/>
  <c r="E298" i="5"/>
  <c r="E270" i="5"/>
  <c r="E151" i="5"/>
  <c r="E130" i="5"/>
  <c r="E488" i="5"/>
  <c r="E479" i="5"/>
  <c r="E474" i="5"/>
  <c r="E465" i="5"/>
  <c r="E456" i="5"/>
  <c r="E447" i="5"/>
  <c r="E442" i="5"/>
  <c r="E424" i="5"/>
  <c r="E410" i="5"/>
  <c r="E401" i="5"/>
  <c r="E392" i="5"/>
  <c r="E383" i="5"/>
  <c r="E369" i="5"/>
  <c r="E360" i="5"/>
  <c r="E351" i="5"/>
  <c r="E346" i="5"/>
  <c r="E336" i="5"/>
  <c r="E322" i="5"/>
  <c r="E211" i="5"/>
  <c r="E146" i="5"/>
  <c r="E504" i="5"/>
  <c r="E496" i="5"/>
  <c r="E469" i="5"/>
  <c r="E460" i="5"/>
  <c r="E451" i="5"/>
  <c r="E446" i="5"/>
  <c r="E437" i="5"/>
  <c r="E428" i="5"/>
  <c r="E405" i="5"/>
  <c r="E387" i="5"/>
  <c r="E382" i="5"/>
  <c r="E373" i="5"/>
  <c r="E364" i="5"/>
  <c r="E350" i="5"/>
  <c r="E341" i="5"/>
  <c r="E335" i="5"/>
  <c r="E321" i="5"/>
  <c r="E313" i="5"/>
  <c r="E284" i="5"/>
  <c r="E238" i="5"/>
  <c r="E188" i="5"/>
  <c r="E119" i="5"/>
  <c r="E500" i="5"/>
  <c r="E478" i="5"/>
  <c r="E487" i="5"/>
  <c r="E482" i="5"/>
  <c r="E473" i="5"/>
  <c r="E455" i="5"/>
  <c r="E450" i="5"/>
  <c r="E441" i="5"/>
  <c r="E432" i="5"/>
  <c r="E423" i="5"/>
  <c r="E418" i="5"/>
  <c r="E409" i="5"/>
  <c r="E400" i="5"/>
  <c r="E391" i="5"/>
  <c r="E386" i="5"/>
  <c r="E368" i="5"/>
  <c r="E359" i="5"/>
  <c r="E354" i="5"/>
  <c r="E345" i="5"/>
  <c r="E312" i="5"/>
  <c r="E477" i="5"/>
  <c r="E468" i="5"/>
  <c r="E459" i="5"/>
  <c r="E454" i="5"/>
  <c r="E445" i="5"/>
  <c r="E436" i="5"/>
  <c r="E427" i="5"/>
  <c r="E422" i="5"/>
  <c r="E390" i="5"/>
  <c r="E381" i="5"/>
  <c r="E372" i="5"/>
  <c r="E363" i="5"/>
  <c r="E358" i="5"/>
  <c r="E349" i="5"/>
  <c r="E340" i="5"/>
  <c r="E334" i="5"/>
  <c r="E319" i="5"/>
  <c r="E311" i="5"/>
  <c r="E293" i="5"/>
  <c r="E216" i="5"/>
  <c r="E103" i="5"/>
  <c r="E458" i="5"/>
  <c r="E449" i="5"/>
  <c r="E431" i="5"/>
  <c r="E399" i="5"/>
  <c r="E385" i="5"/>
  <c r="E367" i="5"/>
  <c r="E362" i="5"/>
  <c r="E344" i="5"/>
  <c r="E339" i="5"/>
  <c r="E333" i="5"/>
  <c r="E310" i="5"/>
  <c r="E292" i="5"/>
  <c r="E248" i="5"/>
  <c r="E215" i="5"/>
  <c r="E184" i="5"/>
  <c r="E114" i="5"/>
  <c r="E327" i="5"/>
  <c r="E318" i="5"/>
  <c r="E309" i="5"/>
  <c r="E300" i="5"/>
  <c r="E295" i="5"/>
  <c r="E286" i="5"/>
  <c r="E268" i="5"/>
  <c r="E263" i="5"/>
  <c r="E254" i="5"/>
  <c r="E245" i="5"/>
  <c r="E236" i="5"/>
  <c r="E231" i="5"/>
  <c r="E222" i="5"/>
  <c r="E199" i="5"/>
  <c r="E190" i="5"/>
  <c r="E170" i="5"/>
  <c r="E159" i="5"/>
  <c r="E154" i="5"/>
  <c r="E143" i="5"/>
  <c r="E138" i="5"/>
  <c r="E127" i="5"/>
  <c r="E122" i="5"/>
  <c r="E111" i="5"/>
  <c r="E106" i="5"/>
  <c r="E95" i="5"/>
  <c r="E90" i="5"/>
  <c r="E79" i="5"/>
  <c r="E74" i="5"/>
  <c r="E58" i="5"/>
  <c r="E47" i="5"/>
  <c r="E42" i="5"/>
  <c r="E31" i="5"/>
  <c r="E26" i="5"/>
  <c r="E15" i="5"/>
  <c r="E10" i="5"/>
  <c r="E290" i="5"/>
  <c r="E272" i="5"/>
  <c r="E267" i="5"/>
  <c r="E258" i="5"/>
  <c r="E240" i="5"/>
  <c r="E235" i="5"/>
  <c r="E226" i="5"/>
  <c r="E217" i="5"/>
  <c r="E194" i="5"/>
  <c r="E164" i="5"/>
  <c r="E153" i="5"/>
  <c r="E148" i="5"/>
  <c r="E132" i="5"/>
  <c r="E121" i="5"/>
  <c r="E116" i="5"/>
  <c r="E100" i="5"/>
  <c r="E89" i="5"/>
  <c r="E84" i="5"/>
  <c r="E73" i="5"/>
  <c r="E68" i="5"/>
  <c r="E57" i="5"/>
  <c r="E52" i="5"/>
  <c r="E41" i="5"/>
  <c r="E25" i="5"/>
  <c r="E326" i="5"/>
  <c r="E308" i="5"/>
  <c r="E303" i="5"/>
  <c r="E294" i="5"/>
  <c r="E285" i="5"/>
  <c r="E276" i="5"/>
  <c r="E271" i="5"/>
  <c r="E262" i="5"/>
  <c r="E253" i="5"/>
  <c r="E244" i="5"/>
  <c r="E239" i="5"/>
  <c r="E230" i="5"/>
  <c r="E221" i="5"/>
  <c r="E198" i="5"/>
  <c r="E189" i="5"/>
  <c r="E163" i="5"/>
  <c r="E158" i="5"/>
  <c r="E147" i="5"/>
  <c r="E142" i="5"/>
  <c r="E126" i="5"/>
  <c r="E110" i="5"/>
  <c r="E99" i="5"/>
  <c r="E94" i="5"/>
  <c r="E78" i="5"/>
  <c r="E67" i="5"/>
  <c r="E62" i="5"/>
  <c r="E51" i="5"/>
  <c r="E46" i="5"/>
  <c r="E35" i="5"/>
  <c r="E19" i="5"/>
  <c r="E14" i="5"/>
  <c r="E168" i="5"/>
  <c r="E157" i="5"/>
  <c r="E152" i="5"/>
  <c r="E141" i="5"/>
  <c r="E136" i="5"/>
  <c r="E125" i="5"/>
  <c r="E120" i="5"/>
  <c r="E109" i="5"/>
  <c r="E93" i="5"/>
  <c r="E61" i="5"/>
  <c r="E56" i="5"/>
  <c r="E45" i="5"/>
  <c r="E40" i="5"/>
  <c r="E29" i="5"/>
  <c r="E13" i="5"/>
  <c r="E98" i="5"/>
  <c r="E87" i="5"/>
  <c r="E71" i="5"/>
  <c r="E66" i="5"/>
  <c r="E55" i="5"/>
  <c r="E50" i="5"/>
  <c r="E39" i="5"/>
  <c r="E34" i="5"/>
  <c r="E18" i="5"/>
  <c r="E338" i="5"/>
  <c r="E320" i="5"/>
  <c r="E315" i="5"/>
  <c r="E297" i="5"/>
  <c r="E288" i="5"/>
  <c r="E265" i="5"/>
  <c r="E256" i="5"/>
  <c r="E242" i="5"/>
  <c r="E233" i="5"/>
  <c r="E224" i="5"/>
  <c r="E210" i="5"/>
  <c r="E201" i="5"/>
  <c r="E192" i="5"/>
  <c r="E187" i="5"/>
  <c r="E161" i="5"/>
  <c r="E156" i="5"/>
  <c r="E145" i="5"/>
  <c r="E140" i="5"/>
  <c r="E129" i="5"/>
  <c r="E124" i="5"/>
  <c r="E108" i="5"/>
  <c r="E97" i="5"/>
  <c r="E92" i="5"/>
  <c r="E76" i="5"/>
  <c r="E65" i="5"/>
  <c r="E49" i="5"/>
  <c r="E44" i="5"/>
  <c r="E33" i="5"/>
  <c r="E28" i="5"/>
  <c r="E17" i="5"/>
  <c r="E12" i="5"/>
  <c r="E269" i="5"/>
  <c r="E255" i="5"/>
  <c r="E246" i="5"/>
  <c r="E237" i="5"/>
  <c r="E228" i="5"/>
  <c r="E223" i="5"/>
  <c r="E214" i="5"/>
  <c r="E196" i="5"/>
  <c r="E191" i="5"/>
  <c r="E182" i="5"/>
  <c r="E171" i="5"/>
  <c r="E155" i="5"/>
  <c r="E150" i="5"/>
  <c r="E139" i="5"/>
  <c r="E134" i="5"/>
  <c r="E123" i="5"/>
  <c r="E118" i="5"/>
  <c r="E107" i="5"/>
  <c r="E102" i="5"/>
  <c r="E91" i="5"/>
  <c r="E86" i="5"/>
  <c r="E75" i="5"/>
  <c r="E59" i="5"/>
  <c r="E43" i="5"/>
  <c r="E27" i="5"/>
  <c r="E22" i="5"/>
  <c r="E11" i="5"/>
  <c r="E337" i="5"/>
  <c r="E328" i="5"/>
  <c r="E323" i="5"/>
  <c r="E314" i="5"/>
  <c r="E305" i="5"/>
  <c r="E296" i="5"/>
  <c r="E291" i="5"/>
  <c r="E282" i="5"/>
  <c r="E264" i="5"/>
  <c r="E259" i="5"/>
  <c r="E241" i="5"/>
  <c r="E232" i="5"/>
  <c r="E227" i="5"/>
  <c r="E218" i="5"/>
  <c r="E200" i="5"/>
  <c r="E195" i="5"/>
  <c r="E186" i="5"/>
  <c r="E176" i="5"/>
  <c r="E165" i="5"/>
  <c r="E160" i="5"/>
  <c r="E149" i="5"/>
  <c r="E133" i="5"/>
  <c r="E128" i="5"/>
  <c r="E96" i="5"/>
  <c r="E85" i="5"/>
  <c r="E80" i="5"/>
  <c r="E69" i="5"/>
  <c r="E64" i="5"/>
  <c r="E48" i="5"/>
  <c r="E37" i="5"/>
  <c r="E32" i="5"/>
  <c r="E21" i="5"/>
  <c r="E16" i="5"/>
  <c r="E5" i="5"/>
  <c r="E4" i="5"/>
  <c r="E3" i="5"/>
  <c r="G2" i="5"/>
  <c r="E2" i="5"/>
  <c r="G865" i="1"/>
  <c r="G860" i="1"/>
  <c r="G855" i="1"/>
  <c r="G849" i="1"/>
  <c r="G844" i="1"/>
  <c r="G839" i="1"/>
  <c r="G833" i="1"/>
  <c r="G828" i="1"/>
  <c r="G823" i="1"/>
  <c r="G817" i="1"/>
  <c r="G812" i="1"/>
  <c r="G807" i="1"/>
  <c r="G801" i="1"/>
  <c r="G780" i="1"/>
  <c r="G769" i="1"/>
  <c r="G764" i="1"/>
  <c r="G759" i="1"/>
  <c r="G753" i="1"/>
  <c r="G748" i="1"/>
  <c r="G743" i="1"/>
  <c r="G736" i="1"/>
  <c r="G728" i="1"/>
  <c r="G720" i="1"/>
  <c r="G712" i="1"/>
  <c r="G704" i="1"/>
  <c r="G696" i="1"/>
  <c r="G688" i="1"/>
  <c r="G680" i="1"/>
  <c r="G672" i="1"/>
  <c r="G664" i="1"/>
  <c r="G656" i="1"/>
  <c r="G648" i="1"/>
  <c r="G640" i="1"/>
  <c r="G632" i="1"/>
  <c r="G624" i="1"/>
  <c r="G616" i="1"/>
  <c r="G583" i="1"/>
  <c r="G535" i="1"/>
  <c r="G513" i="1"/>
  <c r="G493" i="1"/>
  <c r="G471" i="1"/>
  <c r="G372" i="1"/>
  <c r="G605" i="1"/>
  <c r="G581" i="1"/>
  <c r="G567" i="1"/>
  <c r="G532" i="1"/>
  <c r="G488" i="1"/>
  <c r="G344" i="1"/>
  <c r="G309" i="1"/>
  <c r="G864" i="1"/>
  <c r="G859" i="1"/>
  <c r="G853" i="1"/>
  <c r="G848" i="1"/>
  <c r="G843" i="1"/>
  <c r="G837" i="1"/>
  <c r="G832" i="1"/>
  <c r="G827" i="1"/>
  <c r="G821" i="1"/>
  <c r="G816" i="1"/>
  <c r="G811" i="1"/>
  <c r="G805" i="1"/>
  <c r="G800" i="1"/>
  <c r="G795" i="1"/>
  <c r="G789" i="1"/>
  <c r="G784" i="1"/>
  <c r="G779" i="1"/>
  <c r="G773" i="1"/>
  <c r="G768" i="1"/>
  <c r="G763" i="1"/>
  <c r="G757" i="1"/>
  <c r="G752" i="1"/>
  <c r="G747" i="1"/>
  <c r="G741" i="1"/>
  <c r="G604" i="1"/>
  <c r="G592" i="1"/>
  <c r="G565" i="1"/>
  <c r="G548" i="1"/>
  <c r="G444" i="1"/>
  <c r="G420" i="1"/>
  <c r="G393" i="1"/>
  <c r="G340" i="1"/>
  <c r="G733" i="1"/>
  <c r="G725" i="1"/>
  <c r="G717" i="1"/>
  <c r="G709" i="1"/>
  <c r="G701" i="1"/>
  <c r="G693" i="1"/>
  <c r="G685" i="1"/>
  <c r="G677" i="1"/>
  <c r="G669" i="1"/>
  <c r="G661" i="1"/>
  <c r="G653" i="1"/>
  <c r="G645" i="1"/>
  <c r="G637" i="1"/>
  <c r="G629" i="1"/>
  <c r="G621" i="1"/>
  <c r="G613" i="1"/>
  <c r="G591" i="1"/>
  <c r="G577" i="1"/>
  <c r="G561" i="1"/>
  <c r="G527" i="1"/>
  <c r="G504" i="1"/>
  <c r="G439" i="1"/>
  <c r="G301" i="1"/>
  <c r="G791" i="1"/>
  <c r="G863" i="1"/>
  <c r="G857" i="1"/>
  <c r="G852" i="1"/>
  <c r="G847" i="1"/>
  <c r="G841" i="1"/>
  <c r="G836" i="1"/>
  <c r="G831" i="1"/>
  <c r="G825" i="1"/>
  <c r="G820" i="1"/>
  <c r="G815" i="1"/>
  <c r="G809" i="1"/>
  <c r="G804" i="1"/>
  <c r="G799" i="1"/>
  <c r="G793" i="1"/>
  <c r="G788" i="1"/>
  <c r="G783" i="1"/>
  <c r="G777" i="1"/>
  <c r="G772" i="1"/>
  <c r="G767" i="1"/>
  <c r="G761" i="1"/>
  <c r="G756" i="1"/>
  <c r="G751" i="1"/>
  <c r="G745" i="1"/>
  <c r="G740" i="1"/>
  <c r="G732" i="1"/>
  <c r="G724" i="1"/>
  <c r="G716" i="1"/>
  <c r="G708" i="1"/>
  <c r="G700" i="1"/>
  <c r="G692" i="1"/>
  <c r="G684" i="1"/>
  <c r="G676" i="1"/>
  <c r="G668" i="1"/>
  <c r="G660" i="1"/>
  <c r="G652" i="1"/>
  <c r="G644" i="1"/>
  <c r="G636" i="1"/>
  <c r="G628" i="1"/>
  <c r="G620" i="1"/>
  <c r="G612" i="1"/>
  <c r="G601" i="1"/>
  <c r="G588" i="1"/>
  <c r="G576" i="1"/>
  <c r="G526" i="1"/>
  <c r="G296" i="1"/>
  <c r="G796" i="1"/>
  <c r="G600" i="1"/>
  <c r="G541" i="1"/>
  <c r="G521" i="1"/>
  <c r="G435" i="1"/>
  <c r="G329" i="1"/>
  <c r="G84" i="1"/>
  <c r="G775" i="1"/>
  <c r="G867" i="1"/>
  <c r="G861" i="1"/>
  <c r="G856" i="1"/>
  <c r="G851" i="1"/>
  <c r="G845" i="1"/>
  <c r="G840" i="1"/>
  <c r="G835" i="1"/>
  <c r="G829" i="1"/>
  <c r="G824" i="1"/>
  <c r="G819" i="1"/>
  <c r="G813" i="1"/>
  <c r="G808" i="1"/>
  <c r="G803" i="1"/>
  <c r="G797" i="1"/>
  <c r="G792" i="1"/>
  <c r="G787" i="1"/>
  <c r="G781" i="1"/>
  <c r="G776" i="1"/>
  <c r="G771" i="1"/>
  <c r="G765" i="1"/>
  <c r="G760" i="1"/>
  <c r="G755" i="1"/>
  <c r="G749" i="1"/>
  <c r="G744" i="1"/>
  <c r="G609" i="1"/>
  <c r="G597" i="1"/>
  <c r="G572" i="1"/>
  <c r="G540" i="1"/>
  <c r="G519" i="1"/>
  <c r="G497" i="1"/>
  <c r="G455" i="1"/>
  <c r="G408" i="1"/>
  <c r="G324" i="1"/>
  <c r="G785" i="1"/>
  <c r="G737" i="1"/>
  <c r="G729" i="1"/>
  <c r="G721" i="1"/>
  <c r="G713" i="1"/>
  <c r="G705" i="1"/>
  <c r="G697" i="1"/>
  <c r="G689" i="1"/>
  <c r="G681" i="1"/>
  <c r="G673" i="1"/>
  <c r="G665" i="1"/>
  <c r="G657" i="1"/>
  <c r="G649" i="1"/>
  <c r="G641" i="1"/>
  <c r="G633" i="1"/>
  <c r="G625" i="1"/>
  <c r="G617" i="1"/>
  <c r="G608" i="1"/>
  <c r="G571" i="1"/>
  <c r="G518" i="1"/>
  <c r="G429" i="1"/>
  <c r="G352" i="1"/>
  <c r="G281" i="1"/>
  <c r="G272" i="1"/>
  <c r="G244" i="1"/>
  <c r="G229" i="1"/>
  <c r="G216" i="1"/>
  <c r="G201" i="1"/>
  <c r="G173" i="1"/>
  <c r="G144" i="1"/>
  <c r="G116" i="1"/>
  <c r="G100" i="1"/>
  <c r="G41" i="1"/>
  <c r="G596" i="1"/>
  <c r="G587" i="1"/>
  <c r="G560" i="1"/>
  <c r="G553" i="1"/>
  <c r="G512" i="1"/>
  <c r="G503" i="1"/>
  <c r="G487" i="1"/>
  <c r="G461" i="1"/>
  <c r="G452" i="1"/>
  <c r="G400" i="1"/>
  <c r="G389" i="1"/>
  <c r="G381" i="1"/>
  <c r="G360" i="1"/>
  <c r="G253" i="1"/>
  <c r="G224" i="1"/>
  <c r="G196" i="1"/>
  <c r="G181" i="1"/>
  <c r="G168" i="1"/>
  <c r="G153" i="1"/>
  <c r="G125" i="1"/>
  <c r="G595" i="1"/>
  <c r="G552" i="1"/>
  <c r="G545" i="1"/>
  <c r="G517" i="1"/>
  <c r="G476" i="1"/>
  <c r="G467" i="1"/>
  <c r="G460" i="1"/>
  <c r="G451" i="1"/>
  <c r="G425" i="1"/>
  <c r="G388" i="1"/>
  <c r="G377" i="1"/>
  <c r="G52" i="1"/>
  <c r="G739" i="1"/>
  <c r="G735" i="1"/>
  <c r="G731" i="1"/>
  <c r="G727" i="1"/>
  <c r="G723" i="1"/>
  <c r="G719" i="1"/>
  <c r="G715" i="1"/>
  <c r="G711" i="1"/>
  <c r="G707" i="1"/>
  <c r="G703" i="1"/>
  <c r="G699" i="1"/>
  <c r="G695" i="1"/>
  <c r="G691" i="1"/>
  <c r="G687" i="1"/>
  <c r="G683" i="1"/>
  <c r="G679" i="1"/>
  <c r="G675" i="1"/>
  <c r="G671" i="1"/>
  <c r="G667" i="1"/>
  <c r="G663" i="1"/>
  <c r="G659" i="1"/>
  <c r="G655" i="1"/>
  <c r="G651" i="1"/>
  <c r="G647" i="1"/>
  <c r="G643" i="1"/>
  <c r="G639" i="1"/>
  <c r="G635" i="1"/>
  <c r="G631" i="1"/>
  <c r="G627" i="1"/>
  <c r="G623" i="1"/>
  <c r="G619" i="1"/>
  <c r="G615" i="1"/>
  <c r="G611" i="1"/>
  <c r="G607" i="1"/>
  <c r="G603" i="1"/>
  <c r="G599" i="1"/>
  <c r="G585" i="1"/>
  <c r="G580" i="1"/>
  <c r="G575" i="1"/>
  <c r="G569" i="1"/>
  <c r="G564" i="1"/>
  <c r="G557" i="1"/>
  <c r="G537" i="1"/>
  <c r="G531" i="1"/>
  <c r="G523" i="1"/>
  <c r="G508" i="1"/>
  <c r="G499" i="1"/>
  <c r="G492" i="1"/>
  <c r="G483" i="1"/>
  <c r="G457" i="1"/>
  <c r="G441" i="1"/>
  <c r="G357" i="1"/>
  <c r="G336" i="1"/>
  <c r="G308" i="1"/>
  <c r="G293" i="1"/>
  <c r="G280" i="1"/>
  <c r="G265" i="1"/>
  <c r="G237" i="1"/>
  <c r="G208" i="1"/>
  <c r="G180" i="1"/>
  <c r="G165" i="1"/>
  <c r="G152" i="1"/>
  <c r="G137" i="1"/>
  <c r="G25" i="1"/>
  <c r="G589" i="1"/>
  <c r="G544" i="1"/>
  <c r="G473" i="1"/>
  <c r="G449" i="1"/>
  <c r="G440" i="1"/>
  <c r="G431" i="1"/>
  <c r="G424" i="1"/>
  <c r="G405" i="1"/>
  <c r="G384" i="1"/>
  <c r="G376" i="1"/>
  <c r="G365" i="1"/>
  <c r="G345" i="1"/>
  <c r="G85" i="1"/>
  <c r="G866" i="1"/>
  <c r="G862" i="1"/>
  <c r="G858" i="1"/>
  <c r="G854" i="1"/>
  <c r="G850" i="1"/>
  <c r="G846" i="1"/>
  <c r="G842" i="1"/>
  <c r="G838" i="1"/>
  <c r="G834" i="1"/>
  <c r="G830" i="1"/>
  <c r="G826" i="1"/>
  <c r="G822" i="1"/>
  <c r="G818" i="1"/>
  <c r="G814" i="1"/>
  <c r="G810" i="1"/>
  <c r="G806" i="1"/>
  <c r="G802" i="1"/>
  <c r="G798" i="1"/>
  <c r="G794" i="1"/>
  <c r="G790" i="1"/>
  <c r="G786" i="1"/>
  <c r="G782" i="1"/>
  <c r="G778" i="1"/>
  <c r="G774" i="1"/>
  <c r="G770" i="1"/>
  <c r="G766" i="1"/>
  <c r="G762" i="1"/>
  <c r="G758" i="1"/>
  <c r="G754" i="1"/>
  <c r="G750" i="1"/>
  <c r="G746" i="1"/>
  <c r="G742" i="1"/>
  <c r="G738" i="1"/>
  <c r="G734" i="1"/>
  <c r="G730" i="1"/>
  <c r="G726" i="1"/>
  <c r="G722" i="1"/>
  <c r="G718" i="1"/>
  <c r="G714" i="1"/>
  <c r="G710" i="1"/>
  <c r="G706" i="1"/>
  <c r="G702" i="1"/>
  <c r="G698" i="1"/>
  <c r="G694" i="1"/>
  <c r="G690" i="1"/>
  <c r="G686" i="1"/>
  <c r="G682" i="1"/>
  <c r="G678" i="1"/>
  <c r="G674" i="1"/>
  <c r="G670" i="1"/>
  <c r="G666" i="1"/>
  <c r="G662" i="1"/>
  <c r="G658" i="1"/>
  <c r="G654" i="1"/>
  <c r="G650" i="1"/>
  <c r="G646" i="1"/>
  <c r="G642" i="1"/>
  <c r="G638" i="1"/>
  <c r="G634" i="1"/>
  <c r="G630" i="1"/>
  <c r="G626" i="1"/>
  <c r="G622" i="1"/>
  <c r="G618" i="1"/>
  <c r="G614" i="1"/>
  <c r="G610" i="1"/>
  <c r="G606" i="1"/>
  <c r="G602" i="1"/>
  <c r="G593" i="1"/>
  <c r="G584" i="1"/>
  <c r="G579" i="1"/>
  <c r="G573" i="1"/>
  <c r="G568" i="1"/>
  <c r="G556" i="1"/>
  <c r="G549" i="1"/>
  <c r="G536" i="1"/>
  <c r="G528" i="1"/>
  <c r="G522" i="1"/>
  <c r="G514" i="1"/>
  <c r="G507" i="1"/>
  <c r="G481" i="1"/>
  <c r="G472" i="1"/>
  <c r="G465" i="1"/>
  <c r="G456" i="1"/>
  <c r="G447" i="1"/>
  <c r="G413" i="1"/>
  <c r="G317" i="1"/>
  <c r="G288" i="1"/>
  <c r="G260" i="1"/>
  <c r="G245" i="1"/>
  <c r="G232" i="1"/>
  <c r="G217" i="1"/>
  <c r="G189" i="1"/>
  <c r="G160" i="1"/>
  <c r="G132" i="1"/>
  <c r="G117" i="1"/>
  <c r="G101" i="1"/>
  <c r="G68" i="1"/>
  <c r="G32" i="1"/>
  <c r="G57" i="1"/>
  <c r="G48" i="1"/>
  <c r="G563" i="1"/>
  <c r="G559" i="1"/>
  <c r="G555" i="1"/>
  <c r="G551" i="1"/>
  <c r="G547" i="1"/>
  <c r="G543" i="1"/>
  <c r="G539" i="1"/>
  <c r="G530" i="1"/>
  <c r="G525" i="1"/>
  <c r="G516" i="1"/>
  <c r="G501" i="1"/>
  <c r="G496" i="1"/>
  <c r="G485" i="1"/>
  <c r="G480" i="1"/>
  <c r="G475" i="1"/>
  <c r="G433" i="1"/>
  <c r="G428" i="1"/>
  <c r="G423" i="1"/>
  <c r="G368" i="1"/>
  <c r="G356" i="1"/>
  <c r="G73" i="1"/>
  <c r="G64" i="1"/>
  <c r="G21" i="1"/>
  <c r="G534" i="1"/>
  <c r="G529" i="1"/>
  <c r="G520" i="1"/>
  <c r="G511" i="1"/>
  <c r="G495" i="1"/>
  <c r="G469" i="1"/>
  <c r="G464" i="1"/>
  <c r="G453" i="1"/>
  <c r="G448" i="1"/>
  <c r="G443" i="1"/>
  <c r="G416" i="1"/>
  <c r="G404" i="1"/>
  <c r="G392" i="1"/>
  <c r="G373" i="1"/>
  <c r="G361" i="1"/>
  <c r="G349" i="1"/>
  <c r="G341" i="1"/>
  <c r="G328" i="1"/>
  <c r="G320" i="1"/>
  <c r="G313" i="1"/>
  <c r="G292" i="1"/>
  <c r="G285" i="1"/>
  <c r="G277" i="1"/>
  <c r="G264" i="1"/>
  <c r="G256" i="1"/>
  <c r="G249" i="1"/>
  <c r="G228" i="1"/>
  <c r="G221" i="1"/>
  <c r="G213" i="1"/>
  <c r="G200" i="1"/>
  <c r="G192" i="1"/>
  <c r="G185" i="1"/>
  <c r="G164" i="1"/>
  <c r="G157" i="1"/>
  <c r="G149" i="1"/>
  <c r="G136" i="1"/>
  <c r="G128" i="1"/>
  <c r="G121" i="1"/>
  <c r="G89" i="1"/>
  <c r="G80" i="1"/>
  <c r="G37" i="1"/>
  <c r="G598" i="1"/>
  <c r="G594" i="1"/>
  <c r="G590" i="1"/>
  <c r="G586" i="1"/>
  <c r="G582" i="1"/>
  <c r="G578" i="1"/>
  <c r="G574" i="1"/>
  <c r="G570" i="1"/>
  <c r="G566" i="1"/>
  <c r="G562" i="1"/>
  <c r="G558" i="1"/>
  <c r="G554" i="1"/>
  <c r="G550" i="1"/>
  <c r="G546" i="1"/>
  <c r="G542" i="1"/>
  <c r="G538" i="1"/>
  <c r="G533" i="1"/>
  <c r="G524" i="1"/>
  <c r="G515" i="1"/>
  <c r="G505" i="1"/>
  <c r="G489" i="1"/>
  <c r="G484" i="1"/>
  <c r="G479" i="1"/>
  <c r="G463" i="1"/>
  <c r="G437" i="1"/>
  <c r="G432" i="1"/>
  <c r="G421" i="1"/>
  <c r="G409" i="1"/>
  <c r="G397" i="1"/>
  <c r="G105" i="1"/>
  <c r="G96" i="1"/>
  <c r="G53" i="1"/>
  <c r="G20" i="1"/>
  <c r="G9" i="1"/>
  <c r="G333" i="1"/>
  <c r="G325" i="1"/>
  <c r="G312" i="1"/>
  <c r="G304" i="1"/>
  <c r="G297" i="1"/>
  <c r="G276" i="1"/>
  <c r="G269" i="1"/>
  <c r="G261" i="1"/>
  <c r="G248" i="1"/>
  <c r="G240" i="1"/>
  <c r="G233" i="1"/>
  <c r="G212" i="1"/>
  <c r="G205" i="1"/>
  <c r="G197" i="1"/>
  <c r="G184" i="1"/>
  <c r="G176" i="1"/>
  <c r="G169" i="1"/>
  <c r="G148" i="1"/>
  <c r="G141" i="1"/>
  <c r="G133" i="1"/>
  <c r="G120" i="1"/>
  <c r="G112" i="1"/>
  <c r="G69" i="1"/>
  <c r="G36" i="1"/>
  <c r="G16" i="1"/>
  <c r="G109" i="1"/>
  <c r="G104" i="1"/>
  <c r="G93" i="1"/>
  <c r="G88" i="1"/>
  <c r="G77" i="1"/>
  <c r="G72" i="1"/>
  <c r="G61" i="1"/>
  <c r="G56" i="1"/>
  <c r="G45" i="1"/>
  <c r="G40" i="1"/>
  <c r="G29" i="1"/>
  <c r="G24" i="1"/>
  <c r="G13" i="1"/>
  <c r="G8" i="1"/>
  <c r="G509" i="1"/>
  <c r="G500" i="1"/>
  <c r="G491" i="1"/>
  <c r="G477" i="1"/>
  <c r="G468" i="1"/>
  <c r="G459" i="1"/>
  <c r="G445" i="1"/>
  <c r="G436" i="1"/>
  <c r="G427" i="1"/>
  <c r="G417" i="1"/>
  <c r="G412" i="1"/>
  <c r="G401" i="1"/>
  <c r="G396" i="1"/>
  <c r="G385" i="1"/>
  <c r="G380" i="1"/>
  <c r="G369" i="1"/>
  <c r="G364" i="1"/>
  <c r="G353" i="1"/>
  <c r="G348" i="1"/>
  <c r="G337" i="1"/>
  <c r="G332" i="1"/>
  <c r="G321" i="1"/>
  <c r="G316" i="1"/>
  <c r="G305" i="1"/>
  <c r="G300" i="1"/>
  <c r="G289" i="1"/>
  <c r="G284" i="1"/>
  <c r="G273" i="1"/>
  <c r="G268" i="1"/>
  <c r="G257" i="1"/>
  <c r="G252" i="1"/>
  <c r="G241" i="1"/>
  <c r="G236" i="1"/>
  <c r="G225" i="1"/>
  <c r="G220" i="1"/>
  <c r="G209" i="1"/>
  <c r="G204" i="1"/>
  <c r="G193" i="1"/>
  <c r="G188" i="1"/>
  <c r="G177" i="1"/>
  <c r="G172" i="1"/>
  <c r="G161" i="1"/>
  <c r="G156" i="1"/>
  <c r="G145" i="1"/>
  <c r="G140" i="1"/>
  <c r="G129" i="1"/>
  <c r="G124" i="1"/>
  <c r="G113" i="1"/>
  <c r="G108" i="1"/>
  <c r="G97" i="1"/>
  <c r="G92" i="1"/>
  <c r="G81" i="1"/>
  <c r="G76" i="1"/>
  <c r="G65" i="1"/>
  <c r="G60" i="1"/>
  <c r="G49" i="1"/>
  <c r="G44" i="1"/>
  <c r="G33" i="1"/>
  <c r="G28" i="1"/>
  <c r="G17" i="1"/>
  <c r="G12" i="1"/>
  <c r="G510" i="1"/>
  <c r="G506" i="1"/>
  <c r="G502" i="1"/>
  <c r="G498" i="1"/>
  <c r="G494" i="1"/>
  <c r="G490" i="1"/>
  <c r="G486" i="1"/>
  <c r="G482" i="1"/>
  <c r="G478" i="1"/>
  <c r="G474" i="1"/>
  <c r="G470" i="1"/>
  <c r="G466" i="1"/>
  <c r="G462" i="1"/>
  <c r="G458" i="1"/>
  <c r="G454" i="1"/>
  <c r="G450" i="1"/>
  <c r="G446" i="1"/>
  <c r="G442" i="1"/>
  <c r="G438" i="1"/>
  <c r="G434" i="1"/>
  <c r="G430" i="1"/>
  <c r="G426" i="1"/>
  <c r="G422" i="1"/>
  <c r="G418" i="1"/>
  <c r="G414" i="1"/>
  <c r="G410" i="1"/>
  <c r="G406" i="1"/>
  <c r="G402" i="1"/>
  <c r="G398" i="1"/>
  <c r="G394" i="1"/>
  <c r="G390" i="1"/>
  <c r="G386" i="1"/>
  <c r="G382" i="1"/>
  <c r="G378" i="1"/>
  <c r="G374" i="1"/>
  <c r="G370" i="1"/>
  <c r="G366" i="1"/>
  <c r="G362" i="1"/>
  <c r="G358" i="1"/>
  <c r="G354" i="1"/>
  <c r="G350" i="1"/>
  <c r="G346" i="1"/>
  <c r="G342" i="1"/>
  <c r="G338" i="1"/>
  <c r="G334" i="1"/>
  <c r="G330" i="1"/>
  <c r="G326" i="1"/>
  <c r="G322" i="1"/>
  <c r="G318" i="1"/>
  <c r="G314" i="1"/>
  <c r="G310" i="1"/>
  <c r="G306" i="1"/>
  <c r="G302" i="1"/>
  <c r="G298" i="1"/>
  <c r="G294" i="1"/>
  <c r="G290" i="1"/>
  <c r="G286" i="1"/>
  <c r="G282" i="1"/>
  <c r="G278" i="1"/>
  <c r="G274" i="1"/>
  <c r="G270" i="1"/>
  <c r="G266" i="1"/>
  <c r="G262" i="1"/>
  <c r="G258" i="1"/>
  <c r="G254" i="1"/>
  <c r="G250" i="1"/>
  <c r="G246" i="1"/>
  <c r="G242" i="1"/>
  <c r="G238" i="1"/>
  <c r="G234" i="1"/>
  <c r="G230" i="1"/>
  <c r="G226" i="1"/>
  <c r="G222" i="1"/>
  <c r="G218" i="1"/>
  <c r="G214" i="1"/>
  <c r="G210" i="1"/>
  <c r="G206" i="1"/>
  <c r="G202" i="1"/>
  <c r="G198" i="1"/>
  <c r="G194" i="1"/>
  <c r="G190" i="1"/>
  <c r="G186" i="1"/>
  <c r="G182" i="1"/>
  <c r="G178" i="1"/>
  <c r="G174" i="1"/>
  <c r="G170" i="1"/>
  <c r="G166" i="1"/>
  <c r="G162" i="1"/>
  <c r="G158" i="1"/>
  <c r="G154" i="1"/>
  <c r="G150" i="1"/>
  <c r="G146" i="1"/>
  <c r="G142" i="1"/>
  <c r="G138" i="1"/>
  <c r="G134" i="1"/>
  <c r="G130" i="1"/>
  <c r="G126" i="1"/>
  <c r="G122" i="1"/>
  <c r="G118" i="1"/>
  <c r="G114" i="1"/>
  <c r="G110" i="1"/>
  <c r="G106" i="1"/>
  <c r="G102" i="1"/>
  <c r="G98" i="1"/>
  <c r="G94" i="1"/>
  <c r="G90" i="1"/>
  <c r="G86" i="1"/>
  <c r="G82" i="1"/>
  <c r="G78" i="1"/>
  <c r="G74" i="1"/>
  <c r="G70" i="1"/>
  <c r="G66" i="1"/>
  <c r="G62" i="1"/>
  <c r="G58" i="1"/>
  <c r="G54" i="1"/>
  <c r="G50" i="1"/>
  <c r="G46" i="1"/>
  <c r="G42" i="1"/>
  <c r="G38" i="1"/>
  <c r="G34" i="1"/>
  <c r="G30" i="1"/>
  <c r="G26" i="1"/>
  <c r="G22" i="1"/>
  <c r="G18" i="1"/>
  <c r="G14" i="1"/>
  <c r="G10" i="1"/>
  <c r="G6" i="1"/>
  <c r="G5" i="1"/>
  <c r="G4" i="1"/>
  <c r="G419" i="1"/>
  <c r="G415" i="1"/>
  <c r="G411" i="1"/>
  <c r="G407" i="1"/>
  <c r="G403" i="1"/>
  <c r="G399" i="1"/>
  <c r="G395" i="1"/>
  <c r="G391" i="1"/>
  <c r="G387" i="1"/>
  <c r="G383" i="1"/>
  <c r="G379" i="1"/>
  <c r="G375" i="1"/>
  <c r="G371" i="1"/>
  <c r="G367" i="1"/>
  <c r="G363" i="1"/>
  <c r="G359" i="1"/>
  <c r="G355" i="1"/>
  <c r="G351" i="1"/>
  <c r="G347" i="1"/>
  <c r="G343" i="1"/>
  <c r="G339" i="1"/>
  <c r="G335" i="1"/>
  <c r="G331" i="1"/>
  <c r="G327" i="1"/>
  <c r="G323" i="1"/>
  <c r="G319" i="1"/>
  <c r="G315" i="1"/>
  <c r="G311" i="1"/>
  <c r="G307" i="1"/>
  <c r="G303" i="1"/>
  <c r="G299" i="1"/>
  <c r="G295" i="1"/>
  <c r="G291" i="1"/>
  <c r="G287" i="1"/>
  <c r="G283" i="1"/>
  <c r="G279" i="1"/>
  <c r="G275" i="1"/>
  <c r="G271" i="1"/>
  <c r="G267" i="1"/>
  <c r="G263" i="1"/>
  <c r="G259" i="1"/>
  <c r="G255" i="1"/>
  <c r="G251" i="1"/>
  <c r="G247" i="1"/>
  <c r="G243" i="1"/>
  <c r="G239" i="1"/>
  <c r="G235" i="1"/>
  <c r="G231" i="1"/>
  <c r="G227" i="1"/>
  <c r="G223" i="1"/>
  <c r="G219" i="1"/>
  <c r="G215" i="1"/>
  <c r="G211" i="1"/>
  <c r="G207" i="1"/>
  <c r="G203" i="1"/>
  <c r="G199" i="1"/>
  <c r="G195" i="1"/>
  <c r="G191" i="1"/>
  <c r="G187" i="1"/>
  <c r="G183" i="1"/>
  <c r="G179" i="1"/>
  <c r="G175" i="1"/>
  <c r="G171" i="1"/>
  <c r="G167" i="1"/>
  <c r="G163" i="1"/>
  <c r="G159" i="1"/>
  <c r="G155" i="1"/>
  <c r="G151" i="1"/>
  <c r="G147" i="1"/>
  <c r="G143" i="1"/>
  <c r="G139" i="1"/>
  <c r="G135" i="1"/>
  <c r="G131" i="1"/>
  <c r="G127" i="1"/>
  <c r="G123" i="1"/>
  <c r="G119" i="1"/>
  <c r="G115" i="1"/>
  <c r="G111" i="1"/>
  <c r="G107" i="1"/>
  <c r="G103" i="1"/>
  <c r="G99" i="1"/>
  <c r="G95" i="1"/>
  <c r="G91" i="1"/>
  <c r="G87" i="1"/>
  <c r="G83" i="1"/>
  <c r="G79" i="1"/>
  <c r="G75" i="1"/>
  <c r="G71" i="1"/>
  <c r="G67" i="1"/>
  <c r="G63" i="1"/>
  <c r="G59" i="1"/>
  <c r="G55" i="1"/>
  <c r="G51" i="1"/>
  <c r="G47" i="1"/>
  <c r="G43" i="1"/>
  <c r="G39" i="1"/>
  <c r="G35" i="1"/>
  <c r="G31" i="1"/>
  <c r="G27" i="1"/>
  <c r="G23" i="1"/>
  <c r="G19" i="1"/>
  <c r="G15" i="1"/>
  <c r="G11" i="1"/>
  <c r="G7" i="1"/>
  <c r="G3" i="1"/>
  <c r="G2" i="1"/>
  <c r="E862" i="1"/>
  <c r="E848" i="1"/>
  <c r="E839" i="1"/>
  <c r="E830" i="1"/>
  <c r="E798" i="1"/>
  <c r="E789" i="1"/>
  <c r="E775" i="1"/>
  <c r="E766" i="1"/>
  <c r="E757" i="1"/>
  <c r="E752" i="1"/>
  <c r="E734" i="1"/>
  <c r="E725" i="1"/>
  <c r="E720" i="1"/>
  <c r="E711" i="1"/>
  <c r="E691" i="1"/>
  <c r="E686" i="1"/>
  <c r="E670" i="1"/>
  <c r="E664" i="1"/>
  <c r="E659" i="1"/>
  <c r="E654" i="1"/>
  <c r="E648" i="1"/>
  <c r="E632" i="1"/>
  <c r="E611" i="1"/>
  <c r="E606" i="1"/>
  <c r="E595" i="1"/>
  <c r="E590" i="1"/>
  <c r="E584" i="1"/>
  <c r="E574" i="1"/>
  <c r="E568" i="1"/>
  <c r="E547" i="1"/>
  <c r="E540" i="1"/>
  <c r="E866" i="1"/>
  <c r="E857" i="1"/>
  <c r="E852" i="1"/>
  <c r="E843" i="1"/>
  <c r="E825" i="1"/>
  <c r="E820" i="1"/>
  <c r="E811" i="1"/>
  <c r="E793" i="1"/>
  <c r="E788" i="1"/>
  <c r="E770" i="1"/>
  <c r="E761" i="1"/>
  <c r="E729" i="1"/>
  <c r="E724" i="1"/>
  <c r="E715" i="1"/>
  <c r="E706" i="1"/>
  <c r="E701" i="1"/>
  <c r="E669" i="1"/>
  <c r="E653" i="1"/>
  <c r="E637" i="1"/>
  <c r="E621" i="1"/>
  <c r="E605" i="1"/>
  <c r="E535" i="1"/>
  <c r="E478" i="1"/>
  <c r="E861" i="1"/>
  <c r="E847" i="1"/>
  <c r="E829" i="1"/>
  <c r="E824" i="1"/>
  <c r="E806" i="1"/>
  <c r="E797" i="1"/>
  <c r="E792" i="1"/>
  <c r="E774" i="1"/>
  <c r="E765" i="1"/>
  <c r="E742" i="1"/>
  <c r="E733" i="1"/>
  <c r="E719" i="1"/>
  <c r="E710" i="1"/>
  <c r="E700" i="1"/>
  <c r="E695" i="1"/>
  <c r="E690" i="1"/>
  <c r="E679" i="1"/>
  <c r="E674" i="1"/>
  <c r="E668" i="1"/>
  <c r="E663" i="1"/>
  <c r="E652" i="1"/>
  <c r="E647" i="1"/>
  <c r="E642" i="1"/>
  <c r="E636" i="1"/>
  <c r="E631" i="1"/>
  <c r="E594" i="1"/>
  <c r="E588" i="1"/>
  <c r="E583" i="1"/>
  <c r="E578" i="1"/>
  <c r="E572" i="1"/>
  <c r="E567" i="1"/>
  <c r="E552" i="1"/>
  <c r="E539" i="1"/>
  <c r="E477" i="1"/>
  <c r="E865" i="1"/>
  <c r="E860" i="1"/>
  <c r="E851" i="1"/>
  <c r="E842" i="1"/>
  <c r="E819" i="1"/>
  <c r="E810" i="1"/>
  <c r="E796" i="1"/>
  <c r="E787" i="1"/>
  <c r="E764" i="1"/>
  <c r="E755" i="1"/>
  <c r="E737" i="1"/>
  <c r="E723" i="1"/>
  <c r="E714" i="1"/>
  <c r="E705" i="1"/>
  <c r="E689" i="1"/>
  <c r="E673" i="1"/>
  <c r="E657" i="1"/>
  <c r="E641" i="1"/>
  <c r="E625" i="1"/>
  <c r="E609" i="1"/>
  <c r="E593" i="1"/>
  <c r="E487" i="1"/>
  <c r="E846" i="1"/>
  <c r="E837" i="1"/>
  <c r="E832" i="1"/>
  <c r="E791" i="1"/>
  <c r="E773" i="1"/>
  <c r="E768" i="1"/>
  <c r="E759" i="1"/>
  <c r="E750" i="1"/>
  <c r="E741" i="1"/>
  <c r="E727" i="1"/>
  <c r="E718" i="1"/>
  <c r="E704" i="1"/>
  <c r="E688" i="1"/>
  <c r="E672" i="1"/>
  <c r="E667" i="1"/>
  <c r="E662" i="1"/>
  <c r="E656" i="1"/>
  <c r="E646" i="1"/>
  <c r="E635" i="1"/>
  <c r="E630" i="1"/>
  <c r="E624" i="1"/>
  <c r="E608" i="1"/>
  <c r="E603" i="1"/>
  <c r="E598" i="1"/>
  <c r="E592" i="1"/>
  <c r="E587" i="1"/>
  <c r="E576" i="1"/>
  <c r="E571" i="1"/>
  <c r="E564" i="1"/>
  <c r="E559" i="1"/>
  <c r="E551" i="1"/>
  <c r="E544" i="1"/>
  <c r="E486" i="1"/>
  <c r="E859" i="1"/>
  <c r="E836" i="1"/>
  <c r="E827" i="1"/>
  <c r="E809" i="1"/>
  <c r="E795" i="1"/>
  <c r="E786" i="1"/>
  <c r="E777" i="1"/>
  <c r="E772" i="1"/>
  <c r="E763" i="1"/>
  <c r="E745" i="1"/>
  <c r="E740" i="1"/>
  <c r="E731" i="1"/>
  <c r="E722" i="1"/>
  <c r="E713" i="1"/>
  <c r="E693" i="1"/>
  <c r="E645" i="1"/>
  <c r="E629" i="1"/>
  <c r="E613" i="1"/>
  <c r="E597" i="1"/>
  <c r="E581" i="1"/>
  <c r="E515" i="1"/>
  <c r="E468" i="1"/>
  <c r="E863" i="1"/>
  <c r="E854" i="1"/>
  <c r="E845" i="1"/>
  <c r="E840" i="1"/>
  <c r="E831" i="1"/>
  <c r="E822" i="1"/>
  <c r="E808" i="1"/>
  <c r="E799" i="1"/>
  <c r="E790" i="1"/>
  <c r="E776" i="1"/>
  <c r="E767" i="1"/>
  <c r="E758" i="1"/>
  <c r="E749" i="1"/>
  <c r="E744" i="1"/>
  <c r="E735" i="1"/>
  <c r="E726" i="1"/>
  <c r="E717" i="1"/>
  <c r="E712" i="1"/>
  <c r="E703" i="1"/>
  <c r="E692" i="1"/>
  <c r="E687" i="1"/>
  <c r="E682" i="1"/>
  <c r="E671" i="1"/>
  <c r="E666" i="1"/>
  <c r="E660" i="1"/>
  <c r="E655" i="1"/>
  <c r="E650" i="1"/>
  <c r="E644" i="1"/>
  <c r="E634" i="1"/>
  <c r="E628" i="1"/>
  <c r="E618" i="1"/>
  <c r="E612" i="1"/>
  <c r="E607" i="1"/>
  <c r="E602" i="1"/>
  <c r="E596" i="1"/>
  <c r="E586" i="1"/>
  <c r="E575" i="1"/>
  <c r="E570" i="1"/>
  <c r="E563" i="1"/>
  <c r="E556" i="1"/>
  <c r="E548" i="1"/>
  <c r="E543" i="1"/>
  <c r="E523" i="1"/>
  <c r="E867" i="1"/>
  <c r="E858" i="1"/>
  <c r="E849" i="1"/>
  <c r="E844" i="1"/>
  <c r="E826" i="1"/>
  <c r="E812" i="1"/>
  <c r="E803" i="1"/>
  <c r="E794" i="1"/>
  <c r="E785" i="1"/>
  <c r="E771" i="1"/>
  <c r="E762" i="1"/>
  <c r="E748" i="1"/>
  <c r="E739" i="1"/>
  <c r="E721" i="1"/>
  <c r="E697" i="1"/>
  <c r="E665" i="1"/>
  <c r="E633" i="1"/>
  <c r="E617" i="1"/>
  <c r="E601" i="1"/>
  <c r="E585" i="1"/>
  <c r="E569" i="1"/>
  <c r="E536" i="1"/>
  <c r="E528" i="1"/>
  <c r="E511" i="1"/>
  <c r="E507" i="1"/>
  <c r="E503" i="1"/>
  <c r="E499" i="1"/>
  <c r="E495" i="1"/>
  <c r="E491" i="1"/>
  <c r="E482" i="1"/>
  <c r="E473" i="1"/>
  <c r="E459" i="1"/>
  <c r="E450" i="1"/>
  <c r="E441" i="1"/>
  <c r="E432" i="1"/>
  <c r="E427" i="1"/>
  <c r="E418" i="1"/>
  <c r="E409" i="1"/>
  <c r="E400" i="1"/>
  <c r="E386" i="1"/>
  <c r="E368" i="1"/>
  <c r="E363" i="1"/>
  <c r="E354" i="1"/>
  <c r="E345" i="1"/>
  <c r="E335" i="1"/>
  <c r="E325" i="1"/>
  <c r="E320" i="1"/>
  <c r="E305" i="1"/>
  <c r="E300" i="1"/>
  <c r="E285" i="1"/>
  <c r="E269" i="1"/>
  <c r="E255" i="1"/>
  <c r="E237" i="1"/>
  <c r="E227" i="1"/>
  <c r="E99" i="1"/>
  <c r="E454" i="1"/>
  <c r="E445" i="1"/>
  <c r="E436" i="1"/>
  <c r="E431" i="1"/>
  <c r="E422" i="1"/>
  <c r="E399" i="1"/>
  <c r="E390" i="1"/>
  <c r="E381" i="1"/>
  <c r="E372" i="1"/>
  <c r="E367" i="1"/>
  <c r="E358" i="1"/>
  <c r="E349" i="1"/>
  <c r="E340" i="1"/>
  <c r="E334" i="1"/>
  <c r="E319" i="1"/>
  <c r="E314" i="1"/>
  <c r="E309" i="1"/>
  <c r="E294" i="1"/>
  <c r="E284" i="1"/>
  <c r="E224" i="1"/>
  <c r="E168" i="1"/>
  <c r="E155" i="1"/>
  <c r="E123" i="1"/>
  <c r="E566" i="1"/>
  <c r="E562" i="1"/>
  <c r="E558" i="1"/>
  <c r="E554" i="1"/>
  <c r="E550" i="1"/>
  <c r="E546" i="1"/>
  <c r="E542" i="1"/>
  <c r="E534" i="1"/>
  <c r="E530" i="1"/>
  <c r="E522" i="1"/>
  <c r="E514" i="1"/>
  <c r="E506" i="1"/>
  <c r="E498" i="1"/>
  <c r="E494" i="1"/>
  <c r="E481" i="1"/>
  <c r="E472" i="1"/>
  <c r="E467" i="1"/>
  <c r="E458" i="1"/>
  <c r="E449" i="1"/>
  <c r="E435" i="1"/>
  <c r="E403" i="1"/>
  <c r="E385" i="1"/>
  <c r="E371" i="1"/>
  <c r="E362" i="1"/>
  <c r="E344" i="1"/>
  <c r="E293" i="1"/>
  <c r="E246" i="1"/>
  <c r="E195" i="1"/>
  <c r="E154" i="1"/>
  <c r="E122" i="1"/>
  <c r="E485" i="1"/>
  <c r="E476" i="1"/>
  <c r="E471" i="1"/>
  <c r="E462" i="1"/>
  <c r="E453" i="1"/>
  <c r="E444" i="1"/>
  <c r="E430" i="1"/>
  <c r="E421" i="1"/>
  <c r="E412" i="1"/>
  <c r="E407" i="1"/>
  <c r="E398" i="1"/>
  <c r="E389" i="1"/>
  <c r="E380" i="1"/>
  <c r="E366" i="1"/>
  <c r="E357" i="1"/>
  <c r="E343" i="1"/>
  <c r="E338" i="1"/>
  <c r="E333" i="1"/>
  <c r="E323" i="1"/>
  <c r="E318" i="1"/>
  <c r="E313" i="1"/>
  <c r="E308" i="1"/>
  <c r="E303" i="1"/>
  <c r="E288" i="1"/>
  <c r="E259" i="1"/>
  <c r="E233" i="1"/>
  <c r="E210" i="1"/>
  <c r="E565" i="1"/>
  <c r="E557" i="1"/>
  <c r="E553" i="1"/>
  <c r="E549" i="1"/>
  <c r="E541" i="1"/>
  <c r="E533" i="1"/>
  <c r="E529" i="1"/>
  <c r="E525" i="1"/>
  <c r="E521" i="1"/>
  <c r="E517" i="1"/>
  <c r="E513" i="1"/>
  <c r="E501" i="1"/>
  <c r="E497" i="1"/>
  <c r="E493" i="1"/>
  <c r="E489" i="1"/>
  <c r="E480" i="1"/>
  <c r="E475" i="1"/>
  <c r="E466" i="1"/>
  <c r="E457" i="1"/>
  <c r="E448" i="1"/>
  <c r="E434" i="1"/>
  <c r="E425" i="1"/>
  <c r="E411" i="1"/>
  <c r="E393" i="1"/>
  <c r="E384" i="1"/>
  <c r="E379" i="1"/>
  <c r="E370" i="1"/>
  <c r="E352" i="1"/>
  <c r="E347" i="1"/>
  <c r="E328" i="1"/>
  <c r="E297" i="1"/>
  <c r="E292" i="1"/>
  <c r="E282" i="1"/>
  <c r="E242" i="1"/>
  <c r="E192" i="1"/>
  <c r="E136" i="1"/>
  <c r="E479" i="1"/>
  <c r="E470" i="1"/>
  <c r="E447" i="1"/>
  <c r="E438" i="1"/>
  <c r="E429" i="1"/>
  <c r="E420" i="1"/>
  <c r="E406" i="1"/>
  <c r="E388" i="1"/>
  <c r="E383" i="1"/>
  <c r="E356" i="1"/>
  <c r="E351" i="1"/>
  <c r="E337" i="1"/>
  <c r="E332" i="1"/>
  <c r="E327" i="1"/>
  <c r="E322" i="1"/>
  <c r="E311" i="1"/>
  <c r="E291" i="1"/>
  <c r="E265" i="1"/>
  <c r="E232" i="1"/>
  <c r="E218" i="1"/>
  <c r="E146" i="1"/>
  <c r="E520" i="1"/>
  <c r="E516" i="1"/>
  <c r="E512" i="1"/>
  <c r="E508" i="1"/>
  <c r="E504" i="1"/>
  <c r="E500" i="1"/>
  <c r="E496" i="1"/>
  <c r="E488" i="1"/>
  <c r="E474" i="1"/>
  <c r="E465" i="1"/>
  <c r="E456" i="1"/>
  <c r="E451" i="1"/>
  <c r="E442" i="1"/>
  <c r="E424" i="1"/>
  <c r="E410" i="1"/>
  <c r="E401" i="1"/>
  <c r="E392" i="1"/>
  <c r="E387" i="1"/>
  <c r="E369" i="1"/>
  <c r="E360" i="1"/>
  <c r="E346" i="1"/>
  <c r="E331" i="1"/>
  <c r="E301" i="1"/>
  <c r="E296" i="1"/>
  <c r="E286" i="1"/>
  <c r="E270" i="1"/>
  <c r="E241" i="1"/>
  <c r="E201" i="1"/>
  <c r="E187" i="1"/>
  <c r="E163" i="1"/>
  <c r="E145" i="1"/>
  <c r="E469" i="1"/>
  <c r="E460" i="1"/>
  <c r="E455" i="1"/>
  <c r="E446" i="1"/>
  <c r="E437" i="1"/>
  <c r="E428" i="1"/>
  <c r="E423" i="1"/>
  <c r="E405" i="1"/>
  <c r="E391" i="1"/>
  <c r="E382" i="1"/>
  <c r="E373" i="1"/>
  <c r="E364" i="1"/>
  <c r="E359" i="1"/>
  <c r="E350" i="1"/>
  <c r="E341" i="1"/>
  <c r="E336" i="1"/>
  <c r="E326" i="1"/>
  <c r="E315" i="1"/>
  <c r="E310" i="1"/>
  <c r="E295" i="1"/>
  <c r="E290" i="1"/>
  <c r="E276" i="1"/>
  <c r="E264" i="1"/>
  <c r="E256" i="1"/>
  <c r="E228" i="1"/>
  <c r="E200" i="1"/>
  <c r="E186" i="1"/>
  <c r="E160" i="1"/>
  <c r="E128" i="1"/>
  <c r="E114" i="1"/>
  <c r="E223" i="1"/>
  <c r="E214" i="1"/>
  <c r="E196" i="1"/>
  <c r="E191" i="1"/>
  <c r="E182" i="1"/>
  <c r="E164" i="1"/>
  <c r="E159" i="1"/>
  <c r="E150" i="1"/>
  <c r="E141" i="1"/>
  <c r="E132" i="1"/>
  <c r="E127" i="1"/>
  <c r="E118" i="1"/>
  <c r="E109" i="1"/>
  <c r="E100" i="1"/>
  <c r="E95" i="1"/>
  <c r="E86" i="1"/>
  <c r="E68" i="1"/>
  <c r="E45" i="1"/>
  <c r="E31" i="1"/>
  <c r="E11" i="1"/>
  <c r="E90" i="1"/>
  <c r="E67" i="1"/>
  <c r="E58" i="1"/>
  <c r="E49" i="1"/>
  <c r="E40" i="1"/>
  <c r="E35" i="1"/>
  <c r="E26" i="1"/>
  <c r="E21" i="1"/>
  <c r="E16" i="1"/>
  <c r="E10" i="1"/>
  <c r="E268" i="1"/>
  <c r="E263" i="1"/>
  <c r="E254" i="1"/>
  <c r="E245" i="1"/>
  <c r="E236" i="1"/>
  <c r="E231" i="1"/>
  <c r="E222" i="1"/>
  <c r="E199" i="1"/>
  <c r="E190" i="1"/>
  <c r="E158" i="1"/>
  <c r="E149" i="1"/>
  <c r="E140" i="1"/>
  <c r="E135" i="1"/>
  <c r="E126" i="1"/>
  <c r="E108" i="1"/>
  <c r="E103" i="1"/>
  <c r="E94" i="1"/>
  <c r="E85" i="1"/>
  <c r="E76" i="1"/>
  <c r="E71" i="1"/>
  <c r="E62" i="1"/>
  <c r="E44" i="1"/>
  <c r="E39" i="1"/>
  <c r="E15" i="1"/>
  <c r="E272" i="1"/>
  <c r="E267" i="1"/>
  <c r="E258" i="1"/>
  <c r="E240" i="1"/>
  <c r="E235" i="1"/>
  <c r="E226" i="1"/>
  <c r="E217" i="1"/>
  <c r="E194" i="1"/>
  <c r="E176" i="1"/>
  <c r="E171" i="1"/>
  <c r="E162" i="1"/>
  <c r="E153" i="1"/>
  <c r="E139" i="1"/>
  <c r="E130" i="1"/>
  <c r="E121" i="1"/>
  <c r="E107" i="1"/>
  <c r="E98" i="1"/>
  <c r="E89" i="1"/>
  <c r="E80" i="1"/>
  <c r="E75" i="1"/>
  <c r="E66" i="1"/>
  <c r="E57" i="1"/>
  <c r="E48" i="1"/>
  <c r="E43" i="1"/>
  <c r="E34" i="1"/>
  <c r="E25" i="1"/>
  <c r="E14" i="1"/>
  <c r="E271" i="1"/>
  <c r="E262" i="1"/>
  <c r="E253" i="1"/>
  <c r="E244" i="1"/>
  <c r="E239" i="1"/>
  <c r="E230" i="1"/>
  <c r="E221" i="1"/>
  <c r="E198" i="1"/>
  <c r="E189" i="1"/>
  <c r="E157" i="1"/>
  <c r="E148" i="1"/>
  <c r="E143" i="1"/>
  <c r="E134" i="1"/>
  <c r="E125" i="1"/>
  <c r="E116" i="1"/>
  <c r="E111" i="1"/>
  <c r="E102" i="1"/>
  <c r="E93" i="1"/>
  <c r="E84" i="1"/>
  <c r="E79" i="1"/>
  <c r="E61" i="1"/>
  <c r="E52" i="1"/>
  <c r="E47" i="1"/>
  <c r="E29" i="1"/>
  <c r="E19" i="1"/>
  <c r="E339" i="1"/>
  <c r="E321" i="1"/>
  <c r="E312" i="1"/>
  <c r="E298" i="1"/>
  <c r="E248" i="1"/>
  <c r="E243" i="1"/>
  <c r="E225" i="1"/>
  <c r="E216" i="1"/>
  <c r="E211" i="1"/>
  <c r="E184" i="1"/>
  <c r="E170" i="1"/>
  <c r="E161" i="1"/>
  <c r="E152" i="1"/>
  <c r="E147" i="1"/>
  <c r="E138" i="1"/>
  <c r="E129" i="1"/>
  <c r="E120" i="1"/>
  <c r="E106" i="1"/>
  <c r="E97" i="1"/>
  <c r="E74" i="1"/>
  <c r="E65" i="1"/>
  <c r="E56" i="1"/>
  <c r="E51" i="1"/>
  <c r="E42" i="1"/>
  <c r="E33" i="1"/>
  <c r="E18" i="1"/>
  <c r="E13" i="1"/>
  <c r="E238" i="1"/>
  <c r="E229" i="1"/>
  <c r="E215" i="1"/>
  <c r="E206" i="1"/>
  <c r="E188" i="1"/>
  <c r="E183" i="1"/>
  <c r="E165" i="1"/>
  <c r="E156" i="1"/>
  <c r="E151" i="1"/>
  <c r="E142" i="1"/>
  <c r="E133" i="1"/>
  <c r="E124" i="1"/>
  <c r="E119" i="1"/>
  <c r="E110" i="1"/>
  <c r="E92" i="1"/>
  <c r="E87" i="1"/>
  <c r="E78" i="1"/>
  <c r="E69" i="1"/>
  <c r="E55" i="1"/>
  <c r="E46" i="1"/>
  <c r="E37" i="1"/>
  <c r="E28" i="1"/>
  <c r="E96" i="1"/>
  <c r="E91" i="1"/>
  <c r="E73" i="1"/>
  <c r="E64" i="1"/>
  <c r="E59" i="1"/>
  <c r="E50" i="1"/>
  <c r="E41" i="1"/>
  <c r="E32" i="1"/>
  <c r="E27" i="1"/>
  <c r="E22" i="1"/>
  <c r="E17" i="1"/>
  <c r="E12" i="1"/>
  <c r="E5" i="1"/>
  <c r="E4" i="1"/>
  <c r="E3" i="1"/>
  <c r="E2" i="1"/>
  <c r="H859" i="3"/>
  <c r="H826" i="3"/>
  <c r="H789" i="3"/>
  <c r="H583" i="3"/>
  <c r="H482" i="3"/>
  <c r="H846" i="3"/>
  <c r="H832" i="3"/>
  <c r="H809" i="3"/>
  <c r="H791" i="3"/>
  <c r="H777" i="3"/>
  <c r="H772" i="3"/>
  <c r="H752" i="3"/>
  <c r="H722" i="3"/>
  <c r="H715" i="3"/>
  <c r="H703" i="3"/>
  <c r="H668" i="3"/>
  <c r="H595" i="3"/>
  <c r="H587" i="3"/>
  <c r="H563" i="3"/>
  <c r="H512" i="3"/>
  <c r="H504" i="3"/>
  <c r="H495" i="3"/>
  <c r="H427" i="3"/>
  <c r="H410" i="3"/>
  <c r="H390" i="3"/>
  <c r="H362" i="3"/>
  <c r="H325" i="3"/>
  <c r="H215" i="3"/>
  <c r="H191" i="3"/>
  <c r="H836" i="3"/>
  <c r="H827" i="3"/>
  <c r="H795" i="3"/>
  <c r="H786" i="3"/>
  <c r="H767" i="3"/>
  <c r="H762" i="3"/>
  <c r="H740" i="3"/>
  <c r="H734" i="3"/>
  <c r="H727" i="3"/>
  <c r="H690" i="3"/>
  <c r="H667" i="3"/>
  <c r="H660" i="3"/>
  <c r="H652" i="3"/>
  <c r="H644" i="3"/>
  <c r="H636" i="3"/>
  <c r="H612" i="3"/>
  <c r="H572" i="3"/>
  <c r="H470" i="3"/>
  <c r="H458" i="3"/>
  <c r="H387" i="3"/>
  <c r="H346" i="3"/>
  <c r="H17" i="3"/>
  <c r="H863" i="3"/>
  <c r="H854" i="3"/>
  <c r="H849" i="3"/>
  <c r="H840" i="3"/>
  <c r="H831" i="3"/>
  <c r="H822" i="3"/>
  <c r="H808" i="3"/>
  <c r="H799" i="3"/>
  <c r="H790" i="3"/>
  <c r="H785" i="3"/>
  <c r="H776" i="3"/>
  <c r="H771" i="3"/>
  <c r="H739" i="3"/>
  <c r="H720" i="3"/>
  <c r="H714" i="3"/>
  <c r="H695" i="3"/>
  <c r="H679" i="3"/>
  <c r="H659" i="3"/>
  <c r="H635" i="3"/>
  <c r="H611" i="3"/>
  <c r="H603" i="3"/>
  <c r="H592" i="3"/>
  <c r="H584" i="3"/>
  <c r="H571" i="3"/>
  <c r="H552" i="3"/>
  <c r="H544" i="3"/>
  <c r="H468" i="3"/>
  <c r="H456" i="3"/>
  <c r="H323" i="3"/>
  <c r="H236" i="3"/>
  <c r="H69" i="3"/>
  <c r="H794" i="3"/>
  <c r="H755" i="3"/>
  <c r="H726" i="3"/>
  <c r="H543" i="3"/>
  <c r="H407" i="3"/>
  <c r="H379" i="3"/>
  <c r="H165" i="3"/>
  <c r="H862" i="3"/>
  <c r="H857" i="3"/>
  <c r="H848" i="3"/>
  <c r="H839" i="3"/>
  <c r="H830" i="3"/>
  <c r="H825" i="3"/>
  <c r="H798" i="3"/>
  <c r="H793" i="3"/>
  <c r="H775" i="3"/>
  <c r="H770" i="3"/>
  <c r="H750" i="3"/>
  <c r="H744" i="3"/>
  <c r="H731" i="3"/>
  <c r="H712" i="3"/>
  <c r="H700" i="3"/>
  <c r="H687" i="3"/>
  <c r="H672" i="3"/>
  <c r="H664" i="3"/>
  <c r="H632" i="3"/>
  <c r="H624" i="3"/>
  <c r="H576" i="3"/>
  <c r="H568" i="3"/>
  <c r="H536" i="3"/>
  <c r="H451" i="3"/>
  <c r="H354" i="3"/>
  <c r="H334" i="3"/>
  <c r="H224" i="3"/>
  <c r="H844" i="3"/>
  <c r="H812" i="3"/>
  <c r="H551" i="3"/>
  <c r="H371" i="3"/>
  <c r="H866" i="3"/>
  <c r="H861" i="3"/>
  <c r="H852" i="3"/>
  <c r="H843" i="3"/>
  <c r="H829" i="3"/>
  <c r="H820" i="3"/>
  <c r="H811" i="3"/>
  <c r="H797" i="3"/>
  <c r="H788" i="3"/>
  <c r="H764" i="3"/>
  <c r="H759" i="3"/>
  <c r="H724" i="3"/>
  <c r="H718" i="3"/>
  <c r="H711" i="3"/>
  <c r="H706" i="3"/>
  <c r="H682" i="3"/>
  <c r="H671" i="3"/>
  <c r="H663" i="3"/>
  <c r="H631" i="3"/>
  <c r="H575" i="3"/>
  <c r="H567" i="3"/>
  <c r="H559" i="3"/>
  <c r="H548" i="3"/>
  <c r="H540" i="3"/>
  <c r="H535" i="3"/>
  <c r="H508" i="3"/>
  <c r="H462" i="3"/>
  <c r="H450" i="3"/>
  <c r="H420" i="3"/>
  <c r="H403" i="3"/>
  <c r="H300" i="3"/>
  <c r="H845" i="3"/>
  <c r="H858" i="3"/>
  <c r="H766" i="3"/>
  <c r="H719" i="3"/>
  <c r="H255" i="3"/>
  <c r="H865" i="3"/>
  <c r="H847" i="3"/>
  <c r="H824" i="3"/>
  <c r="H806" i="3"/>
  <c r="H792" i="3"/>
  <c r="H774" i="3"/>
  <c r="H748" i="3"/>
  <c r="H723" i="3"/>
  <c r="H692" i="3"/>
  <c r="H686" i="3"/>
  <c r="H656" i="3"/>
  <c r="H648" i="3"/>
  <c r="H608" i="3"/>
  <c r="H547" i="3"/>
  <c r="H539" i="3"/>
  <c r="H523" i="3"/>
  <c r="H514" i="3"/>
  <c r="H487" i="3"/>
  <c r="H476" i="3"/>
  <c r="H446" i="3"/>
  <c r="H867" i="3"/>
  <c r="H803" i="3"/>
  <c r="H688" i="3"/>
  <c r="H860" i="3"/>
  <c r="H851" i="3"/>
  <c r="H842" i="3"/>
  <c r="H837" i="3"/>
  <c r="H819" i="3"/>
  <c r="H810" i="3"/>
  <c r="H796" i="3"/>
  <c r="H787" i="3"/>
  <c r="H768" i="3"/>
  <c r="H763" i="3"/>
  <c r="H758" i="3"/>
  <c r="H742" i="3"/>
  <c r="H735" i="3"/>
  <c r="H710" i="3"/>
  <c r="H704" i="3"/>
  <c r="H691" i="3"/>
  <c r="H655" i="3"/>
  <c r="H647" i="3"/>
  <c r="H628" i="3"/>
  <c r="H607" i="3"/>
  <c r="H596" i="3"/>
  <c r="H588" i="3"/>
  <c r="H564" i="3"/>
  <c r="H556" i="3"/>
  <c r="H496" i="3"/>
  <c r="H486" i="3"/>
  <c r="H431" i="3"/>
  <c r="H363" i="3"/>
  <c r="H351" i="3"/>
  <c r="H264" i="3"/>
  <c r="H333" i="3"/>
  <c r="H288" i="3"/>
  <c r="H246" i="3"/>
  <c r="H223" i="3"/>
  <c r="H214" i="3"/>
  <c r="H200" i="3"/>
  <c r="H160" i="3"/>
  <c r="H133" i="3"/>
  <c r="H64" i="3"/>
  <c r="H10" i="3"/>
  <c r="H522" i="3"/>
  <c r="H500" i="3"/>
  <c r="H491" i="3"/>
  <c r="H475" i="3"/>
  <c r="H444" i="3"/>
  <c r="H438" i="3"/>
  <c r="H432" i="3"/>
  <c r="H370" i="3"/>
  <c r="H343" i="3"/>
  <c r="H332" i="3"/>
  <c r="H96" i="3"/>
  <c r="H46" i="3"/>
  <c r="H296" i="3"/>
  <c r="H270" i="3"/>
  <c r="H232" i="3"/>
  <c r="H206" i="3"/>
  <c r="H151" i="3"/>
  <c r="H128" i="3"/>
  <c r="H78" i="3"/>
  <c r="H530" i="3"/>
  <c r="H516" i="3"/>
  <c r="H499" i="3"/>
  <c r="H480" i="3"/>
  <c r="H474" i="3"/>
  <c r="H467" i="3"/>
  <c r="H455" i="3"/>
  <c r="H436" i="3"/>
  <c r="H424" i="3"/>
  <c r="H418" i="3"/>
  <c r="H400" i="3"/>
  <c r="H386" i="3"/>
  <c r="H367" i="3"/>
  <c r="H359" i="3"/>
  <c r="H350" i="3"/>
  <c r="H320" i="3"/>
  <c r="H314" i="3"/>
  <c r="H305" i="3"/>
  <c r="H269" i="3"/>
  <c r="H186" i="3"/>
  <c r="H674" i="3"/>
  <c r="H670" i="3"/>
  <c r="H666" i="3"/>
  <c r="H662" i="3"/>
  <c r="H654" i="3"/>
  <c r="H650" i="3"/>
  <c r="H646" i="3"/>
  <c r="H642" i="3"/>
  <c r="H634" i="3"/>
  <c r="H630" i="3"/>
  <c r="H618" i="3"/>
  <c r="H606" i="3"/>
  <c r="H602" i="3"/>
  <c r="H598" i="3"/>
  <c r="H594" i="3"/>
  <c r="H590" i="3"/>
  <c r="H586" i="3"/>
  <c r="H578" i="3"/>
  <c r="H574" i="3"/>
  <c r="H570" i="3"/>
  <c r="H566" i="3"/>
  <c r="H562" i="3"/>
  <c r="H558" i="3"/>
  <c r="H554" i="3"/>
  <c r="H550" i="3"/>
  <c r="H546" i="3"/>
  <c r="H542" i="3"/>
  <c r="H534" i="3"/>
  <c r="H520" i="3"/>
  <c r="H511" i="3"/>
  <c r="H507" i="3"/>
  <c r="H503" i="3"/>
  <c r="H494" i="3"/>
  <c r="H479" i="3"/>
  <c r="H448" i="3"/>
  <c r="H442" i="3"/>
  <c r="H435" i="3"/>
  <c r="H430" i="3"/>
  <c r="H423" i="3"/>
  <c r="H412" i="3"/>
  <c r="H406" i="3"/>
  <c r="H399" i="3"/>
  <c r="H366" i="3"/>
  <c r="H358" i="3"/>
  <c r="H319" i="3"/>
  <c r="H311" i="3"/>
  <c r="H293" i="3"/>
  <c r="H268" i="3"/>
  <c r="H259" i="3"/>
  <c r="H241" i="3"/>
  <c r="H229" i="3"/>
  <c r="H195" i="3"/>
  <c r="H119" i="3"/>
  <c r="H110" i="3"/>
  <c r="H87" i="3"/>
  <c r="H55" i="3"/>
  <c r="H37" i="3"/>
  <c r="H515" i="3"/>
  <c r="H498" i="3"/>
  <c r="H472" i="3"/>
  <c r="H466" i="3"/>
  <c r="H460" i="3"/>
  <c r="H454" i="3"/>
  <c r="H447" i="3"/>
  <c r="H411" i="3"/>
  <c r="H383" i="3"/>
  <c r="H328" i="3"/>
  <c r="H310" i="3"/>
  <c r="H238" i="3"/>
  <c r="H183" i="3"/>
  <c r="H142" i="3"/>
  <c r="H22" i="3"/>
  <c r="H773" i="3"/>
  <c r="H765" i="3"/>
  <c r="H761" i="3"/>
  <c r="H757" i="3"/>
  <c r="H749" i="3"/>
  <c r="H745" i="3"/>
  <c r="H741" i="3"/>
  <c r="H737" i="3"/>
  <c r="H733" i="3"/>
  <c r="H729" i="3"/>
  <c r="H725" i="3"/>
  <c r="H721" i="3"/>
  <c r="H717" i="3"/>
  <c r="H713" i="3"/>
  <c r="H705" i="3"/>
  <c r="H701" i="3"/>
  <c r="H697" i="3"/>
  <c r="H693" i="3"/>
  <c r="H689" i="3"/>
  <c r="H673" i="3"/>
  <c r="H669" i="3"/>
  <c r="H665" i="3"/>
  <c r="H657" i="3"/>
  <c r="H653" i="3"/>
  <c r="H645" i="3"/>
  <c r="H641" i="3"/>
  <c r="H637" i="3"/>
  <c r="H633" i="3"/>
  <c r="H629" i="3"/>
  <c r="H625" i="3"/>
  <c r="H621" i="3"/>
  <c r="H617" i="3"/>
  <c r="H613" i="3"/>
  <c r="H609" i="3"/>
  <c r="H605" i="3"/>
  <c r="H601" i="3"/>
  <c r="H597" i="3"/>
  <c r="H593" i="3"/>
  <c r="H585" i="3"/>
  <c r="H581" i="3"/>
  <c r="H569" i="3"/>
  <c r="H565" i="3"/>
  <c r="H557" i="3"/>
  <c r="H553" i="3"/>
  <c r="H549" i="3"/>
  <c r="H541" i="3"/>
  <c r="H528" i="3"/>
  <c r="H506" i="3"/>
  <c r="H488" i="3"/>
  <c r="H478" i="3"/>
  <c r="H471" i="3"/>
  <c r="H459" i="3"/>
  <c r="H434" i="3"/>
  <c r="H428" i="3"/>
  <c r="H422" i="3"/>
  <c r="H398" i="3"/>
  <c r="H391" i="3"/>
  <c r="H382" i="3"/>
  <c r="H347" i="3"/>
  <c r="H337" i="3"/>
  <c r="H301" i="3"/>
  <c r="H291" i="3"/>
  <c r="H282" i="3"/>
  <c r="H256" i="3"/>
  <c r="H237" i="3"/>
  <c r="H227" i="3"/>
  <c r="H218" i="3"/>
  <c r="H192" i="3"/>
  <c r="H32" i="3"/>
  <c r="H338" i="3"/>
  <c r="H315" i="3"/>
  <c r="H297" i="3"/>
  <c r="H292" i="3"/>
  <c r="H265" i="3"/>
  <c r="H242" i="3"/>
  <c r="H233" i="3"/>
  <c r="H228" i="3"/>
  <c r="H210" i="3"/>
  <c r="H201" i="3"/>
  <c r="H196" i="3"/>
  <c r="H187" i="3"/>
  <c r="H164" i="3"/>
  <c r="H155" i="3"/>
  <c r="H146" i="3"/>
  <c r="H132" i="3"/>
  <c r="H123" i="3"/>
  <c r="H114" i="3"/>
  <c r="H100" i="3"/>
  <c r="H91" i="3"/>
  <c r="H73" i="3"/>
  <c r="H68" i="3"/>
  <c r="H59" i="3"/>
  <c r="H50" i="3"/>
  <c r="H41" i="3"/>
  <c r="H26" i="3"/>
  <c r="H182" i="3"/>
  <c r="H168" i="3"/>
  <c r="H159" i="3"/>
  <c r="H150" i="3"/>
  <c r="H141" i="3"/>
  <c r="H136" i="3"/>
  <c r="H127" i="3"/>
  <c r="H118" i="3"/>
  <c r="H109" i="3"/>
  <c r="H95" i="3"/>
  <c r="H86" i="3"/>
  <c r="H45" i="3"/>
  <c r="H40" i="3"/>
  <c r="H31" i="3"/>
  <c r="H21" i="3"/>
  <c r="H163" i="3"/>
  <c r="H154" i="3"/>
  <c r="H145" i="3"/>
  <c r="H140" i="3"/>
  <c r="H122" i="3"/>
  <c r="H108" i="3"/>
  <c r="H99" i="3"/>
  <c r="H90" i="3"/>
  <c r="H76" i="3"/>
  <c r="H67" i="3"/>
  <c r="H58" i="3"/>
  <c r="H49" i="3"/>
  <c r="H44" i="3"/>
  <c r="H35" i="3"/>
  <c r="H25" i="3"/>
  <c r="H14" i="3"/>
  <c r="H533" i="3"/>
  <c r="H529" i="3"/>
  <c r="H525" i="3"/>
  <c r="H521" i="3"/>
  <c r="H517" i="3"/>
  <c r="H513" i="3"/>
  <c r="H501" i="3"/>
  <c r="H497" i="3"/>
  <c r="H493" i="3"/>
  <c r="H489" i="3"/>
  <c r="H485" i="3"/>
  <c r="H481" i="3"/>
  <c r="H477" i="3"/>
  <c r="H473" i="3"/>
  <c r="H469" i="3"/>
  <c r="H465" i="3"/>
  <c r="H457" i="3"/>
  <c r="H453" i="3"/>
  <c r="H449" i="3"/>
  <c r="H445" i="3"/>
  <c r="H441" i="3"/>
  <c r="H437" i="3"/>
  <c r="H429" i="3"/>
  <c r="H425" i="3"/>
  <c r="H421" i="3"/>
  <c r="H409" i="3"/>
  <c r="H405" i="3"/>
  <c r="H401" i="3"/>
  <c r="H393" i="3"/>
  <c r="H389" i="3"/>
  <c r="H385" i="3"/>
  <c r="H381" i="3"/>
  <c r="H373" i="3"/>
  <c r="H369" i="3"/>
  <c r="H357" i="3"/>
  <c r="H349" i="3"/>
  <c r="H345" i="3"/>
  <c r="H341" i="3"/>
  <c r="H336" i="3"/>
  <c r="H327" i="3"/>
  <c r="H318" i="3"/>
  <c r="H309" i="3"/>
  <c r="H295" i="3"/>
  <c r="H286" i="3"/>
  <c r="H272" i="3"/>
  <c r="H263" i="3"/>
  <c r="H254" i="3"/>
  <c r="H245" i="3"/>
  <c r="H240" i="3"/>
  <c r="H231" i="3"/>
  <c r="H222" i="3"/>
  <c r="H199" i="3"/>
  <c r="H190" i="3"/>
  <c r="H176" i="3"/>
  <c r="H158" i="3"/>
  <c r="H149" i="3"/>
  <c r="H135" i="3"/>
  <c r="H126" i="3"/>
  <c r="H103" i="3"/>
  <c r="H94" i="3"/>
  <c r="H85" i="3"/>
  <c r="H80" i="3"/>
  <c r="H71" i="3"/>
  <c r="H62" i="3"/>
  <c r="H48" i="3"/>
  <c r="H39" i="3"/>
  <c r="H340" i="3"/>
  <c r="H331" i="3"/>
  <c r="H322" i="3"/>
  <c r="H313" i="3"/>
  <c r="H308" i="3"/>
  <c r="H290" i="3"/>
  <c r="H276" i="3"/>
  <c r="H267" i="3"/>
  <c r="H258" i="3"/>
  <c r="H244" i="3"/>
  <c r="H235" i="3"/>
  <c r="H226" i="3"/>
  <c r="H217" i="3"/>
  <c r="H194" i="3"/>
  <c r="H171" i="3"/>
  <c r="H162" i="3"/>
  <c r="H153" i="3"/>
  <c r="H148" i="3"/>
  <c r="H139" i="3"/>
  <c r="H130" i="3"/>
  <c r="H121" i="3"/>
  <c r="H116" i="3"/>
  <c r="H107" i="3"/>
  <c r="H98" i="3"/>
  <c r="H89" i="3"/>
  <c r="H84" i="3"/>
  <c r="H75" i="3"/>
  <c r="H66" i="3"/>
  <c r="H57" i="3"/>
  <c r="H52" i="3"/>
  <c r="H43" i="3"/>
  <c r="H34" i="3"/>
  <c r="H13" i="3"/>
  <c r="H392" i="3"/>
  <c r="H388" i="3"/>
  <c r="H384" i="3"/>
  <c r="H380" i="3"/>
  <c r="H372" i="3"/>
  <c r="H368" i="3"/>
  <c r="H364" i="3"/>
  <c r="H360" i="3"/>
  <c r="H356" i="3"/>
  <c r="H352" i="3"/>
  <c r="H344" i="3"/>
  <c r="H335" i="3"/>
  <c r="H326" i="3"/>
  <c r="H312" i="3"/>
  <c r="H303" i="3"/>
  <c r="H294" i="3"/>
  <c r="H285" i="3"/>
  <c r="H271" i="3"/>
  <c r="H262" i="3"/>
  <c r="H253" i="3"/>
  <c r="H248" i="3"/>
  <c r="H239" i="3"/>
  <c r="H230" i="3"/>
  <c r="H221" i="3"/>
  <c r="H216" i="3"/>
  <c r="H198" i="3"/>
  <c r="H189" i="3"/>
  <c r="H184" i="3"/>
  <c r="H157" i="3"/>
  <c r="H152" i="3"/>
  <c r="H143" i="3"/>
  <c r="H134" i="3"/>
  <c r="H125" i="3"/>
  <c r="H120" i="3"/>
  <c r="H111" i="3"/>
  <c r="H102" i="3"/>
  <c r="H93" i="3"/>
  <c r="H79" i="3"/>
  <c r="H61" i="3"/>
  <c r="H56" i="3"/>
  <c r="H47" i="3"/>
  <c r="H29" i="3"/>
  <c r="H18" i="3"/>
  <c r="H339" i="3"/>
  <c r="H321" i="3"/>
  <c r="H298" i="3"/>
  <c r="H284" i="3"/>
  <c r="H243" i="3"/>
  <c r="H225" i="3"/>
  <c r="H211" i="3"/>
  <c r="H188" i="3"/>
  <c r="H170" i="3"/>
  <c r="H161" i="3"/>
  <c r="H156" i="3"/>
  <c r="H147" i="3"/>
  <c r="H138" i="3"/>
  <c r="H129" i="3"/>
  <c r="H124" i="3"/>
  <c r="H106" i="3"/>
  <c r="H97" i="3"/>
  <c r="H92" i="3"/>
  <c r="H74" i="3"/>
  <c r="H65" i="3"/>
  <c r="H51" i="3"/>
  <c r="H42" i="3"/>
  <c r="H33" i="3"/>
  <c r="H27" i="3"/>
  <c r="H19" i="3"/>
  <c r="H15" i="3"/>
  <c r="H11" i="3"/>
  <c r="H5" i="3"/>
  <c r="H28" i="3"/>
  <c r="H16" i="3"/>
  <c r="H12" i="3"/>
  <c r="H4" i="3"/>
  <c r="H2" i="3"/>
  <c r="H3" i="3"/>
  <c r="G865" i="3"/>
  <c r="G856" i="3"/>
  <c r="G847" i="3"/>
  <c r="G842" i="3"/>
  <c r="G833" i="3"/>
  <c r="G824" i="3"/>
  <c r="G815" i="3"/>
  <c r="G810" i="3"/>
  <c r="G801" i="3"/>
  <c r="G792" i="3"/>
  <c r="G783" i="3"/>
  <c r="G778" i="3"/>
  <c r="G773" i="3"/>
  <c r="G768" i="3"/>
  <c r="G763" i="3"/>
  <c r="G757" i="3"/>
  <c r="G752" i="3"/>
  <c r="G747" i="3"/>
  <c r="G741" i="3"/>
  <c r="G736" i="3"/>
  <c r="G731" i="3"/>
  <c r="G724" i="3"/>
  <c r="G717" i="3"/>
  <c r="G709" i="3"/>
  <c r="G701" i="3"/>
  <c r="G693" i="3"/>
  <c r="G685" i="3"/>
  <c r="G677" i="3"/>
  <c r="G669" i="3"/>
  <c r="G661" i="3"/>
  <c r="G653" i="3"/>
  <c r="G645" i="3"/>
  <c r="G637" i="3"/>
  <c r="G629" i="3"/>
  <c r="G621" i="3"/>
  <c r="G613" i="3"/>
  <c r="G605" i="3"/>
  <c r="G597" i="3"/>
  <c r="G561" i="3"/>
  <c r="G552" i="3"/>
  <c r="G543" i="3"/>
  <c r="G532" i="3"/>
  <c r="G521" i="3"/>
  <c r="G511" i="3"/>
  <c r="G497" i="3"/>
  <c r="G481" i="3"/>
  <c r="G361" i="3"/>
  <c r="G860" i="3"/>
  <c r="G851" i="3"/>
  <c r="G846" i="3"/>
  <c r="G837" i="3"/>
  <c r="G828" i="3"/>
  <c r="G819" i="3"/>
  <c r="G814" i="3"/>
  <c r="G805" i="3"/>
  <c r="G796" i="3"/>
  <c r="G787" i="3"/>
  <c r="G782" i="3"/>
  <c r="G729" i="3"/>
  <c r="G588" i="3"/>
  <c r="G579" i="3"/>
  <c r="G570" i="3"/>
  <c r="G433" i="3"/>
  <c r="G843" i="3"/>
  <c r="G573" i="3"/>
  <c r="G555" i="3"/>
  <c r="G440" i="3"/>
  <c r="G864" i="3"/>
  <c r="G855" i="3"/>
  <c r="G850" i="3"/>
  <c r="G841" i="3"/>
  <c r="G832" i="3"/>
  <c r="G823" i="3"/>
  <c r="G818" i="3"/>
  <c r="G809" i="3"/>
  <c r="G800" i="3"/>
  <c r="G791" i="3"/>
  <c r="G786" i="3"/>
  <c r="G777" i="3"/>
  <c r="G772" i="3"/>
  <c r="G767" i="3"/>
  <c r="G761" i="3"/>
  <c r="G756" i="3"/>
  <c r="G751" i="3"/>
  <c r="G745" i="3"/>
  <c r="G740" i="3"/>
  <c r="G735" i="3"/>
  <c r="G723" i="3"/>
  <c r="G716" i="3"/>
  <c r="G708" i="3"/>
  <c r="G700" i="3"/>
  <c r="G692" i="3"/>
  <c r="G684" i="3"/>
  <c r="G676" i="3"/>
  <c r="G668" i="3"/>
  <c r="G660" i="3"/>
  <c r="G652" i="3"/>
  <c r="G644" i="3"/>
  <c r="G636" i="3"/>
  <c r="G628" i="3"/>
  <c r="G620" i="3"/>
  <c r="G612" i="3"/>
  <c r="G604" i="3"/>
  <c r="G596" i="3"/>
  <c r="G569" i="3"/>
  <c r="G560" i="3"/>
  <c r="G551" i="3"/>
  <c r="G541" i="3"/>
  <c r="G531" i="3"/>
  <c r="G520" i="3"/>
  <c r="G496" i="3"/>
  <c r="G476" i="3"/>
  <c r="G429" i="3"/>
  <c r="G404" i="3"/>
  <c r="G380" i="3"/>
  <c r="G344" i="3"/>
  <c r="G265" i="3"/>
  <c r="G133" i="3"/>
  <c r="G829" i="3"/>
  <c r="G806" i="3"/>
  <c r="G859" i="3"/>
  <c r="G854" i="3"/>
  <c r="G845" i="3"/>
  <c r="G836" i="3"/>
  <c r="G827" i="3"/>
  <c r="G822" i="3"/>
  <c r="G813" i="3"/>
  <c r="G804" i="3"/>
  <c r="G795" i="3"/>
  <c r="G790" i="3"/>
  <c r="G781" i="3"/>
  <c r="G728" i="3"/>
  <c r="G721" i="3"/>
  <c r="G587" i="3"/>
  <c r="G578" i="3"/>
  <c r="G508" i="3"/>
  <c r="G400" i="3"/>
  <c r="G336" i="3"/>
  <c r="G852" i="3"/>
  <c r="G797" i="3"/>
  <c r="G719" i="3"/>
  <c r="G863" i="3"/>
  <c r="G858" i="3"/>
  <c r="G849" i="3"/>
  <c r="G840" i="3"/>
  <c r="G831" i="3"/>
  <c r="G826" i="3"/>
  <c r="G817" i="3"/>
  <c r="G808" i="3"/>
  <c r="G799" i="3"/>
  <c r="G794" i="3"/>
  <c r="G785" i="3"/>
  <c r="G776" i="3"/>
  <c r="G771" i="3"/>
  <c r="G765" i="3"/>
  <c r="G760" i="3"/>
  <c r="G755" i="3"/>
  <c r="G749" i="3"/>
  <c r="G744" i="3"/>
  <c r="G739" i="3"/>
  <c r="G733" i="3"/>
  <c r="G713" i="3"/>
  <c r="G705" i="3"/>
  <c r="G697" i="3"/>
  <c r="G689" i="3"/>
  <c r="G681" i="3"/>
  <c r="G673" i="3"/>
  <c r="G665" i="3"/>
  <c r="G657" i="3"/>
  <c r="G649" i="3"/>
  <c r="G641" i="3"/>
  <c r="G633" i="3"/>
  <c r="G625" i="3"/>
  <c r="G617" i="3"/>
  <c r="G609" i="3"/>
  <c r="G601" i="3"/>
  <c r="G593" i="3"/>
  <c r="G584" i="3"/>
  <c r="G575" i="3"/>
  <c r="G566" i="3"/>
  <c r="G537" i="3"/>
  <c r="G527" i="3"/>
  <c r="G516" i="3"/>
  <c r="G504" i="3"/>
  <c r="G325" i="3"/>
  <c r="G241" i="3"/>
  <c r="G92" i="3"/>
  <c r="G861" i="3"/>
  <c r="G838" i="3"/>
  <c r="G811" i="3"/>
  <c r="G779" i="3"/>
  <c r="G867" i="3"/>
  <c r="G862" i="3"/>
  <c r="G853" i="3"/>
  <c r="G844" i="3"/>
  <c r="G835" i="3"/>
  <c r="G830" i="3"/>
  <c r="G821" i="3"/>
  <c r="G812" i="3"/>
  <c r="G803" i="3"/>
  <c r="G798" i="3"/>
  <c r="G789" i="3"/>
  <c r="G780" i="3"/>
  <c r="G727" i="3"/>
  <c r="G720" i="3"/>
  <c r="G565" i="3"/>
  <c r="G556" i="3"/>
  <c r="G547" i="3"/>
  <c r="G488" i="3"/>
  <c r="G469" i="3"/>
  <c r="G448" i="3"/>
  <c r="G421" i="3"/>
  <c r="G393" i="3"/>
  <c r="G369" i="3"/>
  <c r="G820" i="3"/>
  <c r="G788" i="3"/>
  <c r="G564" i="3"/>
  <c r="G546" i="3"/>
  <c r="G412" i="3"/>
  <c r="G866" i="3"/>
  <c r="G857" i="3"/>
  <c r="G848" i="3"/>
  <c r="G839" i="3"/>
  <c r="G834" i="3"/>
  <c r="G825" i="3"/>
  <c r="G816" i="3"/>
  <c r="G807" i="3"/>
  <c r="G802" i="3"/>
  <c r="G793" i="3"/>
  <c r="G784" i="3"/>
  <c r="G775" i="3"/>
  <c r="G769" i="3"/>
  <c r="G764" i="3"/>
  <c r="G759" i="3"/>
  <c r="G753" i="3"/>
  <c r="G748" i="3"/>
  <c r="G743" i="3"/>
  <c r="G737" i="3"/>
  <c r="G732" i="3"/>
  <c r="G725" i="3"/>
  <c r="G712" i="3"/>
  <c r="G704" i="3"/>
  <c r="G696" i="3"/>
  <c r="G688" i="3"/>
  <c r="G680" i="3"/>
  <c r="G672" i="3"/>
  <c r="G664" i="3"/>
  <c r="G656" i="3"/>
  <c r="G648" i="3"/>
  <c r="G640" i="3"/>
  <c r="G632" i="3"/>
  <c r="G624" i="3"/>
  <c r="G616" i="3"/>
  <c r="G608" i="3"/>
  <c r="G600" i="3"/>
  <c r="G592" i="3"/>
  <c r="G583" i="3"/>
  <c r="G574" i="3"/>
  <c r="G536" i="3"/>
  <c r="G525" i="3"/>
  <c r="G515" i="3"/>
  <c r="G460" i="3"/>
  <c r="G452" i="3"/>
  <c r="G441" i="3"/>
  <c r="G392" i="3"/>
  <c r="G381" i="3"/>
  <c r="G373" i="3"/>
  <c r="G305" i="3"/>
  <c r="G284" i="3"/>
  <c r="G276" i="3"/>
  <c r="G225" i="3"/>
  <c r="G169" i="3"/>
  <c r="G112" i="3"/>
  <c r="G41" i="3"/>
  <c r="G332" i="3"/>
  <c r="G324" i="3"/>
  <c r="G313" i="3"/>
  <c r="G240" i="3"/>
  <c r="G204" i="3"/>
  <c r="G148" i="3"/>
  <c r="G89" i="3"/>
  <c r="G312" i="3"/>
  <c r="G301" i="3"/>
  <c r="G293" i="3"/>
  <c r="G272" i="3"/>
  <c r="G84" i="3"/>
  <c r="G64" i="3"/>
  <c r="G715" i="3"/>
  <c r="G711" i="3"/>
  <c r="G707" i="3"/>
  <c r="G703" i="3"/>
  <c r="G699" i="3"/>
  <c r="G695" i="3"/>
  <c r="G691" i="3"/>
  <c r="G687" i="3"/>
  <c r="G683" i="3"/>
  <c r="G679" i="3"/>
  <c r="G675" i="3"/>
  <c r="G671" i="3"/>
  <c r="G667" i="3"/>
  <c r="G663" i="3"/>
  <c r="G659" i="3"/>
  <c r="G655" i="3"/>
  <c r="G651" i="3"/>
  <c r="G647" i="3"/>
  <c r="G643" i="3"/>
  <c r="G639" i="3"/>
  <c r="G635" i="3"/>
  <c r="G631" i="3"/>
  <c r="G627" i="3"/>
  <c r="G623" i="3"/>
  <c r="G619" i="3"/>
  <c r="G615" i="3"/>
  <c r="G611" i="3"/>
  <c r="G607" i="3"/>
  <c r="G603" i="3"/>
  <c r="G599" i="3"/>
  <c r="G595" i="3"/>
  <c r="G591" i="3"/>
  <c r="G582" i="3"/>
  <c r="G577" i="3"/>
  <c r="G568" i="3"/>
  <c r="G559" i="3"/>
  <c r="G550" i="3"/>
  <c r="G545" i="3"/>
  <c r="G540" i="3"/>
  <c r="G535" i="3"/>
  <c r="G529" i="3"/>
  <c r="G524" i="3"/>
  <c r="G519" i="3"/>
  <c r="G513" i="3"/>
  <c r="G501" i="3"/>
  <c r="G493" i="3"/>
  <c r="G480" i="3"/>
  <c r="G472" i="3"/>
  <c r="G465" i="3"/>
  <c r="G428" i="3"/>
  <c r="G417" i="3"/>
  <c r="G409" i="3"/>
  <c r="G388" i="3"/>
  <c r="G360" i="3"/>
  <c r="G349" i="3"/>
  <c r="G320" i="3"/>
  <c r="G261" i="3"/>
  <c r="G249" i="3"/>
  <c r="G161" i="3"/>
  <c r="G105" i="3"/>
  <c r="G81" i="3"/>
  <c r="G586" i="3"/>
  <c r="G581" i="3"/>
  <c r="G572" i="3"/>
  <c r="G563" i="3"/>
  <c r="G554" i="3"/>
  <c r="G549" i="3"/>
  <c r="G507" i="3"/>
  <c r="G436" i="3"/>
  <c r="G397" i="3"/>
  <c r="G368" i="3"/>
  <c r="G357" i="3"/>
  <c r="G300" i="3"/>
  <c r="G289" i="3"/>
  <c r="G281" i="3"/>
  <c r="G257" i="3"/>
  <c r="G197" i="3"/>
  <c r="G140" i="3"/>
  <c r="G774" i="3"/>
  <c r="G770" i="3"/>
  <c r="G766" i="3"/>
  <c r="G762" i="3"/>
  <c r="G758" i="3"/>
  <c r="G754" i="3"/>
  <c r="G750" i="3"/>
  <c r="G746" i="3"/>
  <c r="G742" i="3"/>
  <c r="G738" i="3"/>
  <c r="G734" i="3"/>
  <c r="G730" i="3"/>
  <c r="G726" i="3"/>
  <c r="G722" i="3"/>
  <c r="G718" i="3"/>
  <c r="G714" i="3"/>
  <c r="G710" i="3"/>
  <c r="G706" i="3"/>
  <c r="G702" i="3"/>
  <c r="G698" i="3"/>
  <c r="G694" i="3"/>
  <c r="G690" i="3"/>
  <c r="G686" i="3"/>
  <c r="G682" i="3"/>
  <c r="G678" i="3"/>
  <c r="G674" i="3"/>
  <c r="G670" i="3"/>
  <c r="G666" i="3"/>
  <c r="G662" i="3"/>
  <c r="G658" i="3"/>
  <c r="G654" i="3"/>
  <c r="G650" i="3"/>
  <c r="G646" i="3"/>
  <c r="G642" i="3"/>
  <c r="G638" i="3"/>
  <c r="G634" i="3"/>
  <c r="G630" i="3"/>
  <c r="G626" i="3"/>
  <c r="G622" i="3"/>
  <c r="G618" i="3"/>
  <c r="G614" i="3"/>
  <c r="G610" i="3"/>
  <c r="G606" i="3"/>
  <c r="G602" i="3"/>
  <c r="G598" i="3"/>
  <c r="G594" i="3"/>
  <c r="G590" i="3"/>
  <c r="G585" i="3"/>
  <c r="G576" i="3"/>
  <c r="G567" i="3"/>
  <c r="G558" i="3"/>
  <c r="G553" i="3"/>
  <c r="G544" i="3"/>
  <c r="G539" i="3"/>
  <c r="G533" i="3"/>
  <c r="G528" i="3"/>
  <c r="G523" i="3"/>
  <c r="G517" i="3"/>
  <c r="G512" i="3"/>
  <c r="G492" i="3"/>
  <c r="G485" i="3"/>
  <c r="G477" i="3"/>
  <c r="G464" i="3"/>
  <c r="G445" i="3"/>
  <c r="G424" i="3"/>
  <c r="G416" i="3"/>
  <c r="G405" i="3"/>
  <c r="G348" i="3"/>
  <c r="G337" i="3"/>
  <c r="G308" i="3"/>
  <c r="G233" i="3"/>
  <c r="G176" i="3"/>
  <c r="G21" i="3"/>
  <c r="G589" i="3"/>
  <c r="G580" i="3"/>
  <c r="G571" i="3"/>
  <c r="G562" i="3"/>
  <c r="G557" i="3"/>
  <c r="G548" i="3"/>
  <c r="G453" i="3"/>
  <c r="G385" i="3"/>
  <c r="G356" i="3"/>
  <c r="G345" i="3"/>
  <c r="G317" i="3"/>
  <c r="G296" i="3"/>
  <c r="G288" i="3"/>
  <c r="G277" i="3"/>
  <c r="G268" i="3"/>
  <c r="G256" i="3"/>
  <c r="G212" i="3"/>
  <c r="G97" i="3"/>
  <c r="G73" i="3"/>
  <c r="G49" i="3"/>
  <c r="G12" i="3"/>
  <c r="G16" i="3"/>
  <c r="G228" i="3"/>
  <c r="G220" i="3"/>
  <c r="G213" i="3"/>
  <c r="G192" i="3"/>
  <c r="G185" i="3"/>
  <c r="G177" i="3"/>
  <c r="G164" i="3"/>
  <c r="G156" i="3"/>
  <c r="G149" i="3"/>
  <c r="G128" i="3"/>
  <c r="G121" i="3"/>
  <c r="G113" i="3"/>
  <c r="G100" i="3"/>
  <c r="G65" i="3"/>
  <c r="G57" i="3"/>
  <c r="G32" i="3"/>
  <c r="G48" i="3"/>
  <c r="G542" i="3"/>
  <c r="G538" i="3"/>
  <c r="G534" i="3"/>
  <c r="G530" i="3"/>
  <c r="G526" i="3"/>
  <c r="G522" i="3"/>
  <c r="G518" i="3"/>
  <c r="G514" i="3"/>
  <c r="G505" i="3"/>
  <c r="G500" i="3"/>
  <c r="G489" i="3"/>
  <c r="G484" i="3"/>
  <c r="G473" i="3"/>
  <c r="G468" i="3"/>
  <c r="G457" i="3"/>
  <c r="G408" i="3"/>
  <c r="G396" i="3"/>
  <c r="G384" i="3"/>
  <c r="G372" i="3"/>
  <c r="G365" i="3"/>
  <c r="G353" i="3"/>
  <c r="G341" i="3"/>
  <c r="G329" i="3"/>
  <c r="G280" i="3"/>
  <c r="G80" i="3"/>
  <c r="G37" i="3"/>
  <c r="G28" i="3"/>
  <c r="G20" i="3"/>
  <c r="G509" i="3"/>
  <c r="G456" i="3"/>
  <c r="G444" i="3"/>
  <c r="G432" i="3"/>
  <c r="G420" i="3"/>
  <c r="G413" i="3"/>
  <c r="G401" i="3"/>
  <c r="G389" i="3"/>
  <c r="G377" i="3"/>
  <c r="G328" i="3"/>
  <c r="G316" i="3"/>
  <c r="G304" i="3"/>
  <c r="G292" i="3"/>
  <c r="G285" i="3"/>
  <c r="G273" i="3"/>
  <c r="G260" i="3"/>
  <c r="G252" i="3"/>
  <c r="G245" i="3"/>
  <c r="G224" i="3"/>
  <c r="G217" i="3"/>
  <c r="G209" i="3"/>
  <c r="G196" i="3"/>
  <c r="G188" i="3"/>
  <c r="G181" i="3"/>
  <c r="G160" i="3"/>
  <c r="G153" i="3"/>
  <c r="G145" i="3"/>
  <c r="G132" i="3"/>
  <c r="G124" i="3"/>
  <c r="G117" i="3"/>
  <c r="G96" i="3"/>
  <c r="G53" i="3"/>
  <c r="G44" i="3"/>
  <c r="G36" i="3"/>
  <c r="G461" i="3"/>
  <c r="G449" i="3"/>
  <c r="G437" i="3"/>
  <c r="G425" i="3"/>
  <c r="G376" i="3"/>
  <c r="G364" i="3"/>
  <c r="G352" i="3"/>
  <c r="G340" i="3"/>
  <c r="G333" i="3"/>
  <c r="G321" i="3"/>
  <c r="G309" i="3"/>
  <c r="G297" i="3"/>
  <c r="G69" i="3"/>
  <c r="G60" i="3"/>
  <c r="G52" i="3"/>
  <c r="G17" i="3"/>
  <c r="G244" i="3"/>
  <c r="G236" i="3"/>
  <c r="G229" i="3"/>
  <c r="G208" i="3"/>
  <c r="G201" i="3"/>
  <c r="G193" i="3"/>
  <c r="G180" i="3"/>
  <c r="G172" i="3"/>
  <c r="G165" i="3"/>
  <c r="G144" i="3"/>
  <c r="G137" i="3"/>
  <c r="G129" i="3"/>
  <c r="G116" i="3"/>
  <c r="G108" i="3"/>
  <c r="G101" i="3"/>
  <c r="G85" i="3"/>
  <c r="G76" i="3"/>
  <c r="G68" i="3"/>
  <c r="G33" i="3"/>
  <c r="G25" i="3"/>
  <c r="G9" i="3"/>
  <c r="G269" i="3"/>
  <c r="G264" i="3"/>
  <c r="G253" i="3"/>
  <c r="G248" i="3"/>
  <c r="G237" i="3"/>
  <c r="G232" i="3"/>
  <c r="G221" i="3"/>
  <c r="G216" i="3"/>
  <c r="G205" i="3"/>
  <c r="G200" i="3"/>
  <c r="G189" i="3"/>
  <c r="G184" i="3"/>
  <c r="G173" i="3"/>
  <c r="G168" i="3"/>
  <c r="G157" i="3"/>
  <c r="G152" i="3"/>
  <c r="G141" i="3"/>
  <c r="G136" i="3"/>
  <c r="G125" i="3"/>
  <c r="G120" i="3"/>
  <c r="G109" i="3"/>
  <c r="G104" i="3"/>
  <c r="G93" i="3"/>
  <c r="G88" i="3"/>
  <c r="G77" i="3"/>
  <c r="G72" i="3"/>
  <c r="G61" i="3"/>
  <c r="G56" i="3"/>
  <c r="G45" i="3"/>
  <c r="G40" i="3"/>
  <c r="G29" i="3"/>
  <c r="G24" i="3"/>
  <c r="G13" i="3"/>
  <c r="G8" i="3"/>
  <c r="G510" i="3"/>
  <c r="G506" i="3"/>
  <c r="G502" i="3"/>
  <c r="G498" i="3"/>
  <c r="G494" i="3"/>
  <c r="G490" i="3"/>
  <c r="G486" i="3"/>
  <c r="G482" i="3"/>
  <c r="G478" i="3"/>
  <c r="G474" i="3"/>
  <c r="G470" i="3"/>
  <c r="G466" i="3"/>
  <c r="G462" i="3"/>
  <c r="G458" i="3"/>
  <c r="G454" i="3"/>
  <c r="G450" i="3"/>
  <c r="G446" i="3"/>
  <c r="G442" i="3"/>
  <c r="G438" i="3"/>
  <c r="G434" i="3"/>
  <c r="G430" i="3"/>
  <c r="G426" i="3"/>
  <c r="G422" i="3"/>
  <c r="G418" i="3"/>
  <c r="G414" i="3"/>
  <c r="G410" i="3"/>
  <c r="G406" i="3"/>
  <c r="G402" i="3"/>
  <c r="G398" i="3"/>
  <c r="G394" i="3"/>
  <c r="G390" i="3"/>
  <c r="G386" i="3"/>
  <c r="G382" i="3"/>
  <c r="G378" i="3"/>
  <c r="G374" i="3"/>
  <c r="G370" i="3"/>
  <c r="G366" i="3"/>
  <c r="G362" i="3"/>
  <c r="G358" i="3"/>
  <c r="G354" i="3"/>
  <c r="G350" i="3"/>
  <c r="G346" i="3"/>
  <c r="G342" i="3"/>
  <c r="G338" i="3"/>
  <c r="G334" i="3"/>
  <c r="G330" i="3"/>
  <c r="G326" i="3"/>
  <c r="G322" i="3"/>
  <c r="G318" i="3"/>
  <c r="G314" i="3"/>
  <c r="G310" i="3"/>
  <c r="G306" i="3"/>
  <c r="G302" i="3"/>
  <c r="G298" i="3"/>
  <c r="G294" i="3"/>
  <c r="G290" i="3"/>
  <c r="G286" i="3"/>
  <c r="G282" i="3"/>
  <c r="G278" i="3"/>
  <c r="G274" i="3"/>
  <c r="G270" i="3"/>
  <c r="G266" i="3"/>
  <c r="G262" i="3"/>
  <c r="G258" i="3"/>
  <c r="G254" i="3"/>
  <c r="G250" i="3"/>
  <c r="G246" i="3"/>
  <c r="G242" i="3"/>
  <c r="G238" i="3"/>
  <c r="G234" i="3"/>
  <c r="G230" i="3"/>
  <c r="G226" i="3"/>
  <c r="G222" i="3"/>
  <c r="G218" i="3"/>
  <c r="G214" i="3"/>
  <c r="G210" i="3"/>
  <c r="G206" i="3"/>
  <c r="G202" i="3"/>
  <c r="G198" i="3"/>
  <c r="G194" i="3"/>
  <c r="G190" i="3"/>
  <c r="G186" i="3"/>
  <c r="G182" i="3"/>
  <c r="G178" i="3"/>
  <c r="G174" i="3"/>
  <c r="G170" i="3"/>
  <c r="G166" i="3"/>
  <c r="G162" i="3"/>
  <c r="G158" i="3"/>
  <c r="G154" i="3"/>
  <c r="G150" i="3"/>
  <c r="G146" i="3"/>
  <c r="G142" i="3"/>
  <c r="G138" i="3"/>
  <c r="G134" i="3"/>
  <c r="G130" i="3"/>
  <c r="G126" i="3"/>
  <c r="G122" i="3"/>
  <c r="G118" i="3"/>
  <c r="G114" i="3"/>
  <c r="G110" i="3"/>
  <c r="G106" i="3"/>
  <c r="G102" i="3"/>
  <c r="G98" i="3"/>
  <c r="G94" i="3"/>
  <c r="G90" i="3"/>
  <c r="G86" i="3"/>
  <c r="G82" i="3"/>
  <c r="G78" i="3"/>
  <c r="G74" i="3"/>
  <c r="G70" i="3"/>
  <c r="G66" i="3"/>
  <c r="G62" i="3"/>
  <c r="G58" i="3"/>
  <c r="G54" i="3"/>
  <c r="G50" i="3"/>
  <c r="G46" i="3"/>
  <c r="G42" i="3"/>
  <c r="G38" i="3"/>
  <c r="G34" i="3"/>
  <c r="G30" i="3"/>
  <c r="G26" i="3"/>
  <c r="G22" i="3"/>
  <c r="G18" i="3"/>
  <c r="G14" i="3"/>
  <c r="G10" i="3"/>
  <c r="G6" i="3"/>
  <c r="G5" i="3"/>
  <c r="G4" i="3"/>
  <c r="G503" i="3"/>
  <c r="G499" i="3"/>
  <c r="G495" i="3"/>
  <c r="G491" i="3"/>
  <c r="G487" i="3"/>
  <c r="G483" i="3"/>
  <c r="G479" i="3"/>
  <c r="G475" i="3"/>
  <c r="G471" i="3"/>
  <c r="G467" i="3"/>
  <c r="G463" i="3"/>
  <c r="G459" i="3"/>
  <c r="G455" i="3"/>
  <c r="G451" i="3"/>
  <c r="G447" i="3"/>
  <c r="G443" i="3"/>
  <c r="G439" i="3"/>
  <c r="G435" i="3"/>
  <c r="G431" i="3"/>
  <c r="G427" i="3"/>
  <c r="G423" i="3"/>
  <c r="G419" i="3"/>
  <c r="G415" i="3"/>
  <c r="G411" i="3"/>
  <c r="G407" i="3"/>
  <c r="G403" i="3"/>
  <c r="G399" i="3"/>
  <c r="G395" i="3"/>
  <c r="G391" i="3"/>
  <c r="G387" i="3"/>
  <c r="G383" i="3"/>
  <c r="G379" i="3"/>
  <c r="G375" i="3"/>
  <c r="G371" i="3"/>
  <c r="G367" i="3"/>
  <c r="G363" i="3"/>
  <c r="G359" i="3"/>
  <c r="G355" i="3"/>
  <c r="G351" i="3"/>
  <c r="G347" i="3"/>
  <c r="G343" i="3"/>
  <c r="G339" i="3"/>
  <c r="G335" i="3"/>
  <c r="G331" i="3"/>
  <c r="G327" i="3"/>
  <c r="G323" i="3"/>
  <c r="G319" i="3"/>
  <c r="G315" i="3"/>
  <c r="G311" i="3"/>
  <c r="G307" i="3"/>
  <c r="G303" i="3"/>
  <c r="G299" i="3"/>
  <c r="G295" i="3"/>
  <c r="G291" i="3"/>
  <c r="G287" i="3"/>
  <c r="G283" i="3"/>
  <c r="G279" i="3"/>
  <c r="G275" i="3"/>
  <c r="G271" i="3"/>
  <c r="G267" i="3"/>
  <c r="G263" i="3"/>
  <c r="G259" i="3"/>
  <c r="G255" i="3"/>
  <c r="G251" i="3"/>
  <c r="G247" i="3"/>
  <c r="G243" i="3"/>
  <c r="G239" i="3"/>
  <c r="G235" i="3"/>
  <c r="G231" i="3"/>
  <c r="G227" i="3"/>
  <c r="G223" i="3"/>
  <c r="G219" i="3"/>
  <c r="G215" i="3"/>
  <c r="G211" i="3"/>
  <c r="G207" i="3"/>
  <c r="G203" i="3"/>
  <c r="G199" i="3"/>
  <c r="G195" i="3"/>
  <c r="G191" i="3"/>
  <c r="G187" i="3"/>
  <c r="G183" i="3"/>
  <c r="G179" i="3"/>
  <c r="G175" i="3"/>
  <c r="G171" i="3"/>
  <c r="G167" i="3"/>
  <c r="G163" i="3"/>
  <c r="G159" i="3"/>
  <c r="G155" i="3"/>
  <c r="G151" i="3"/>
  <c r="G147" i="3"/>
  <c r="G143" i="3"/>
  <c r="G139" i="3"/>
  <c r="G135" i="3"/>
  <c r="G131" i="3"/>
  <c r="G127" i="3"/>
  <c r="G123" i="3"/>
  <c r="G119" i="3"/>
  <c r="G115" i="3"/>
  <c r="G111" i="3"/>
  <c r="G107" i="3"/>
  <c r="G103" i="3"/>
  <c r="G99" i="3"/>
  <c r="G95" i="3"/>
  <c r="G91" i="3"/>
  <c r="G87" i="3"/>
  <c r="G83" i="3"/>
  <c r="G79" i="3"/>
  <c r="G75" i="3"/>
  <c r="G71" i="3"/>
  <c r="G67" i="3"/>
  <c r="G63" i="3"/>
  <c r="G59" i="3"/>
  <c r="G55" i="3"/>
  <c r="G51" i="3"/>
  <c r="G47" i="3"/>
  <c r="G43" i="3"/>
  <c r="G39" i="3"/>
  <c r="G35" i="3"/>
  <c r="G31" i="3"/>
  <c r="G27" i="3"/>
  <c r="G23" i="3"/>
  <c r="G19" i="3"/>
  <c r="G15" i="3"/>
  <c r="G11" i="3"/>
  <c r="G7" i="3"/>
  <c r="G3" i="3"/>
  <c r="G2" i="3"/>
  <c r="E844" i="3"/>
  <c r="E839" i="3"/>
  <c r="E830" i="3"/>
  <c r="E812" i="3"/>
  <c r="E798" i="3"/>
  <c r="E789" i="3"/>
  <c r="E775" i="3"/>
  <c r="E766" i="3"/>
  <c r="E761" i="3"/>
  <c r="E721" i="3"/>
  <c r="E691" i="3"/>
  <c r="E679" i="3"/>
  <c r="E655" i="3"/>
  <c r="E642" i="3"/>
  <c r="E586" i="3"/>
  <c r="E468" i="3"/>
  <c r="E865" i="3"/>
  <c r="E861" i="3"/>
  <c r="E857" i="3"/>
  <c r="E848" i="3"/>
  <c r="E843" i="3"/>
  <c r="E825" i="3"/>
  <c r="E811" i="3"/>
  <c r="E793" i="3"/>
  <c r="E770" i="3"/>
  <c r="E755" i="3"/>
  <c r="E750" i="3"/>
  <c r="E744" i="3"/>
  <c r="E733" i="3"/>
  <c r="E727" i="3"/>
  <c r="E714" i="3"/>
  <c r="E689" i="3"/>
  <c r="E674" i="3"/>
  <c r="E666" i="3"/>
  <c r="E660" i="3"/>
  <c r="E648" i="3"/>
  <c r="E637" i="3"/>
  <c r="E629" i="3"/>
  <c r="E624" i="3"/>
  <c r="E618" i="3"/>
  <c r="E597" i="3"/>
  <c r="E584" i="3"/>
  <c r="E569" i="3"/>
  <c r="E559" i="3"/>
  <c r="E528" i="3"/>
  <c r="E491" i="3"/>
  <c r="E482" i="3"/>
  <c r="E852" i="3"/>
  <c r="E847" i="3"/>
  <c r="E829" i="3"/>
  <c r="E820" i="3"/>
  <c r="E806" i="3"/>
  <c r="E797" i="3"/>
  <c r="E788" i="3"/>
  <c r="E774" i="3"/>
  <c r="E765" i="3"/>
  <c r="E720" i="3"/>
  <c r="E712" i="3"/>
  <c r="E701" i="3"/>
  <c r="E659" i="3"/>
  <c r="E647" i="3"/>
  <c r="E641" i="3"/>
  <c r="E602" i="3"/>
  <c r="E583" i="3"/>
  <c r="E578" i="3"/>
  <c r="E541" i="3"/>
  <c r="E860" i="3"/>
  <c r="E851" i="3"/>
  <c r="E842" i="3"/>
  <c r="E824" i="3"/>
  <c r="E819" i="3"/>
  <c r="E810" i="3"/>
  <c r="E792" i="3"/>
  <c r="E787" i="3"/>
  <c r="E759" i="3"/>
  <c r="E737" i="3"/>
  <c r="E725" i="3"/>
  <c r="E719" i="3"/>
  <c r="E711" i="3"/>
  <c r="E688" i="3"/>
  <c r="E673" i="3"/>
  <c r="E665" i="3"/>
  <c r="E652" i="3"/>
  <c r="E634" i="3"/>
  <c r="E628" i="3"/>
  <c r="E609" i="3"/>
  <c r="E596" i="3"/>
  <c r="E565" i="3"/>
  <c r="E514" i="3"/>
  <c r="E846" i="3"/>
  <c r="E837" i="3"/>
  <c r="E796" i="3"/>
  <c r="E791" i="3"/>
  <c r="E773" i="3"/>
  <c r="E764" i="3"/>
  <c r="E748" i="3"/>
  <c r="E742" i="3"/>
  <c r="E706" i="3"/>
  <c r="E687" i="3"/>
  <c r="E682" i="3"/>
  <c r="E646" i="3"/>
  <c r="E601" i="3"/>
  <c r="E595" i="3"/>
  <c r="E477" i="3"/>
  <c r="E867" i="3"/>
  <c r="E863" i="3"/>
  <c r="E859" i="3"/>
  <c r="E832" i="3"/>
  <c r="E827" i="3"/>
  <c r="E809" i="3"/>
  <c r="E795" i="3"/>
  <c r="E786" i="3"/>
  <c r="E777" i="3"/>
  <c r="E768" i="3"/>
  <c r="E763" i="3"/>
  <c r="E724" i="3"/>
  <c r="E710" i="3"/>
  <c r="E693" i="3"/>
  <c r="E670" i="3"/>
  <c r="E664" i="3"/>
  <c r="E657" i="3"/>
  <c r="E633" i="3"/>
  <c r="E606" i="3"/>
  <c r="E593" i="3"/>
  <c r="E588" i="3"/>
  <c r="E574" i="3"/>
  <c r="E564" i="3"/>
  <c r="E550" i="3"/>
  <c r="E500" i="3"/>
  <c r="E486" i="3"/>
  <c r="E473" i="3"/>
  <c r="E854" i="3"/>
  <c r="E845" i="3"/>
  <c r="E836" i="3"/>
  <c r="E831" i="3"/>
  <c r="E822" i="3"/>
  <c r="E799" i="3"/>
  <c r="E790" i="3"/>
  <c r="E772" i="3"/>
  <c r="E767" i="3"/>
  <c r="E762" i="3"/>
  <c r="E757" i="3"/>
  <c r="E752" i="3"/>
  <c r="E741" i="3"/>
  <c r="E729" i="3"/>
  <c r="E723" i="3"/>
  <c r="E705" i="3"/>
  <c r="E650" i="3"/>
  <c r="E587" i="3"/>
  <c r="E546" i="3"/>
  <c r="E523" i="3"/>
  <c r="E496" i="3"/>
  <c r="E866" i="3"/>
  <c r="E862" i="3"/>
  <c r="E858" i="3"/>
  <c r="E849" i="3"/>
  <c r="E840" i="3"/>
  <c r="E826" i="3"/>
  <c r="E808" i="3"/>
  <c r="E803" i="3"/>
  <c r="E794" i="3"/>
  <c r="E785" i="3"/>
  <c r="E776" i="3"/>
  <c r="E771" i="3"/>
  <c r="E739" i="3"/>
  <c r="E734" i="3"/>
  <c r="E715" i="3"/>
  <c r="E697" i="3"/>
  <c r="E692" i="3"/>
  <c r="E669" i="3"/>
  <c r="E656" i="3"/>
  <c r="E632" i="3"/>
  <c r="E625" i="3"/>
  <c r="E611" i="3"/>
  <c r="E605" i="3"/>
  <c r="E592" i="3"/>
  <c r="E495" i="3"/>
  <c r="E459" i="3"/>
  <c r="E450" i="3"/>
  <c r="E441" i="3"/>
  <c r="E432" i="3"/>
  <c r="E427" i="3"/>
  <c r="E418" i="3"/>
  <c r="E409" i="3"/>
  <c r="E400" i="3"/>
  <c r="E386" i="3"/>
  <c r="E368" i="3"/>
  <c r="E363" i="3"/>
  <c r="E354" i="3"/>
  <c r="E345" i="3"/>
  <c r="E340" i="3"/>
  <c r="E333" i="3"/>
  <c r="E328" i="3"/>
  <c r="E322" i="3"/>
  <c r="E301" i="3"/>
  <c r="E295" i="3"/>
  <c r="E268" i="3"/>
  <c r="E258" i="3"/>
  <c r="E227" i="3"/>
  <c r="E214" i="3"/>
  <c r="E168" i="3"/>
  <c r="E96" i="3"/>
  <c r="E454" i="3"/>
  <c r="E445" i="3"/>
  <c r="E436" i="3"/>
  <c r="E431" i="3"/>
  <c r="E422" i="3"/>
  <c r="E399" i="3"/>
  <c r="E390" i="3"/>
  <c r="E381" i="3"/>
  <c r="E372" i="3"/>
  <c r="E367" i="3"/>
  <c r="E358" i="3"/>
  <c r="E349" i="3"/>
  <c r="E338" i="3"/>
  <c r="E327" i="3"/>
  <c r="E310" i="3"/>
  <c r="E305" i="3"/>
  <c r="E267" i="3"/>
  <c r="E262" i="3"/>
  <c r="E246" i="3"/>
  <c r="E240" i="3"/>
  <c r="E233" i="3"/>
  <c r="E196" i="3"/>
  <c r="E187" i="3"/>
  <c r="E155" i="3"/>
  <c r="E123" i="3"/>
  <c r="E568" i="3"/>
  <c r="E563" i="3"/>
  <c r="E554" i="3"/>
  <c r="E536" i="3"/>
  <c r="E522" i="3"/>
  <c r="E513" i="3"/>
  <c r="E504" i="3"/>
  <c r="E499" i="3"/>
  <c r="E481" i="3"/>
  <c r="E472" i="3"/>
  <c r="E467" i="3"/>
  <c r="E458" i="3"/>
  <c r="E449" i="3"/>
  <c r="E435" i="3"/>
  <c r="E403" i="3"/>
  <c r="E385" i="3"/>
  <c r="E371" i="3"/>
  <c r="E362" i="3"/>
  <c r="E344" i="3"/>
  <c r="E332" i="3"/>
  <c r="E320" i="3"/>
  <c r="E315" i="3"/>
  <c r="E300" i="3"/>
  <c r="E294" i="3"/>
  <c r="E288" i="3"/>
  <c r="E282" i="3"/>
  <c r="E226" i="3"/>
  <c r="E201" i="3"/>
  <c r="E195" i="3"/>
  <c r="E154" i="3"/>
  <c r="E718" i="3"/>
  <c r="E700" i="3"/>
  <c r="E695" i="3"/>
  <c r="E686" i="3"/>
  <c r="E668" i="3"/>
  <c r="E663" i="3"/>
  <c r="E654" i="3"/>
  <c r="E645" i="3"/>
  <c r="E636" i="3"/>
  <c r="E631" i="3"/>
  <c r="E613" i="3"/>
  <c r="E590" i="3"/>
  <c r="E581" i="3"/>
  <c r="E572" i="3"/>
  <c r="E567" i="3"/>
  <c r="E558" i="3"/>
  <c r="E549" i="3"/>
  <c r="E540" i="3"/>
  <c r="E535" i="3"/>
  <c r="E517" i="3"/>
  <c r="E508" i="3"/>
  <c r="E503" i="3"/>
  <c r="E494" i="3"/>
  <c r="E485" i="3"/>
  <c r="E476" i="3"/>
  <c r="E471" i="3"/>
  <c r="E462" i="3"/>
  <c r="E453" i="3"/>
  <c r="E444" i="3"/>
  <c r="E430" i="3"/>
  <c r="E421" i="3"/>
  <c r="E412" i="3"/>
  <c r="E407" i="3"/>
  <c r="E398" i="3"/>
  <c r="E389" i="3"/>
  <c r="E380" i="3"/>
  <c r="E366" i="3"/>
  <c r="E357" i="3"/>
  <c r="E337" i="3"/>
  <c r="E331" i="3"/>
  <c r="E326" i="3"/>
  <c r="E319" i="3"/>
  <c r="E309" i="3"/>
  <c r="E272" i="3"/>
  <c r="E256" i="3"/>
  <c r="E245" i="3"/>
  <c r="E237" i="3"/>
  <c r="E232" i="3"/>
  <c r="E224" i="3"/>
  <c r="E186" i="3"/>
  <c r="E745" i="3"/>
  <c r="E731" i="3"/>
  <c r="E722" i="3"/>
  <c r="E713" i="3"/>
  <c r="E704" i="3"/>
  <c r="E690" i="3"/>
  <c r="E672" i="3"/>
  <c r="E667" i="3"/>
  <c r="E635" i="3"/>
  <c r="E617" i="3"/>
  <c r="E608" i="3"/>
  <c r="E603" i="3"/>
  <c r="E594" i="3"/>
  <c r="E585" i="3"/>
  <c r="E576" i="3"/>
  <c r="E571" i="3"/>
  <c r="E562" i="3"/>
  <c r="E553" i="3"/>
  <c r="E544" i="3"/>
  <c r="E539" i="3"/>
  <c r="E530" i="3"/>
  <c r="E521" i="3"/>
  <c r="E512" i="3"/>
  <c r="E507" i="3"/>
  <c r="E498" i="3"/>
  <c r="E489" i="3"/>
  <c r="E480" i="3"/>
  <c r="E475" i="3"/>
  <c r="E466" i="3"/>
  <c r="E457" i="3"/>
  <c r="E448" i="3"/>
  <c r="E434" i="3"/>
  <c r="E425" i="3"/>
  <c r="E411" i="3"/>
  <c r="E393" i="3"/>
  <c r="E384" i="3"/>
  <c r="E379" i="3"/>
  <c r="E370" i="3"/>
  <c r="E352" i="3"/>
  <c r="E347" i="3"/>
  <c r="E314" i="3"/>
  <c r="E303" i="3"/>
  <c r="E292" i="3"/>
  <c r="E271" i="3"/>
  <c r="E265" i="3"/>
  <c r="E255" i="3"/>
  <c r="E231" i="3"/>
  <c r="E223" i="3"/>
  <c r="E218" i="3"/>
  <c r="E200" i="3"/>
  <c r="E136" i="3"/>
  <c r="E758" i="3"/>
  <c r="E749" i="3"/>
  <c r="E740" i="3"/>
  <c r="E735" i="3"/>
  <c r="E726" i="3"/>
  <c r="E717" i="3"/>
  <c r="E703" i="3"/>
  <c r="E671" i="3"/>
  <c r="E662" i="3"/>
  <c r="E653" i="3"/>
  <c r="E644" i="3"/>
  <c r="E630" i="3"/>
  <c r="E621" i="3"/>
  <c r="E612" i="3"/>
  <c r="E607" i="3"/>
  <c r="E598" i="3"/>
  <c r="E575" i="3"/>
  <c r="E566" i="3"/>
  <c r="E557" i="3"/>
  <c r="E548" i="3"/>
  <c r="E543" i="3"/>
  <c r="E534" i="3"/>
  <c r="E525" i="3"/>
  <c r="E516" i="3"/>
  <c r="E511" i="3"/>
  <c r="E493" i="3"/>
  <c r="E479" i="3"/>
  <c r="E470" i="3"/>
  <c r="E447" i="3"/>
  <c r="E438" i="3"/>
  <c r="E429" i="3"/>
  <c r="E420" i="3"/>
  <c r="E406" i="3"/>
  <c r="E388" i="3"/>
  <c r="E383" i="3"/>
  <c r="E356" i="3"/>
  <c r="E351" i="3"/>
  <c r="E336" i="3"/>
  <c r="E318" i="3"/>
  <c r="E308" i="3"/>
  <c r="E297" i="3"/>
  <c r="E291" i="3"/>
  <c r="E286" i="3"/>
  <c r="E276" i="3"/>
  <c r="E242" i="3"/>
  <c r="E236" i="3"/>
  <c r="E210" i="3"/>
  <c r="E199" i="3"/>
  <c r="E164" i="3"/>
  <c r="E146" i="3"/>
  <c r="E570" i="3"/>
  <c r="E552" i="3"/>
  <c r="E547" i="3"/>
  <c r="E529" i="3"/>
  <c r="E520" i="3"/>
  <c r="E515" i="3"/>
  <c r="E506" i="3"/>
  <c r="E497" i="3"/>
  <c r="E488" i="3"/>
  <c r="E474" i="3"/>
  <c r="E465" i="3"/>
  <c r="E456" i="3"/>
  <c r="E451" i="3"/>
  <c r="E442" i="3"/>
  <c r="E424" i="3"/>
  <c r="E410" i="3"/>
  <c r="E401" i="3"/>
  <c r="E392" i="3"/>
  <c r="E387" i="3"/>
  <c r="E369" i="3"/>
  <c r="E360" i="3"/>
  <c r="E346" i="3"/>
  <c r="E341" i="3"/>
  <c r="E335" i="3"/>
  <c r="E323" i="3"/>
  <c r="E313" i="3"/>
  <c r="E269" i="3"/>
  <c r="E264" i="3"/>
  <c r="E259" i="3"/>
  <c r="E254" i="3"/>
  <c r="E235" i="3"/>
  <c r="E222" i="3"/>
  <c r="E217" i="3"/>
  <c r="E192" i="3"/>
  <c r="E163" i="3"/>
  <c r="E145" i="3"/>
  <c r="E114" i="3"/>
  <c r="E556" i="3"/>
  <c r="E551" i="3"/>
  <c r="E542" i="3"/>
  <c r="E533" i="3"/>
  <c r="E501" i="3"/>
  <c r="E487" i="3"/>
  <c r="E478" i="3"/>
  <c r="E469" i="3"/>
  <c r="E460" i="3"/>
  <c r="E455" i="3"/>
  <c r="E446" i="3"/>
  <c r="E437" i="3"/>
  <c r="E428" i="3"/>
  <c r="E423" i="3"/>
  <c r="E405" i="3"/>
  <c r="E391" i="3"/>
  <c r="E382" i="3"/>
  <c r="E373" i="3"/>
  <c r="E364" i="3"/>
  <c r="E359" i="3"/>
  <c r="E350" i="3"/>
  <c r="E296" i="3"/>
  <c r="E290" i="3"/>
  <c r="E285" i="3"/>
  <c r="E263" i="3"/>
  <c r="E241" i="3"/>
  <c r="E228" i="3"/>
  <c r="E191" i="3"/>
  <c r="E182" i="3"/>
  <c r="E160" i="3"/>
  <c r="E128" i="3"/>
  <c r="E91" i="3"/>
  <c r="E73" i="3"/>
  <c r="E64" i="3"/>
  <c r="E59" i="3"/>
  <c r="E50" i="3"/>
  <c r="E41" i="3"/>
  <c r="E32" i="3"/>
  <c r="E27" i="3"/>
  <c r="E18" i="3"/>
  <c r="E159" i="3"/>
  <c r="E150" i="3"/>
  <c r="E141" i="3"/>
  <c r="E132" i="3"/>
  <c r="E127" i="3"/>
  <c r="E118" i="3"/>
  <c r="E109" i="3"/>
  <c r="E100" i="3"/>
  <c r="E95" i="3"/>
  <c r="E86" i="3"/>
  <c r="E68" i="3"/>
  <c r="E45" i="3"/>
  <c r="E31" i="3"/>
  <c r="E22" i="3"/>
  <c r="E13" i="3"/>
  <c r="E122" i="3"/>
  <c r="E99" i="3"/>
  <c r="E90" i="3"/>
  <c r="E67" i="3"/>
  <c r="E58" i="3"/>
  <c r="E49" i="3"/>
  <c r="E40" i="3"/>
  <c r="E35" i="3"/>
  <c r="E26" i="3"/>
  <c r="E17" i="3"/>
  <c r="E190" i="3"/>
  <c r="E158" i="3"/>
  <c r="E149" i="3"/>
  <c r="E140" i="3"/>
  <c r="E135" i="3"/>
  <c r="E126" i="3"/>
  <c r="E108" i="3"/>
  <c r="E103" i="3"/>
  <c r="E94" i="3"/>
  <c r="E85" i="3"/>
  <c r="E76" i="3"/>
  <c r="E71" i="3"/>
  <c r="E62" i="3"/>
  <c r="E44" i="3"/>
  <c r="E39" i="3"/>
  <c r="E21" i="3"/>
  <c r="E12" i="3"/>
  <c r="E194" i="3"/>
  <c r="E176" i="3"/>
  <c r="E171" i="3"/>
  <c r="E162" i="3"/>
  <c r="E153" i="3"/>
  <c r="E139" i="3"/>
  <c r="E130" i="3"/>
  <c r="E121" i="3"/>
  <c r="E107" i="3"/>
  <c r="E98" i="3"/>
  <c r="E89" i="3"/>
  <c r="E80" i="3"/>
  <c r="E75" i="3"/>
  <c r="E66" i="3"/>
  <c r="E57" i="3"/>
  <c r="E48" i="3"/>
  <c r="E43" i="3"/>
  <c r="E34" i="3"/>
  <c r="E25" i="3"/>
  <c r="E16" i="3"/>
  <c r="E11" i="3"/>
  <c r="E253" i="3"/>
  <c r="E244" i="3"/>
  <c r="E239" i="3"/>
  <c r="E230" i="3"/>
  <c r="E221" i="3"/>
  <c r="E198" i="3"/>
  <c r="E189" i="3"/>
  <c r="E157" i="3"/>
  <c r="E148" i="3"/>
  <c r="E143" i="3"/>
  <c r="E134" i="3"/>
  <c r="E125" i="3"/>
  <c r="E116" i="3"/>
  <c r="E111" i="3"/>
  <c r="E102" i="3"/>
  <c r="E93" i="3"/>
  <c r="E84" i="3"/>
  <c r="E79" i="3"/>
  <c r="E61" i="3"/>
  <c r="E52" i="3"/>
  <c r="E47" i="3"/>
  <c r="E29" i="3"/>
  <c r="E15" i="3"/>
  <c r="E339" i="3"/>
  <c r="E321" i="3"/>
  <c r="E312" i="3"/>
  <c r="E298" i="3"/>
  <c r="E248" i="3"/>
  <c r="E243" i="3"/>
  <c r="E225" i="3"/>
  <c r="E216" i="3"/>
  <c r="E211" i="3"/>
  <c r="E184" i="3"/>
  <c r="E170" i="3"/>
  <c r="E161" i="3"/>
  <c r="E152" i="3"/>
  <c r="E147" i="3"/>
  <c r="E138" i="3"/>
  <c r="E129" i="3"/>
  <c r="E120" i="3"/>
  <c r="E106" i="3"/>
  <c r="E97" i="3"/>
  <c r="E74" i="3"/>
  <c r="E65" i="3"/>
  <c r="E56" i="3"/>
  <c r="E51" i="3"/>
  <c r="E42" i="3"/>
  <c r="E33" i="3"/>
  <c r="E19" i="3"/>
  <c r="E10" i="3"/>
  <c r="E343" i="3"/>
  <c r="E334" i="3"/>
  <c r="E325" i="3"/>
  <c r="E311" i="3"/>
  <c r="E293" i="3"/>
  <c r="E284" i="3"/>
  <c r="E270" i="3"/>
  <c r="E238" i="3"/>
  <c r="E229" i="3"/>
  <c r="E215" i="3"/>
  <c r="E206" i="3"/>
  <c r="E188" i="3"/>
  <c r="E183" i="3"/>
  <c r="E165" i="3"/>
  <c r="E156" i="3"/>
  <c r="E151" i="3"/>
  <c r="E142" i="3"/>
  <c r="E133" i="3"/>
  <c r="E124" i="3"/>
  <c r="E119" i="3"/>
  <c r="E110" i="3"/>
  <c r="E92" i="3"/>
  <c r="E87" i="3"/>
  <c r="E78" i="3"/>
  <c r="E69" i="3"/>
  <c r="E55" i="3"/>
  <c r="E46" i="3"/>
  <c r="E37" i="3"/>
  <c r="E28" i="3"/>
  <c r="E14" i="3"/>
  <c r="E5" i="3"/>
  <c r="E4" i="3"/>
  <c r="E3" i="3"/>
  <c r="E2" i="3"/>
  <c r="F763" i="3"/>
  <c r="F789" i="3"/>
  <c r="F715" i="3"/>
  <c r="F731" i="3"/>
  <c r="F739" i="3"/>
  <c r="F757" i="3"/>
  <c r="F827" i="3"/>
  <c r="F787" i="3"/>
  <c r="F755" i="3"/>
  <c r="F797" i="3"/>
  <c r="F795" i="3"/>
  <c r="F773" i="3"/>
  <c r="F775" i="3"/>
  <c r="F704" i="3"/>
  <c r="F712" i="3"/>
  <c r="F720" i="3"/>
  <c r="F744" i="3"/>
  <c r="F752" i="3"/>
  <c r="F758" i="3"/>
  <c r="F788" i="3"/>
  <c r="F820" i="3"/>
  <c r="F762" i="3"/>
  <c r="F770" i="3"/>
  <c r="F768" i="3"/>
  <c r="F792" i="3"/>
  <c r="F808" i="3"/>
  <c r="F794" i="3"/>
  <c r="F826" i="3"/>
  <c r="F842" i="3"/>
  <c r="F858" i="3"/>
  <c r="F866" i="3"/>
  <c r="F799" i="3"/>
  <c r="F831" i="3"/>
  <c r="F839" i="3"/>
  <c r="F847" i="3"/>
  <c r="F863" i="3"/>
  <c r="F785" i="3"/>
  <c r="F777" i="3"/>
  <c r="F825" i="3"/>
  <c r="F849" i="3"/>
  <c r="F857" i="3"/>
  <c r="F865" i="3"/>
  <c r="F824" i="3"/>
  <c r="F832" i="3"/>
  <c r="F840" i="3"/>
  <c r="F848" i="3"/>
  <c r="F774" i="3"/>
  <c r="F790" i="3"/>
  <c r="F798" i="3"/>
  <c r="F806" i="3"/>
  <c r="F830" i="3"/>
  <c r="F846" i="3"/>
  <c r="F854" i="3"/>
  <c r="F862" i="3"/>
  <c r="F829" i="3"/>
  <c r="F837" i="3"/>
  <c r="F845" i="3"/>
  <c r="F861" i="3"/>
  <c r="F2" i="5" l="1"/>
  <c r="F793" i="3"/>
  <c r="F810" i="3"/>
  <c r="F822" i="3"/>
  <c r="F688" i="3"/>
  <c r="F4" i="1"/>
  <c r="F46" i="1"/>
  <c r="F94" i="1"/>
  <c r="F100" i="1"/>
  <c r="F276" i="1"/>
  <c r="F37" i="1"/>
  <c r="F90" i="1"/>
  <c r="F143" i="1"/>
  <c r="F160" i="1"/>
  <c r="F309" i="1"/>
  <c r="F771" i="3"/>
  <c r="F761" i="3"/>
  <c r="F724" i="3"/>
  <c r="F809" i="3"/>
  <c r="F701" i="3"/>
  <c r="F648" i="3"/>
  <c r="F750" i="3"/>
  <c r="F749" i="3"/>
  <c r="F657" i="3"/>
  <c r="F578" i="3"/>
  <c r="F514" i="3"/>
  <c r="F765" i="3"/>
  <c r="F725" i="3"/>
  <c r="F647" i="3"/>
  <c r="F529" i="3"/>
  <c r="F475" i="3"/>
  <c r="F548" i="3"/>
  <c r="F713" i="3"/>
  <c r="F571" i="3"/>
  <c r="F474" i="3"/>
  <c r="F420" i="3"/>
  <c r="F356" i="3"/>
  <c r="F196" i="3"/>
  <c r="F669" i="3"/>
  <c r="F590" i="3"/>
  <c r="F607" i="3"/>
  <c r="F517" i="3"/>
  <c r="F359" i="3"/>
  <c r="F241" i="3"/>
  <c r="F201" i="3"/>
  <c r="F148" i="3"/>
  <c r="F84" i="3"/>
  <c r="F12" i="3"/>
  <c r="F421" i="3"/>
  <c r="F682" i="3"/>
  <c r="F550" i="3"/>
  <c r="F612" i="3"/>
  <c r="F504" i="3"/>
  <c r="F431" i="3"/>
  <c r="F349" i="3"/>
  <c r="F309" i="3"/>
  <c r="F528" i="3"/>
  <c r="F486" i="3"/>
  <c r="F427" i="3"/>
  <c r="F346" i="3"/>
  <c r="F270" i="3"/>
  <c r="F230" i="3"/>
  <c r="F130" i="3"/>
  <c r="F57" i="3"/>
  <c r="F611" i="3"/>
  <c r="F485" i="3"/>
  <c r="F462" i="3"/>
  <c r="F269" i="3"/>
  <c r="F391" i="3"/>
  <c r="F297" i="3"/>
  <c r="F479" i="3"/>
  <c r="F253" i="3"/>
  <c r="F37" i="3"/>
  <c r="F87" i="3"/>
  <c r="F232" i="3"/>
  <c r="F314" i="3"/>
  <c r="F176" i="3"/>
  <c r="F119" i="3"/>
  <c r="F50" i="3"/>
  <c r="F157" i="3"/>
  <c r="F15" i="3"/>
  <c r="F13" i="3"/>
  <c r="F86" i="3"/>
  <c r="F326" i="3"/>
  <c r="F16" i="3"/>
  <c r="F183" i="3"/>
  <c r="F39" i="3"/>
  <c r="F110" i="3"/>
  <c r="F19" i="3"/>
  <c r="F78" i="3"/>
  <c r="F14" i="1"/>
  <c r="F62" i="1"/>
  <c r="F326" i="1"/>
  <c r="F162" i="1"/>
  <c r="F156" i="1"/>
  <c r="F351" i="1"/>
  <c r="F150" i="1"/>
  <c r="F232" i="1"/>
  <c r="F356" i="1"/>
  <c r="F466" i="1"/>
  <c r="F226" i="1"/>
  <c r="F315" i="1"/>
  <c r="F430" i="1"/>
  <c r="F135" i="1"/>
  <c r="F262" i="1"/>
  <c r="F338" i="1"/>
  <c r="F194" i="1"/>
  <c r="F298" i="1"/>
  <c r="F229" i="1"/>
  <c r="F334" i="1"/>
  <c r="F405" i="1"/>
  <c r="F522" i="1"/>
  <c r="F400" i="1"/>
  <c r="F523" i="1"/>
  <c r="F453" i="1"/>
  <c r="F551" i="1"/>
  <c r="F642" i="1"/>
  <c r="F478" i="1"/>
  <c r="F574" i="1"/>
  <c r="F403" i="1"/>
  <c r="F488" i="1"/>
  <c r="F570" i="1"/>
  <c r="F410" i="1"/>
  <c r="F516" i="1"/>
  <c r="F598" i="1"/>
  <c r="F469" i="1"/>
  <c r="F437" i="1"/>
  <c r="F517" i="1"/>
  <c r="F595" i="1"/>
  <c r="F682" i="1"/>
  <c r="F764" i="1"/>
  <c r="F844" i="1"/>
  <c r="F594" i="1"/>
  <c r="F687" i="1"/>
  <c r="F792" i="1"/>
  <c r="F596" i="1"/>
  <c r="F715" i="1"/>
  <c r="F820" i="1"/>
  <c r="F865" i="1"/>
  <c r="F628" i="1"/>
  <c r="F720" i="1"/>
  <c r="F798" i="1"/>
  <c r="F587" i="1"/>
  <c r="F739" i="1"/>
  <c r="F530" i="1"/>
  <c r="F712" i="1"/>
  <c r="F632" i="1"/>
  <c r="F745" i="1"/>
  <c r="F831" i="1"/>
  <c r="F776" i="1"/>
  <c r="F686" i="1"/>
  <c r="F768" i="1"/>
  <c r="F27" i="1"/>
  <c r="F92" i="1"/>
  <c r="F39" i="1"/>
  <c r="F93" i="1"/>
  <c r="F129" i="1"/>
  <c r="F222" i="1"/>
  <c r="F300" i="1"/>
  <c r="F141" i="1"/>
  <c r="F265" i="1"/>
  <c r="F373" i="1"/>
  <c r="F217" i="1"/>
  <c r="F319" i="1"/>
  <c r="F401" i="1"/>
  <c r="F56" i="1"/>
  <c r="F191" i="1"/>
  <c r="F331" i="1"/>
  <c r="F420" i="1"/>
  <c r="F165" i="1"/>
  <c r="F282" i="1"/>
  <c r="F398" i="1"/>
  <c r="F91" i="1"/>
  <c r="F200" i="1"/>
  <c r="F321" i="1"/>
  <c r="F152" i="1"/>
  <c r="F235" i="1"/>
  <c r="F153" i="1"/>
  <c r="F291" i="1"/>
  <c r="F372" i="1"/>
  <c r="F495" i="1"/>
  <c r="F586" i="1"/>
  <c r="F486" i="1"/>
  <c r="F387" i="1"/>
  <c r="F514" i="1"/>
  <c r="F601" i="1"/>
  <c r="F454" i="1"/>
  <c r="F547" i="1"/>
  <c r="F629" i="1"/>
  <c r="F468" i="1"/>
  <c r="F529" i="1"/>
  <c r="F607" i="1"/>
  <c r="F475" i="1"/>
  <c r="F557" i="1"/>
  <c r="F423" i="1"/>
  <c r="F371" i="1"/>
  <c r="F494" i="1"/>
  <c r="F572" i="1"/>
  <c r="F659" i="1"/>
  <c r="F723" i="1"/>
  <c r="F832" i="1"/>
  <c r="F767" i="1"/>
  <c r="F655" i="1"/>
  <c r="F742" i="1"/>
  <c r="F858" i="1"/>
  <c r="F692" i="1"/>
  <c r="F788" i="1"/>
  <c r="F849" i="1"/>
  <c r="F576" i="1"/>
  <c r="F688" i="1"/>
  <c r="F766" i="1"/>
  <c r="F854" i="1"/>
  <c r="F657" i="1"/>
  <c r="F866" i="1"/>
  <c r="F662" i="1"/>
  <c r="F749" i="1"/>
  <c r="F722" i="1"/>
  <c r="F795" i="1"/>
  <c r="F859" i="1"/>
  <c r="F654" i="1"/>
  <c r="F741" i="1"/>
  <c r="F10" i="1"/>
  <c r="F57" i="1"/>
  <c r="F110" i="1"/>
  <c r="F132" i="1"/>
  <c r="F308" i="1"/>
  <c r="F47" i="1"/>
  <c r="F106" i="1"/>
  <c r="F32" i="1"/>
  <c r="F192" i="1"/>
  <c r="F327" i="1"/>
  <c r="F43" i="1"/>
  <c r="F124" i="1"/>
  <c r="F50" i="1"/>
  <c r="F103" i="1"/>
  <c r="F154" i="1"/>
  <c r="F237" i="1"/>
  <c r="F340" i="1"/>
  <c r="F155" i="1"/>
  <c r="F294" i="1"/>
  <c r="F149" i="1"/>
  <c r="F231" i="1"/>
  <c r="F336" i="1"/>
  <c r="F424" i="1"/>
  <c r="F142" i="1"/>
  <c r="F218" i="1"/>
  <c r="F347" i="1"/>
  <c r="F434" i="1"/>
  <c r="F206" i="1"/>
  <c r="F303" i="1"/>
  <c r="F425" i="1"/>
  <c r="F120" i="1"/>
  <c r="F255" i="1"/>
  <c r="F333" i="1"/>
  <c r="F187" i="1"/>
  <c r="F284" i="1"/>
  <c r="F188" i="1"/>
  <c r="F323" i="1"/>
  <c r="F386" i="1"/>
  <c r="F513" i="1"/>
  <c r="F380" i="1"/>
  <c r="F500" i="1"/>
  <c r="F446" i="1"/>
  <c r="F546" i="1"/>
  <c r="F633" i="1"/>
  <c r="F473" i="1"/>
  <c r="F565" i="1"/>
  <c r="F390" i="1"/>
  <c r="F479" i="1"/>
  <c r="F552" i="1"/>
  <c r="F634" i="1"/>
  <c r="F507" i="1"/>
  <c r="F571" i="1"/>
  <c r="F450" i="1"/>
  <c r="F399" i="1"/>
  <c r="F508" i="1"/>
  <c r="F590" i="1"/>
  <c r="F673" i="1"/>
  <c r="F755" i="1"/>
  <c r="F840" i="1"/>
  <c r="F553" i="1"/>
  <c r="F669" i="1"/>
  <c r="F774" i="1"/>
  <c r="F512" i="1"/>
  <c r="F706" i="1"/>
  <c r="F811" i="1"/>
  <c r="F861" i="1"/>
  <c r="F608" i="1"/>
  <c r="F711" i="1"/>
  <c r="F789" i="1"/>
  <c r="F808" i="1"/>
  <c r="F721" i="1"/>
  <c r="F503" i="1"/>
  <c r="F703" i="1"/>
  <c r="F617" i="1"/>
  <c r="F740" i="1"/>
  <c r="F827" i="1"/>
  <c r="F867" i="1"/>
  <c r="F672" i="1"/>
  <c r="F759" i="1"/>
  <c r="F55" i="1"/>
  <c r="F243" i="1"/>
  <c r="F148" i="1"/>
  <c r="F111" i="1"/>
  <c r="F224" i="1"/>
  <c r="F332" i="1"/>
  <c r="F140" i="1"/>
  <c r="F109" i="1"/>
  <c r="F345" i="1"/>
  <c r="F238" i="1"/>
  <c r="F121" i="1"/>
  <c r="F58" i="1"/>
  <c r="F48" i="1"/>
  <c r="F49" i="1"/>
  <c r="F168" i="1"/>
  <c r="F301" i="1"/>
  <c r="F438" i="1"/>
  <c r="F3" i="1"/>
  <c r="F41" i="1"/>
  <c r="F89" i="1"/>
  <c r="F84" i="1"/>
  <c r="F244" i="1"/>
  <c r="F31" i="1"/>
  <c r="F85" i="1"/>
  <c r="F138" i="1"/>
  <c r="F128" i="1"/>
  <c r="F288" i="1"/>
  <c r="F22" i="1"/>
  <c r="F76" i="1"/>
  <c r="F34" i="1"/>
  <c r="F87" i="1"/>
  <c r="F65" i="1"/>
  <c r="F215" i="1"/>
  <c r="F293" i="1"/>
  <c r="F130" i="1"/>
  <c r="F245" i="1"/>
  <c r="F364" i="1"/>
  <c r="F198" i="1"/>
  <c r="F314" i="1"/>
  <c r="F392" i="1"/>
  <c r="F470" i="1"/>
  <c r="F184" i="1"/>
  <c r="F320" i="1"/>
  <c r="F411" i="1"/>
  <c r="F134" i="1"/>
  <c r="F268" i="1"/>
  <c r="F393" i="1"/>
  <c r="F471" i="1"/>
  <c r="F122" i="1"/>
  <c r="F240" i="1"/>
  <c r="F341" i="1"/>
  <c r="F12" i="1"/>
  <c r="F13" i="1"/>
  <c r="F114" i="1"/>
  <c r="F182" i="1"/>
  <c r="F350" i="1"/>
  <c r="F313" i="1"/>
  <c r="F157" i="1"/>
  <c r="F239" i="1"/>
  <c r="F370" i="1"/>
  <c r="F59" i="1"/>
  <c r="F352" i="1"/>
  <c r="F236" i="1"/>
  <c r="F418" i="1"/>
  <c r="F467" i="1"/>
  <c r="F588" i="1"/>
  <c r="F575" i="1"/>
  <c r="F525" i="1"/>
  <c r="F480" i="1"/>
  <c r="F444" i="1"/>
  <c r="F613" i="1"/>
  <c r="F691" i="1"/>
  <c r="F848" i="1"/>
  <c r="F701" i="1"/>
  <c r="F621" i="1"/>
  <c r="F825" i="1"/>
  <c r="F609" i="1"/>
  <c r="F717" i="1"/>
  <c r="F839" i="1"/>
  <c r="F773" i="1"/>
  <c r="F19" i="1"/>
  <c r="F126" i="1"/>
  <c r="F64" i="1"/>
  <c r="F170" i="1"/>
  <c r="F246" i="1"/>
  <c r="F360" i="1"/>
  <c r="F233" i="1"/>
  <c r="F448" i="1"/>
  <c r="F269" i="1"/>
  <c r="F201" i="1"/>
  <c r="F339" i="1"/>
  <c r="F445" i="1"/>
  <c r="F501" i="1"/>
  <c r="F67" i="1"/>
  <c r="F164" i="1"/>
  <c r="F15" i="1"/>
  <c r="F69" i="1"/>
  <c r="F61" i="1"/>
  <c r="F258" i="1"/>
  <c r="F210" i="1"/>
  <c r="F447" i="1"/>
  <c r="F145" i="1"/>
  <c r="F343" i="1"/>
  <c r="F305" i="1"/>
  <c r="F536" i="1"/>
  <c r="F541" i="1"/>
  <c r="F569" i="1"/>
  <c r="F381" i="1"/>
  <c r="F409" i="1"/>
  <c r="F497" i="1"/>
  <c r="F436" i="1"/>
  <c r="F603" i="1"/>
  <c r="F540" i="1"/>
  <c r="F787" i="1"/>
  <c r="F605" i="1"/>
  <c r="F797" i="1"/>
  <c r="F724" i="1"/>
  <c r="F785" i="1"/>
  <c r="F647" i="1"/>
  <c r="F725" i="1"/>
  <c r="F689" i="1"/>
  <c r="F771" i="1"/>
  <c r="F544" i="1"/>
  <c r="F644" i="1"/>
  <c r="F763" i="1"/>
  <c r="F562" i="1"/>
  <c r="F695" i="1"/>
  <c r="F2" i="1"/>
  <c r="F35" i="1"/>
  <c r="F78" i="1"/>
  <c r="F68" i="1"/>
  <c r="F228" i="1"/>
  <c r="F26" i="1"/>
  <c r="F79" i="1"/>
  <c r="F133" i="1"/>
  <c r="F96" i="1"/>
  <c r="F272" i="1"/>
  <c r="F17" i="1"/>
  <c r="F44" i="1"/>
  <c r="F29" i="1"/>
  <c r="F71" i="1"/>
  <c r="F125" i="1"/>
  <c r="F195" i="1"/>
  <c r="F271" i="1"/>
  <c r="F368" i="1"/>
  <c r="F223" i="1"/>
  <c r="F346" i="1"/>
  <c r="F190" i="1"/>
  <c r="F259" i="1"/>
  <c r="F383" i="1"/>
  <c r="F465" i="1"/>
  <c r="F171" i="1"/>
  <c r="F295" i="1"/>
  <c r="F388" i="1"/>
  <c r="F118" i="1"/>
  <c r="F254" i="1"/>
  <c r="F384" i="1"/>
  <c r="F462" i="1"/>
  <c r="F158" i="1"/>
  <c r="F297" i="1"/>
  <c r="F123" i="1"/>
  <c r="F221" i="1"/>
  <c r="F97" i="1"/>
  <c r="F270" i="1"/>
  <c r="F354" i="1"/>
  <c r="F451" i="1"/>
  <c r="F559" i="1"/>
  <c r="F472" i="1"/>
  <c r="F564" i="1"/>
  <c r="F487" i="1"/>
  <c r="F583" i="1"/>
  <c r="F421" i="1"/>
  <c r="F533" i="1"/>
  <c r="F606" i="1"/>
  <c r="F428" i="1"/>
  <c r="F511" i="1"/>
  <c r="F593" i="1"/>
  <c r="F449" i="1"/>
  <c r="F539" i="1"/>
  <c r="F391" i="1"/>
  <c r="F498" i="1"/>
  <c r="F476" i="1"/>
  <c r="F558" i="1"/>
  <c r="F567" i="1"/>
  <c r="F705" i="1"/>
  <c r="F810" i="1"/>
  <c r="F860" i="1"/>
  <c r="F641" i="1"/>
  <c r="F719" i="1"/>
  <c r="F824" i="1"/>
  <c r="F665" i="1"/>
  <c r="F761" i="1"/>
  <c r="F837" i="1"/>
  <c r="F862" i="1"/>
  <c r="F670" i="1"/>
  <c r="F752" i="1"/>
  <c r="F762" i="1"/>
  <c r="F637" i="1"/>
  <c r="F826" i="1"/>
  <c r="F648" i="1"/>
  <c r="F735" i="1"/>
  <c r="F690" i="1"/>
  <c r="F777" i="1"/>
  <c r="F847" i="1"/>
  <c r="F618" i="1"/>
  <c r="F718" i="1"/>
  <c r="F186" i="1"/>
  <c r="F310" i="1"/>
  <c r="F136" i="1"/>
  <c r="F227" i="1"/>
  <c r="F146" i="1"/>
  <c r="F285" i="1"/>
  <c r="F363" i="1"/>
  <c r="F481" i="1"/>
  <c r="F568" i="1"/>
  <c r="F477" i="1"/>
  <c r="F362" i="1"/>
  <c r="F496" i="1"/>
  <c r="F592" i="1"/>
  <c r="F435" i="1"/>
  <c r="F542" i="1"/>
  <c r="F611" i="1"/>
  <c r="F441" i="1"/>
  <c r="F520" i="1"/>
  <c r="F602" i="1"/>
  <c r="F455" i="1"/>
  <c r="F548" i="1"/>
  <c r="F412" i="1"/>
  <c r="F357" i="1"/>
  <c r="F485" i="1"/>
  <c r="F563" i="1"/>
  <c r="F650" i="1"/>
  <c r="F714" i="1"/>
  <c r="F819" i="1"/>
  <c r="F830" i="1"/>
  <c r="F646" i="1"/>
  <c r="F733" i="1"/>
  <c r="F812" i="1"/>
  <c r="F674" i="1"/>
  <c r="F770" i="1"/>
  <c r="F845" i="1"/>
  <c r="F790" i="1"/>
  <c r="F679" i="1"/>
  <c r="F757" i="1"/>
  <c r="F803" i="1"/>
  <c r="F652" i="1"/>
  <c r="F846" i="1"/>
  <c r="F653" i="1"/>
  <c r="F744" i="1"/>
  <c r="F713" i="1"/>
  <c r="F786" i="1"/>
  <c r="F851" i="1"/>
  <c r="F645" i="1"/>
  <c r="F727" i="1"/>
  <c r="F5" i="1"/>
  <c r="F51" i="1"/>
  <c r="F99" i="1"/>
  <c r="F116" i="1"/>
  <c r="F292" i="1"/>
  <c r="F42" i="1"/>
  <c r="F95" i="1"/>
  <c r="F16" i="1"/>
  <c r="F176" i="1"/>
  <c r="F318" i="1"/>
  <c r="F33" i="1"/>
  <c r="F108" i="1"/>
  <c r="F45" i="1"/>
  <c r="F98" i="1"/>
  <c r="F139" i="1"/>
  <c r="F230" i="1"/>
  <c r="F312" i="1"/>
  <c r="F147" i="1"/>
  <c r="F286" i="1"/>
  <c r="F102" i="1"/>
  <c r="F225" i="1"/>
  <c r="F325" i="1"/>
  <c r="F406" i="1"/>
  <c r="F86" i="1"/>
  <c r="F211" i="1"/>
  <c r="F337" i="1"/>
  <c r="F429" i="1"/>
  <c r="F199" i="1"/>
  <c r="F296" i="1"/>
  <c r="F407" i="1"/>
  <c r="F107" i="1"/>
  <c r="F248" i="1"/>
  <c r="F328" i="1"/>
  <c r="F159" i="1"/>
  <c r="F242" i="1"/>
  <c r="F161" i="1"/>
  <c r="F311" i="1"/>
  <c r="F358" i="1"/>
  <c r="F504" i="1"/>
  <c r="F344" i="1"/>
  <c r="F491" i="1"/>
  <c r="F427" i="1"/>
  <c r="F528" i="1"/>
  <c r="F624" i="1"/>
  <c r="F460" i="1"/>
  <c r="F556" i="1"/>
  <c r="F382" i="1"/>
  <c r="F474" i="1"/>
  <c r="F543" i="1"/>
  <c r="F625" i="1"/>
  <c r="F25" i="1"/>
  <c r="F73" i="1"/>
  <c r="F52" i="1"/>
  <c r="F196" i="1"/>
  <c r="F21" i="1"/>
  <c r="F74" i="1"/>
  <c r="F127" i="1"/>
  <c r="F80" i="1"/>
  <c r="F256" i="1"/>
  <c r="F11" i="1"/>
  <c r="F28" i="1"/>
  <c r="F18" i="1"/>
  <c r="F66" i="1"/>
  <c r="F119" i="1"/>
  <c r="F189" i="1"/>
  <c r="F264" i="1"/>
  <c r="F359" i="1"/>
  <c r="F216" i="1"/>
  <c r="F335" i="1"/>
  <c r="F183" i="1"/>
  <c r="F253" i="1"/>
  <c r="F369" i="1"/>
  <c r="F456" i="1"/>
  <c r="F163" i="1"/>
  <c r="F267" i="1"/>
  <c r="F379" i="1"/>
  <c r="F75" i="1"/>
  <c r="F241" i="1"/>
  <c r="F366" i="1"/>
  <c r="F457" i="1"/>
  <c r="F151" i="1"/>
  <c r="F290" i="1"/>
  <c r="F40" i="1"/>
  <c r="F214" i="1"/>
  <c r="F322" i="1"/>
  <c r="F263" i="1"/>
  <c r="F349" i="1"/>
  <c r="F432" i="1"/>
  <c r="F554" i="1"/>
  <c r="F459" i="1"/>
  <c r="F550" i="1"/>
  <c r="F482" i="1"/>
  <c r="F578" i="1"/>
  <c r="F389" i="1"/>
  <c r="F515" i="1"/>
  <c r="F597" i="1"/>
  <c r="F422" i="1"/>
  <c r="F506" i="1"/>
  <c r="F584" i="1"/>
  <c r="F442" i="1"/>
  <c r="F534" i="1"/>
  <c r="F367" i="1"/>
  <c r="F489" i="1"/>
  <c r="F458" i="1"/>
  <c r="F549" i="1"/>
  <c r="F636" i="1"/>
  <c r="F700" i="1"/>
  <c r="F796" i="1"/>
  <c r="F852" i="1"/>
  <c r="F635" i="1"/>
  <c r="F710" i="1"/>
  <c r="F806" i="1"/>
  <c r="F660" i="1"/>
  <c r="F729" i="1"/>
  <c r="F829" i="1"/>
  <c r="F842" i="1"/>
  <c r="F656" i="1"/>
  <c r="F734" i="1"/>
  <c r="F748" i="1"/>
  <c r="F630" i="1"/>
  <c r="F794" i="1"/>
  <c r="F631" i="1"/>
  <c r="F726" i="1"/>
  <c r="F667" i="1"/>
  <c r="F772" i="1"/>
  <c r="F843" i="1"/>
  <c r="F612" i="1"/>
  <c r="F704" i="1"/>
  <c r="F791" i="1"/>
  <c r="F493" i="1"/>
  <c r="F566" i="1"/>
  <c r="F431" i="1"/>
  <c r="F385" i="1"/>
  <c r="F499" i="1"/>
  <c r="F581" i="1"/>
  <c r="F668" i="1"/>
  <c r="F737" i="1"/>
  <c r="F836" i="1"/>
  <c r="F535" i="1"/>
  <c r="F664" i="1"/>
  <c r="F765" i="1"/>
  <c r="F822" i="1"/>
  <c r="F697" i="1"/>
  <c r="F793" i="1"/>
  <c r="F857" i="1"/>
  <c r="F585" i="1"/>
  <c r="F693" i="1"/>
  <c r="F775" i="1"/>
  <c r="F758" i="1"/>
  <c r="F666" i="1"/>
  <c r="F799" i="1"/>
  <c r="F671" i="1"/>
  <c r="F521" i="1"/>
  <c r="F731" i="1"/>
  <c r="F809" i="1"/>
  <c r="F863" i="1"/>
  <c r="F663" i="1"/>
  <c r="F750" i="1"/>
  <c r="F690" i="3"/>
  <c r="F729" i="3"/>
  <c r="F737" i="3"/>
  <c r="F718" i="3"/>
  <c r="F586" i="3"/>
  <c r="F522" i="3"/>
  <c r="F741" i="3"/>
  <c r="F642" i="3"/>
  <c r="F598" i="3"/>
  <c r="F547" i="3"/>
  <c r="F491" i="3"/>
  <c r="F662" i="3"/>
  <c r="F584" i="3"/>
  <c r="F557" i="3"/>
  <c r="F687" i="3"/>
  <c r="F583" i="3"/>
  <c r="F496" i="3"/>
  <c r="F428" i="3"/>
  <c r="F364" i="3"/>
  <c r="F284" i="3"/>
  <c r="F689" i="3"/>
  <c r="F592" i="3"/>
  <c r="F424" i="3"/>
  <c r="F363" i="3"/>
  <c r="F206" i="3"/>
  <c r="F156" i="3"/>
  <c r="F92" i="3"/>
  <c r="F425" i="3"/>
  <c r="F360" i="3"/>
  <c r="F636" i="3"/>
  <c r="F511" i="3"/>
  <c r="F435" i="3"/>
  <c r="F366" i="3"/>
  <c r="F313" i="3"/>
  <c r="F449" i="3"/>
  <c r="F352" i="3"/>
  <c r="F552" i="3"/>
  <c r="F495" i="3"/>
  <c r="F429" i="3"/>
  <c r="F351" i="3"/>
  <c r="F233" i="3"/>
  <c r="F143" i="3"/>
  <c r="F62" i="3"/>
  <c r="F5" i="3"/>
  <c r="F507" i="3"/>
  <c r="F434" i="3"/>
  <c r="F472" i="3"/>
  <c r="F410" i="3"/>
  <c r="F271" i="3"/>
  <c r="F406" i="3"/>
  <c r="F458" i="3"/>
  <c r="F258" i="3"/>
  <c r="F168" i="3"/>
  <c r="F107" i="3"/>
  <c r="F295" i="3"/>
  <c r="F120" i="3"/>
  <c r="F46" i="3"/>
  <c r="F218" i="3"/>
  <c r="F139" i="3"/>
  <c r="F254" i="3"/>
  <c r="F381" i="3"/>
  <c r="F122" i="3"/>
  <c r="F345" i="3"/>
  <c r="F311" i="3"/>
  <c r="F25" i="3"/>
  <c r="F47" i="3"/>
  <c r="F93" i="3"/>
  <c r="F405" i="3"/>
  <c r="F21" i="3"/>
  <c r="F186" i="3"/>
  <c r="F51" i="3"/>
  <c r="F171" i="3"/>
  <c r="F711" i="3"/>
  <c r="F748" i="3"/>
  <c r="F644" i="3"/>
  <c r="F745" i="3"/>
  <c r="F717" i="3"/>
  <c r="F630" i="3"/>
  <c r="F719" i="3"/>
  <c r="F585" i="3"/>
  <c r="F525" i="3"/>
  <c r="F722" i="3"/>
  <c r="F635" i="3"/>
  <c r="F539" i="3"/>
  <c r="F700" i="3"/>
  <c r="F549" i="3"/>
  <c r="F468" i="3"/>
  <c r="F340" i="3"/>
  <c r="F276" i="3"/>
  <c r="F188" i="3"/>
  <c r="F650" i="3"/>
  <c r="F559" i="3"/>
  <c r="F500" i="3"/>
  <c r="F411" i="3"/>
  <c r="F337" i="3"/>
  <c r="F237" i="3"/>
  <c r="F184" i="3"/>
  <c r="F140" i="3"/>
  <c r="F76" i="3"/>
  <c r="F403" i="3"/>
  <c r="F663" i="3"/>
  <c r="F542" i="3"/>
  <c r="F601" i="3"/>
  <c r="F493" i="3"/>
  <c r="F418" i="3"/>
  <c r="F344" i="3"/>
  <c r="F541" i="3"/>
  <c r="F430" i="3"/>
  <c r="F347" i="3"/>
  <c r="F446" i="3"/>
  <c r="F482" i="3"/>
  <c r="F325" i="3"/>
  <c r="F264" i="3"/>
  <c r="F221" i="3"/>
  <c r="F126" i="3"/>
  <c r="F481" i="3"/>
  <c r="F369" i="3"/>
  <c r="F459" i="3"/>
  <c r="F368" i="3"/>
  <c r="F293" i="3"/>
  <c r="F445" i="3"/>
  <c r="F358" i="3"/>
  <c r="F240" i="3"/>
  <c r="F162" i="3"/>
  <c r="F447" i="3"/>
  <c r="F114" i="3"/>
  <c r="F432" i="3"/>
  <c r="F136" i="3"/>
  <c r="F59" i="3"/>
  <c r="F225" i="3"/>
  <c r="F290" i="3"/>
  <c r="F155" i="3"/>
  <c r="F312" i="3"/>
  <c r="F43" i="3"/>
  <c r="F106" i="3"/>
  <c r="F305" i="3"/>
  <c r="F263" i="3"/>
  <c r="F11" i="3"/>
  <c r="F26" i="3"/>
  <c r="F97" i="3"/>
  <c r="F3" i="3"/>
  <c r="F182" i="3"/>
  <c r="F64" i="3"/>
  <c r="F766" i="3"/>
  <c r="F693" i="3"/>
  <c r="F634" i="3"/>
  <c r="F570" i="3"/>
  <c r="F506" i="3"/>
  <c r="F734" i="3"/>
  <c r="F637" i="3"/>
  <c r="F581" i="3"/>
  <c r="F613" i="3"/>
  <c r="F575" i="3"/>
  <c r="F535" i="3"/>
  <c r="F667" i="3"/>
  <c r="F544" i="3"/>
  <c r="F412" i="3"/>
  <c r="F332" i="3"/>
  <c r="F268" i="3"/>
  <c r="F576" i="3"/>
  <c r="F497" i="3"/>
  <c r="F407" i="3"/>
  <c r="F333" i="3"/>
  <c r="F132" i="3"/>
  <c r="F68" i="3"/>
  <c r="F4" i="3"/>
  <c r="F515" i="3"/>
  <c r="F399" i="3"/>
  <c r="F646" i="3"/>
  <c r="F540" i="3"/>
  <c r="F567" i="3"/>
  <c r="F331" i="3"/>
  <c r="F501" i="3"/>
  <c r="F400" i="3"/>
  <c r="F609" i="3"/>
  <c r="F477" i="3"/>
  <c r="F310" i="3"/>
  <c r="F109" i="3"/>
  <c r="F40" i="3"/>
  <c r="F587" i="3"/>
  <c r="F476" i="3"/>
  <c r="F320" i="3"/>
  <c r="F339" i="3"/>
  <c r="F382" i="3"/>
  <c r="F471" i="3"/>
  <c r="F262" i="3"/>
  <c r="F354" i="3"/>
  <c r="F159" i="3"/>
  <c r="F392" i="3"/>
  <c r="F190" i="3"/>
  <c r="F163" i="3"/>
  <c r="F133" i="3"/>
  <c r="F56" i="3"/>
  <c r="F256" i="3"/>
  <c r="F146" i="3"/>
  <c r="F91" i="3"/>
  <c r="F291" i="3"/>
  <c r="F27" i="3"/>
  <c r="F89" i="3"/>
  <c r="F200" i="3"/>
  <c r="F296" i="3"/>
  <c r="F42" i="3"/>
  <c r="F235" i="3"/>
  <c r="F294" i="3"/>
  <c r="F121" i="3"/>
  <c r="F14" i="3"/>
  <c r="F85" i="3"/>
  <c r="F161" i="3"/>
  <c r="F48" i="3"/>
  <c r="F759" i="3"/>
  <c r="F735" i="3"/>
  <c r="F618" i="3"/>
  <c r="F562" i="3"/>
  <c r="F673" i="3"/>
  <c r="F625" i="3"/>
  <c r="F633" i="3"/>
  <c r="F568" i="3"/>
  <c r="F512" i="3"/>
  <c r="F714" i="3"/>
  <c r="F608" i="3"/>
  <c r="F572" i="3"/>
  <c r="F659" i="3"/>
  <c r="F460" i="3"/>
  <c r="F388" i="3"/>
  <c r="F308" i="3"/>
  <c r="F706" i="3"/>
  <c r="F665" i="3"/>
  <c r="F668" i="3"/>
  <c r="F574" i="3"/>
  <c r="F494" i="3"/>
  <c r="F224" i="3"/>
  <c r="F124" i="3"/>
  <c r="F671" i="3"/>
  <c r="F632" i="3"/>
  <c r="F653" i="3"/>
  <c r="F565" i="3"/>
  <c r="F470" i="3"/>
  <c r="F387" i="3"/>
  <c r="F327" i="3"/>
  <c r="F469" i="3"/>
  <c r="F386" i="3"/>
  <c r="F603" i="3"/>
  <c r="F423" i="3"/>
  <c r="F466" i="3"/>
  <c r="F288" i="3"/>
  <c r="F248" i="3"/>
  <c r="F198" i="3"/>
  <c r="F96" i="3"/>
  <c r="F35" i="3"/>
  <c r="F606" i="3"/>
  <c r="F558" i="3"/>
  <c r="F267" i="3"/>
  <c r="F513" i="3"/>
  <c r="F315" i="3"/>
  <c r="F379" i="3"/>
  <c r="F343" i="3"/>
  <c r="F255" i="3"/>
  <c r="F422" i="3"/>
  <c r="F243" i="3"/>
  <c r="F336" i="3"/>
  <c r="F153" i="3"/>
  <c r="F350" i="3"/>
  <c r="F80" i="3"/>
  <c r="F328" i="3"/>
  <c r="F154" i="3"/>
  <c r="F127" i="3"/>
  <c r="F214" i="3"/>
  <c r="F229" i="3"/>
  <c r="F238" i="3"/>
  <c r="F17" i="3"/>
  <c r="F217" i="3"/>
  <c r="F34" i="3"/>
  <c r="F195" i="3"/>
  <c r="F362" i="3"/>
  <c r="F74" i="3"/>
  <c r="F338" i="3"/>
  <c r="F158" i="3"/>
  <c r="F742" i="3"/>
  <c r="F670" i="3"/>
  <c r="F602" i="3"/>
  <c r="F554" i="3"/>
  <c r="F660" i="3"/>
  <c r="F621" i="3"/>
  <c r="F727" i="3"/>
  <c r="F629" i="3"/>
  <c r="F564" i="3"/>
  <c r="F508" i="3"/>
  <c r="F569" i="3"/>
  <c r="F523" i="3"/>
  <c r="F534" i="3"/>
  <c r="F444" i="3"/>
  <c r="F380" i="3"/>
  <c r="F300" i="3"/>
  <c r="F244" i="3"/>
  <c r="F705" i="3"/>
  <c r="F655" i="3"/>
  <c r="F467" i="3"/>
  <c r="F398" i="3"/>
  <c r="F215" i="3"/>
  <c r="F170" i="3"/>
  <c r="F116" i="3"/>
  <c r="F52" i="3"/>
  <c r="F390" i="3"/>
  <c r="F679" i="3"/>
  <c r="F631" i="3"/>
  <c r="F457" i="3"/>
  <c r="F383" i="3"/>
  <c r="F465" i="3"/>
  <c r="F384" i="3"/>
  <c r="F498" i="3"/>
  <c r="F617" i="3"/>
  <c r="F456" i="3"/>
  <c r="F401" i="3"/>
  <c r="F245" i="3"/>
  <c r="F79" i="3"/>
  <c r="F31" i="3"/>
  <c r="F536" i="3"/>
  <c r="F533" i="3"/>
  <c r="F334" i="3"/>
  <c r="F367" i="3"/>
  <c r="F231" i="3"/>
  <c r="F323" i="3"/>
  <c r="F192" i="3"/>
  <c r="F150" i="3"/>
  <c r="F138" i="3"/>
  <c r="F71" i="3"/>
  <c r="F303" i="3"/>
  <c r="F151" i="3"/>
  <c r="F118" i="3"/>
  <c r="F341" i="3"/>
  <c r="F191" i="3"/>
  <c r="F227" i="3"/>
  <c r="F134" i="3"/>
  <c r="F45" i="3"/>
  <c r="F211" i="3"/>
  <c r="F10" i="3"/>
  <c r="F73" i="3"/>
  <c r="F103" i="3"/>
  <c r="F18" i="3"/>
  <c r="F165" i="3"/>
  <c r="F246" i="3"/>
  <c r="F102" i="3"/>
  <c r="F222" i="3"/>
  <c r="F69" i="3"/>
  <c r="F152" i="3"/>
  <c r="F691" i="3"/>
  <c r="F723" i="3"/>
  <c r="F703" i="3"/>
  <c r="F733" i="3"/>
  <c r="F740" i="3"/>
  <c r="F672" i="3"/>
  <c r="F764" i="3"/>
  <c r="F721" i="3"/>
  <c r="F594" i="3"/>
  <c r="F546" i="3"/>
  <c r="F767" i="3"/>
  <c r="F772" i="3"/>
  <c r="F654" i="3"/>
  <c r="F710" i="3"/>
  <c r="F596" i="3"/>
  <c r="F566" i="3"/>
  <c r="F695" i="3"/>
  <c r="F597" i="3"/>
  <c r="F292" i="3"/>
  <c r="F236" i="3"/>
  <c r="F726" i="3"/>
  <c r="F652" i="3"/>
  <c r="F553" i="3"/>
  <c r="F441" i="3"/>
  <c r="F393" i="3"/>
  <c r="F285" i="3"/>
  <c r="F108" i="3"/>
  <c r="F44" i="3"/>
  <c r="F674" i="3"/>
  <c r="F442" i="3"/>
  <c r="F453" i="3"/>
  <c r="F322" i="3"/>
  <c r="F455" i="3"/>
  <c r="F489" i="3"/>
  <c r="F556" i="3"/>
  <c r="F454" i="3"/>
  <c r="F385" i="3"/>
  <c r="F282" i="3"/>
  <c r="F242" i="3"/>
  <c r="F160" i="3"/>
  <c r="F521" i="3"/>
  <c r="F488" i="3"/>
  <c r="F286" i="3"/>
  <c r="F321" i="3"/>
  <c r="F520" i="3"/>
  <c r="F357" i="3"/>
  <c r="F226" i="3"/>
  <c r="F187" i="3"/>
  <c r="F141" i="3"/>
  <c r="F319" i="3"/>
  <c r="F129" i="3"/>
  <c r="F145" i="3"/>
  <c r="F99" i="3"/>
  <c r="F189" i="3"/>
  <c r="F128" i="3"/>
  <c r="F32" i="3"/>
  <c r="F409" i="3"/>
  <c r="F61" i="3"/>
  <c r="F75" i="3"/>
  <c r="F111" i="3"/>
  <c r="F65" i="3"/>
  <c r="F223" i="3"/>
  <c r="F95" i="3"/>
  <c r="F194" i="3"/>
  <c r="F55" i="3"/>
  <c r="F149" i="3"/>
  <c r="F33" i="3"/>
  <c r="F656" i="3"/>
  <c r="F530" i="3"/>
  <c r="F645" i="3"/>
  <c r="F595" i="3"/>
  <c r="F686" i="3"/>
  <c r="F624" i="3"/>
  <c r="F551" i="3"/>
  <c r="F499" i="3"/>
  <c r="F664" i="3"/>
  <c r="F593" i="3"/>
  <c r="F563" i="3"/>
  <c r="F692" i="3"/>
  <c r="F588" i="3"/>
  <c r="F503" i="3"/>
  <c r="F436" i="3"/>
  <c r="F372" i="3"/>
  <c r="F228" i="3"/>
  <c r="F697" i="3"/>
  <c r="F605" i="3"/>
  <c r="F628" i="3"/>
  <c r="F543" i="3"/>
  <c r="F437" i="3"/>
  <c r="F389" i="3"/>
  <c r="F272" i="3"/>
  <c r="F210" i="3"/>
  <c r="F164" i="3"/>
  <c r="F100" i="3"/>
  <c r="F28" i="3"/>
  <c r="F641" i="3"/>
  <c r="F438" i="3"/>
  <c r="F373" i="3"/>
  <c r="F666" i="3"/>
  <c r="F516" i="3"/>
  <c r="F448" i="3"/>
  <c r="F370" i="3"/>
  <c r="F318" i="3"/>
  <c r="F451" i="3"/>
  <c r="F480" i="3"/>
  <c r="F450" i="3"/>
  <c r="F371" i="3"/>
  <c r="F239" i="3"/>
  <c r="F147" i="3"/>
  <c r="F66" i="3"/>
  <c r="F478" i="3"/>
  <c r="F487" i="3"/>
  <c r="F473" i="3"/>
  <c r="F298" i="3"/>
  <c r="F265" i="3"/>
  <c r="F135" i="3"/>
  <c r="F301" i="3"/>
  <c r="F123" i="3"/>
  <c r="F49" i="3"/>
  <c r="F142" i="3"/>
  <c r="F90" i="3"/>
  <c r="F259" i="3"/>
  <c r="F199" i="3"/>
  <c r="F125" i="3"/>
  <c r="F29" i="3"/>
  <c r="F94" i="3"/>
  <c r="F335" i="3"/>
  <c r="F98" i="3"/>
  <c r="F2" i="3"/>
  <c r="F58" i="3"/>
  <c r="F216" i="3"/>
  <c r="F67" i="3"/>
  <c r="F41" i="3"/>
  <c r="F22" i="3"/>
  <c r="F791" i="3"/>
  <c r="F776" i="3"/>
  <c r="F786" i="3"/>
  <c r="F867" i="3"/>
  <c r="F859" i="3"/>
  <c r="F851" i="3"/>
  <c r="F843" i="3"/>
  <c r="F860" i="3"/>
  <c r="F852" i="3"/>
  <c r="F844" i="3"/>
  <c r="F836" i="3"/>
  <c r="F812" i="3"/>
  <c r="F796" i="3"/>
  <c r="F819" i="3"/>
  <c r="F811" i="3"/>
  <c r="F80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<sst xmlns="http://schemas.openxmlformats.org/spreadsheetml/2006/main" count="25967" uniqueCount="2995">
  <si>
    <t>Preferred</t>
  </si>
  <si>
    <t>Non-Preferred</t>
  </si>
  <si>
    <t>clindamycin gel (generic Cleocin-T)</t>
  </si>
  <si>
    <t>azelaic acid gel</t>
  </si>
  <si>
    <t>clindamycin lotion</t>
  </si>
  <si>
    <t>CLEOCIN T (clindamycin) lotion</t>
  </si>
  <si>
    <t>clindamycin medicated swab</t>
  </si>
  <si>
    <t>CLINDACIN (clindamycin) foam</t>
  </si>
  <si>
    <t>clindamycin solution</t>
  </si>
  <si>
    <t>CLINDACIN ETZ (clindamycin) foam, medicated swab, kit</t>
  </si>
  <si>
    <t>CLARAVIS (isotretinoin)</t>
  </si>
  <si>
    <t>CLINDACIN P (clindamycin) medicated swab</t>
  </si>
  <si>
    <t>isotretinoin</t>
  </si>
  <si>
    <t>CLINDACIN PAC (clindamycin) kit</t>
  </si>
  <si>
    <t>benzoyl peroxide cleanser, gel</t>
  </si>
  <si>
    <t>CLINDAGEL (clindamycin) gel</t>
  </si>
  <si>
    <t>adapalene gel, gel w/pump</t>
  </si>
  <si>
    <t>clindamycin foam, gel</t>
  </si>
  <si>
    <t>RETIN-A (tretinoin) cream, gel</t>
  </si>
  <si>
    <t>dapsone gel</t>
  </si>
  <si>
    <t>tretinoin cream</t>
  </si>
  <si>
    <t>ERY (erythromycin) medicated swab</t>
  </si>
  <si>
    <t>adapalene/benzoyl peroxide gel</t>
  </si>
  <si>
    <t>ERYGEL (erythromycin) gel</t>
  </si>
  <si>
    <t>clindamycin/benzoyl peroxide 1.2(1)%-5% gel</t>
  </si>
  <si>
    <t>erythromycin gel, solution</t>
  </si>
  <si>
    <t>clindamycin/benzoyl peroxide 1%-5% gel w/pump</t>
  </si>
  <si>
    <t>EVOCLIN (clindamycin) foam</t>
  </si>
  <si>
    <t>sodium sulfacetamide w/sulfur 8%-4%, 9%-4.25%,_x000D_10-5% suspension</t>
  </si>
  <si>
    <t>KLARON (sulfacetamide) suspension</t>
  </si>
  <si>
    <t>GLASSIA</t>
  </si>
  <si>
    <t>MORGIDOX (doxycycline) kit</t>
  </si>
  <si>
    <t>PROLASTIN C</t>
  </si>
  <si>
    <t>sulfacetamide sodium suspension</t>
  </si>
  <si>
    <t>donepezil 5 mg, 10 mg ODT, tablets</t>
  </si>
  <si>
    <t>WINLEVI (clascoterone) cream</t>
  </si>
  <si>
    <t>galantamine</t>
  </si>
  <si>
    <t>ABSORBICA (isotretinoin)</t>
  </si>
  <si>
    <t>galantamine ER</t>
  </si>
  <si>
    <t>ABSORBICA LD (isotretinoin)</t>
  </si>
  <si>
    <t>rivastigmine</t>
  </si>
  <si>
    <t>BPO towelette</t>
  </si>
  <si>
    <t>memantine</t>
  </si>
  <si>
    <t>adapalene cream</t>
  </si>
  <si>
    <t>acetaminophen/caffeine/dihydrocodeine</t>
  </si>
  <si>
    <t>AKLIEF (trifarotene) cream</t>
  </si>
  <si>
    <t>acetaminophen/codeine</t>
  </si>
  <si>
    <t>ALTRENO (tretinoin) lotion</t>
  </si>
  <si>
    <t>codeine</t>
  </si>
  <si>
    <t>ARAZLO (tazarotene) lotion</t>
  </si>
  <si>
    <t>ENDOCET (oxycodone/acetaminophen)</t>
  </si>
  <si>
    <t>ATRALIN (tretinoin) gel</t>
  </si>
  <si>
    <t>hydrocodone/acetaminophen</t>
  </si>
  <si>
    <t>DIFFERIN (adapalene) cream, gel, gel w/pump, lotion</t>
  </si>
  <si>
    <t>hydromorphone</t>
  </si>
  <si>
    <t>FABIOR (tazarotene) foam</t>
  </si>
  <si>
    <t>morphine sulfate</t>
  </si>
  <si>
    <t>RETIN-A MICRO (tretinoin) gel</t>
  </si>
  <si>
    <t>oxycodone</t>
  </si>
  <si>
    <t>RETIN-A MICRO PUMP (tretinoin) gel w/pump</t>
  </si>
  <si>
    <t>oxycodone/acetaminophen (325 mg acetaminophen_x000D_formulations)</t>
  </si>
  <si>
    <t>tretinoin gel</t>
  </si>
  <si>
    <t>tramadol 50 mg tablet</t>
  </si>
  <si>
    <t>tretinoin microsphere gel, gel w/pump</t>
  </si>
  <si>
    <t>tramadol/acetaminophen</t>
  </si>
  <si>
    <t>ACANYA (benzoyl peroxide/clindamycin) gel</t>
  </si>
  <si>
    <t>BUTRANS (buprenorphine)</t>
  </si>
  <si>
    <t>BENZAMYCIN (benzoyl peroxide/erythromycin) gel</t>
  </si>
  <si>
    <t>fentanyl patch</t>
  </si>
  <si>
    <t>CABTREO (clindamycin/adapalene/benzoyl peroxide) gel</t>
  </si>
  <si>
    <t>morphine sulfate ER tablet</t>
  </si>
  <si>
    <t>CLEANSING WASH (sulfacetamide sodium/sulfur/urea)_x000D_cleanser</t>
  </si>
  <si>
    <t>lidocaine 4% cream, patch, solution</t>
  </si>
  <si>
    <t>clindamycin phosphate/benzoyl peroxide 1.2%-2.5% gel</t>
  </si>
  <si>
    <t>lidocaine 5% cream, ointment, patch</t>
  </si>
  <si>
    <t>clindamycin phosphate/tretinoin 1.2%-0.025% gel</t>
  </si>
  <si>
    <t>lidocaine 40 mg/mL solution</t>
  </si>
  <si>
    <t>clindamycin/benzoyl peroxide 1%-5% gel</t>
  </si>
  <si>
    <t>lidocaine/prilocaine cream</t>
  </si>
  <si>
    <t>clindamycin/benzoyl peroxide 1.2%-3.75% gel w/pump_x000D_(generic Onexton)</t>
  </si>
  <si>
    <t>TRIDACAINE (lidocaine) patch</t>
  </si>
  <si>
    <t>EPIDUO FORTE (adapalene/benzoyl peroxide) gel</t>
  </si>
  <si>
    <t>TRIDACAINE XL (lidocaine) patch</t>
  </si>
  <si>
    <t>erythromycin/benzoyl peroxide gel</t>
  </si>
  <si>
    <t>ULTRA LIDO (lidocaine) cream, gel</t>
  </si>
  <si>
    <t>NEUAC (benzoyl peroxide/clindamycin) cream, gel</t>
  </si>
  <si>
    <t>ZTLIDO (lidocaine)</t>
  </si>
  <si>
    <t>ONEXTON (benzoyl peroxide/clindamycin) gel</t>
  </si>
  <si>
    <t>benazepril</t>
  </si>
  <si>
    <t>sodium sulfacetamide w/sulfur 8%-4% cleanser</t>
  </si>
  <si>
    <t>captopril</t>
  </si>
  <si>
    <t>sodium sulfacetamide w/sulfur 10%-2% cream</t>
  </si>
  <si>
    <t>enalapril</t>
  </si>
  <si>
    <t>sodium sulfacetamide w/sulfur 10%-5% cream, lotion</t>
  </si>
  <si>
    <t>fosinopril</t>
  </si>
  <si>
    <t>SSS (sodium sulfacetamide/sulfur)10-5 cream, foam</t>
  </si>
  <si>
    <t>lisinopril</t>
  </si>
  <si>
    <t>TWYNEO (benzoyl peroxide/tretinoin) cream</t>
  </si>
  <si>
    <t>quinapril</t>
  </si>
  <si>
    <t>ZIANA (clindamycin/tretinoin) gel</t>
  </si>
  <si>
    <t>ramipril</t>
  </si>
  <si>
    <t>ZMA CLEAR (sodium sulfacetamide/sulfur) suspension</t>
  </si>
  <si>
    <t>trandolapril</t>
  </si>
  <si>
    <t>ADLARITY (donepezil)</t>
  </si>
  <si>
    <t>benazepril/amlodipine</t>
  </si>
  <si>
    <t>ARICEPT (donepezil)</t>
  </si>
  <si>
    <t>benazepril/hydrochlorothiazide</t>
  </si>
  <si>
    <t>donepezil 23 mg tablet</t>
  </si>
  <si>
    <t>captopril/hydrochlorothiazide</t>
  </si>
  <si>
    <t>EXELON (rivastigmine)</t>
  </si>
  <si>
    <t>enalapril/hydrochlorothiazide</t>
  </si>
  <si>
    <t>memantine ER</t>
  </si>
  <si>
    <t>fosinopril/hydrochlorothiazide</t>
  </si>
  <si>
    <t>NAMENDA (memantine)</t>
  </si>
  <si>
    <t>lisinopril/hydrochlorothiazide</t>
  </si>
  <si>
    <t>NAMENDA XR (memantine)</t>
  </si>
  <si>
    <t>quinapril/hydrochlorothiazide</t>
  </si>
  <si>
    <t>NAMZARIC (memantine/donepezil)</t>
  </si>
  <si>
    <t>trandolapril/verapamil ER</t>
  </si>
  <si>
    <t>memantine/donepezil ERNR</t>
  </si>
  <si>
    <t>irbesartan</t>
  </si>
  <si>
    <t>ACTIQ (fentanyl)</t>
  </si>
  <si>
    <t>losartan</t>
  </si>
  <si>
    <t>aspirin/butalbital/caffeine/codeine</t>
  </si>
  <si>
    <t>olmesartan</t>
  </si>
  <si>
    <t>butalbital/acetaminophen/caffeine/codeine</t>
  </si>
  <si>
    <t>telmisartan</t>
  </si>
  <si>
    <t>butorphanol</t>
  </si>
  <si>
    <t>valsartan tablet</t>
  </si>
  <si>
    <t>DILAUDID (hydromorphone)</t>
  </si>
  <si>
    <t>irbesartan/hydrochlorothiazide</t>
  </si>
  <si>
    <t>DSUVIA (sufentanil)</t>
  </si>
  <si>
    <t>losartan/hydrochlorothiazide</t>
  </si>
  <si>
    <t>fentanyl citrate</t>
  </si>
  <si>
    <t>olmesartan/amlodipine</t>
  </si>
  <si>
    <t>FENTORA (fentanyl)</t>
  </si>
  <si>
    <t>olmesartan/hydrochlorothiazide</t>
  </si>
  <si>
    <t>FIORICET W/CODEINE (butalbital/acetaminophen/codeine)</t>
  </si>
  <si>
    <t>telmisartan/hydrochlorothiazide</t>
  </si>
  <si>
    <t>hydrocodone/ibuprofen</t>
  </si>
  <si>
    <t>valsartan/amlodipine</t>
  </si>
  <si>
    <t>meperidine</t>
  </si>
  <si>
    <t>valsartan/amlodipine/hydrochlorothiazide</t>
  </si>
  <si>
    <t>NALOCET (oxycodone/acetaminophen)</t>
  </si>
  <si>
    <t>valsartan/hydrochlorothiazide</t>
  </si>
  <si>
    <t>levorphanol</t>
  </si>
  <si>
    <t>valsartan/sacubitril</t>
  </si>
  <si>
    <t>oxymorphone</t>
  </si>
  <si>
    <t>TEKTURNA HCT (aliskiren/hydrochlorothiazide)</t>
  </si>
  <si>
    <t>pentazocine/naloxone</t>
  </si>
  <si>
    <t>metronidazole tablet</t>
  </si>
  <si>
    <t>PERCOCET (oxycodone/acetaminophen)</t>
  </si>
  <si>
    <t>neomycin</t>
  </si>
  <si>
    <t>PROLATE (oxycodone/acetaminophen)</t>
  </si>
  <si>
    <t>tindazole</t>
  </si>
  <si>
    <t>ROXICODONE (oxycodone)</t>
  </si>
  <si>
    <t>vancomycin oral solution</t>
  </si>
  <si>
    <t>ROXYBOND (oxycodone)</t>
  </si>
  <si>
    <t>clindamycin</t>
  </si>
  <si>
    <t>SEGLENTIS (tramadol/celecoxib)</t>
  </si>
  <si>
    <t>azithromycin</t>
  </si>
  <si>
    <t>tramadol 25 mg, 75 mg, 100 mg tablet</t>
  </si>
  <si>
    <t>clarithromycin</t>
  </si>
  <si>
    <t>tramadol solution</t>
  </si>
  <si>
    <t>clarithromycin ER</t>
  </si>
  <si>
    <t>BELBUCA (buprenorphine)</t>
  </si>
  <si>
    <t>E.E.S (erythromycin ethylsuccinate) suspension</t>
  </si>
  <si>
    <t>buprenorphine patch</t>
  </si>
  <si>
    <t>ERY-TAB (erythromycin)</t>
  </si>
  <si>
    <t>CONZIP (tramadol)</t>
  </si>
  <si>
    <t>erythromycin</t>
  </si>
  <si>
    <t>hydrocodone bitartrate ER</t>
  </si>
  <si>
    <t>erythromycin ethylsuccinate</t>
  </si>
  <si>
    <t>hydromorphone ER</t>
  </si>
  <si>
    <t>nitrofurantoin monohydrate macrocrystals</t>
  </si>
  <si>
    <t>HYSINGLA ER (hydrocodone)</t>
  </si>
  <si>
    <t>nitrofurantoin suspension</t>
  </si>
  <si>
    <t>methadone</t>
  </si>
  <si>
    <t>ZYVOX (linezolid)</t>
  </si>
  <si>
    <t>methadone intensol</t>
  </si>
  <si>
    <t>bacitracin/polymyxin OTC</t>
  </si>
  <si>
    <t>METHADOSE (methadone)</t>
  </si>
  <si>
    <t>gentamicin sulfate</t>
  </si>
  <si>
    <t>morphine sulfate ER capsule</t>
  </si>
  <si>
    <t>mupirocin ointment</t>
  </si>
  <si>
    <t>MS CONTIN (morphine)</t>
  </si>
  <si>
    <t>neomycin/bacitracin/polymyxin OTC</t>
  </si>
  <si>
    <t>oxycodone ER</t>
  </si>
  <si>
    <t>CLEOCIN (clindamycin)</t>
  </si>
  <si>
    <t>OXYCONTIN (oxycodone)</t>
  </si>
  <si>
    <t>NUVESSA (metronidazole)</t>
  </si>
  <si>
    <t>oxymorphone ER</t>
  </si>
  <si>
    <t>LOVENOX (enoxaparin)</t>
  </si>
  <si>
    <t>tramadol ER</t>
  </si>
  <si>
    <t>JANTOVEN (warfarin)</t>
  </si>
  <si>
    <t>DERMACINRX LIDOCAN (lidocaine)</t>
  </si>
  <si>
    <t>PRADAXA (dabigatran) capsule</t>
  </si>
  <si>
    <t>DERMACINRX LIDOGEL (lidocaine)</t>
  </si>
  <si>
    <t>warfarin</t>
  </si>
  <si>
    <t>DERMACINRX LIDOREX (lidocaine)</t>
  </si>
  <si>
    <t>carbamazepine ER 12-hour capsule</t>
  </si>
  <si>
    <t>diclofenac epolamine</t>
  </si>
  <si>
    <t>DEPAKOTE ER (divalproex)</t>
  </si>
  <si>
    <t>diclofenac sodium 2% solution pump</t>
  </si>
  <si>
    <t>DEPAKOTE SPRINKLE (divalproex)</t>
  </si>
  <si>
    <t>DICLOGEN (diclofenac/menthol/camphor) kit</t>
  </si>
  <si>
    <t>divalproex</t>
  </si>
  <si>
    <t>DOLOGESIC PAIN RELIEF (lidocaine)</t>
  </si>
  <si>
    <t>divalproex ER</t>
  </si>
  <si>
    <t>LIDAFLEX (lidocaine)</t>
  </si>
  <si>
    <t>divalproex sprinkle</t>
  </si>
  <si>
    <t>lidocaine 3% cream</t>
  </si>
  <si>
    <t>EPIDIOLEX (cannabidiol)</t>
  </si>
  <si>
    <t>lidocaine 4% kit, liquid</t>
  </si>
  <si>
    <t>lacosamide</t>
  </si>
  <si>
    <t>lidocaine/hydrocortisone</t>
  </si>
  <si>
    <t>lamotrigine</t>
  </si>
  <si>
    <t>lidocaine/prilocaine kit</t>
  </si>
  <si>
    <t>lamotrigine blue, green, orange dose pack</t>
  </si>
  <si>
    <t>LIDOCAN II, III, IV, V (lidocaine)</t>
  </si>
  <si>
    <t>levetiracetam</t>
  </si>
  <si>
    <t>LIDOCORT (lidocaine/hydrocortisone)</t>
  </si>
  <si>
    <t>levetiracetam ER</t>
  </si>
  <si>
    <t>LIDODERM (lidocaine)</t>
  </si>
  <si>
    <t>oxcarbazepine tablet</t>
  </si>
  <si>
    <t>LIDOTRAL (lidocaine)</t>
  </si>
  <si>
    <t>tiagabine</t>
  </si>
  <si>
    <t>LIXOFEN (diclofenac)</t>
  </si>
  <si>
    <t>topiramate</t>
  </si>
  <si>
    <t>PENNSAID (diclofenac)</t>
  </si>
  <si>
    <t>topiramate sprinkle</t>
  </si>
  <si>
    <t>PLIAGLIS (lidocaine/tetracaine)</t>
  </si>
  <si>
    <t>TRILEPTAL (oxcarbazepine) suspension</t>
  </si>
  <si>
    <t>TRIDACAINE II, III (lidocaine) patch</t>
  </si>
  <si>
    <t>valproic acid</t>
  </si>
  <si>
    <t>ANDROGEL (testosterone)</t>
  </si>
  <si>
    <t>zonisamide</t>
  </si>
  <si>
    <t>JATENZO (testosterone undecanoate)</t>
  </si>
  <si>
    <t>MOTPOLY XR (lacosamide)</t>
  </si>
  <si>
    <t>NATESTO (testosterone)</t>
  </si>
  <si>
    <t>ZTALMY (ganaxolone)</t>
  </si>
  <si>
    <t>TESTIM (testosterone)</t>
  </si>
  <si>
    <t>DILANTIN (phenytoin)</t>
  </si>
  <si>
    <t>TLANDO (testosterone)</t>
  </si>
  <si>
    <t>DILANTIN-125 (phenytoin)</t>
  </si>
  <si>
    <t>VOGELXO (testosterone)</t>
  </si>
  <si>
    <t>PHENYTEK (phenytoin)</t>
  </si>
  <si>
    <t>ACCUPRIL (quinapril)</t>
  </si>
  <si>
    <t>phenytoin</t>
  </si>
  <si>
    <t>ALTACE (ramipril)</t>
  </si>
  <si>
    <t>phenytoin ER</t>
  </si>
  <si>
    <t>EPANED (enalapril)</t>
  </si>
  <si>
    <t>diazepam rectal gel</t>
  </si>
  <si>
    <t>LOTENSIN (benazepril)</t>
  </si>
  <si>
    <t>NAYZILAM (midazolam)</t>
  </si>
  <si>
    <t>Moexipril</t>
  </si>
  <si>
    <t>SYMPAZAN (clobazam)</t>
  </si>
  <si>
    <t>Perindopril</t>
  </si>
  <si>
    <t>ZARONTIN (ethosuximide)</t>
  </si>
  <si>
    <t>QBRELIS (lisinopril)</t>
  </si>
  <si>
    <t>bupropion</t>
  </si>
  <si>
    <t>VASOTEC (enalapril)</t>
  </si>
  <si>
    <t>bupropion SR</t>
  </si>
  <si>
    <t>ZESTRIL (lisinopril)</t>
  </si>
  <si>
    <t>bupropion XL</t>
  </si>
  <si>
    <t>ACCURETIC (quinapril/hydrochlorothiazide)</t>
  </si>
  <si>
    <t>mirtazapine</t>
  </si>
  <si>
    <t>LOTENSIN HCT (benazepril/hydrochlorothiazide)</t>
  </si>
  <si>
    <t>trazodone</t>
  </si>
  <si>
    <t>LOTREL (benazepril/amlodipine)</t>
  </si>
  <si>
    <t>TRINTELLIX (vortioxetine)</t>
  </si>
  <si>
    <t>VASERETIC (enalapril/hydrochlorothiazide)</t>
  </si>
  <si>
    <t>venlafaxine</t>
  </si>
  <si>
    <t>ZESTORETIC (lisinopril/hydrochlorothiazide)</t>
  </si>
  <si>
    <t>venlafaxine ER capsule</t>
  </si>
  <si>
    <t>ATACAND (candesartan)</t>
  </si>
  <si>
    <t>vilazodone</t>
  </si>
  <si>
    <t>AVAPRO (irbesartan)</t>
  </si>
  <si>
    <t>escitalopram</t>
  </si>
  <si>
    <t>BENICAR (olmesartan)</t>
  </si>
  <si>
    <t>fluoxetine capsule</t>
  </si>
  <si>
    <t>candesartan</t>
  </si>
  <si>
    <t>fluvoxamine</t>
  </si>
  <si>
    <t>COZAAR (losartan)</t>
  </si>
  <si>
    <t>paroxetine tablet</t>
  </si>
  <si>
    <t>DIOVAN (valsartan)</t>
  </si>
  <si>
    <t>paroxetine CR</t>
  </si>
  <si>
    <t>EDARBI (azilsartan)</t>
  </si>
  <si>
    <t>paroxetine ER</t>
  </si>
  <si>
    <t>eprosartan</t>
  </si>
  <si>
    <t>sertraline tablet, solution</t>
  </si>
  <si>
    <t>MICARDIS (telmisartan)</t>
  </si>
  <si>
    <t>ondansetron ODT 4 mg, 8 mg</t>
  </si>
  <si>
    <t>valsartan solution</t>
  </si>
  <si>
    <t>SANCUSO (granisetron)</t>
  </si>
  <si>
    <t>ATACAND HCT (candesartan/hydrochlorothiazide)</t>
  </si>
  <si>
    <t>DICLEGIS (doxylamine/pyridoxine)</t>
  </si>
  <si>
    <t>AVALIDE (irbesartan/hydrochlorothiazide)</t>
  </si>
  <si>
    <t>Dronabinol</t>
  </si>
  <si>
    <t>AZOR (olmesartan/hydrochlorothiazide)</t>
  </si>
  <si>
    <t>MARINOL (dronabinol)</t>
  </si>
  <si>
    <t>BENICAR HCT (olmesartan/hydrochlorothiazide)</t>
  </si>
  <si>
    <t>aprepitant</t>
  </si>
  <si>
    <t>candesartan/hydrochlorothiazide</t>
  </si>
  <si>
    <t>fluconazole</t>
  </si>
  <si>
    <t>DIOVAN-HCT (valsartan/hydrochlorothiazide)</t>
  </si>
  <si>
    <t>nystatin</t>
  </si>
  <si>
    <t>EDARBYCLOR (azilsartan/chlorthalidone)</t>
  </si>
  <si>
    <t>terbinafine</t>
  </si>
  <si>
    <t>ENTRESTO (valsartan/sacubitril) sprinkle capsule</t>
  </si>
  <si>
    <t>ciclopirox cream, gel, solution, suspension</t>
  </si>
  <si>
    <t>EXFORGE (valsartan/amlodipine)</t>
  </si>
  <si>
    <t>clotrimazole cream, solution Rx &amp; OTC</t>
  </si>
  <si>
    <t>EXFORGE HCT (valsartan/amlodipine/hydrochlorothiazide)</t>
  </si>
  <si>
    <t>econazole</t>
  </si>
  <si>
    <t>olmesartan/amlodipine/hydrochlorothiazide</t>
  </si>
  <si>
    <t>ketoconazole cream, shampoo</t>
  </si>
  <si>
    <t>telmisartan/amlodipine</t>
  </si>
  <si>
    <t>LUZU (luliconazole)</t>
  </si>
  <si>
    <t>TRIBENZOR (olmesartan/amlodipine/hydrochlorothiazide)</t>
  </si>
  <si>
    <t>miconazole cream, powder, solution OTC</t>
  </si>
  <si>
    <t>Aliskiren</t>
  </si>
  <si>
    <t>miconazole/zinc oxide/petrolatum ointment</t>
  </si>
  <si>
    <t>TEKTURNA (aliskiren)</t>
  </si>
  <si>
    <t>nystatin cream, ointment, powder</t>
  </si>
  <si>
    <t>AEMCOLO (rifamycin)</t>
  </si>
  <si>
    <t>terbinafine OTC</t>
  </si>
  <si>
    <t>DIFICID (fidaxomicin)</t>
  </si>
  <si>
    <t>tolnaftate cream, solution OTC</t>
  </si>
  <si>
    <t>FIRVANQ (vancomycin)</t>
  </si>
  <si>
    <t>clotrimazole/betamethasone cream</t>
  </si>
  <si>
    <t>FLAGYL (metronidazole)</t>
  </si>
  <si>
    <t>nystatin/triamcinolone</t>
  </si>
  <si>
    <t>LIKMEZ (metronidazole)</t>
  </si>
  <si>
    <t>clotrimazole cream OTC</t>
  </si>
  <si>
    <t>metronidazole capsule</t>
  </si>
  <si>
    <t>clotrimazole-3 cream</t>
  </si>
  <si>
    <t>nitazoxanide</t>
  </si>
  <si>
    <t>miconazole kit OTC</t>
  </si>
  <si>
    <t>paromomycin</t>
  </si>
  <si>
    <t>terconazole cream</t>
  </si>
  <si>
    <t>REBYOTA (fecal microbiota, live-jslm)</t>
  </si>
  <si>
    <t>loratadine chewable tablet, ODT, solution, tablet OTC</t>
  </si>
  <si>
    <t>VANCOCIN (vancomycin)</t>
  </si>
  <si>
    <t>levocetirizine</t>
  </si>
  <si>
    <t>vancomycin capsule</t>
  </si>
  <si>
    <t>cetirizine/pseudoephedrine</t>
  </si>
  <si>
    <t>VOWST (fecal microbio spore, live-brpk)</t>
  </si>
  <si>
    <t>loratadine/pseudoephedrine</t>
  </si>
  <si>
    <t>XIFAXAN (rifamixin)</t>
  </si>
  <si>
    <t>NURTEC ODT (rimegepant)</t>
  </si>
  <si>
    <t>UBRELVY (Ubrogepant)</t>
  </si>
  <si>
    <t>CELOCIN PEDIATRIC (clindamycin)</t>
  </si>
  <si>
    <t>IMITREX (sumatriptan)</t>
  </si>
  <si>
    <t>ERYPED (erythromycin Ethylsuccinate) suspension</t>
  </si>
  <si>
    <t>ZEMBRACE SYMTOUCH (sumatriptan)</t>
  </si>
  <si>
    <t>erythrocin stearate</t>
  </si>
  <si>
    <t>sumatriptan</t>
  </si>
  <si>
    <t>ZITHROMAX (azithromycin)</t>
  </si>
  <si>
    <t>naratriptan</t>
  </si>
  <si>
    <t>FURADANTIN (nitrofurantoin) suspension</t>
  </si>
  <si>
    <t>rizatriptan</t>
  </si>
  <si>
    <t>MACROBID (nitrofurantoin monohydrate macrocrystals)</t>
  </si>
  <si>
    <t>Linezolid</t>
  </si>
  <si>
    <t>zolmitriptan</t>
  </si>
  <si>
    <t>SIVEXTRO (tedizolid)</t>
  </si>
  <si>
    <t>zolmitriptan ODT</t>
  </si>
  <si>
    <t>CENTANY (mupirocin)</t>
  </si>
  <si>
    <t>AJOVY AUTOINJECTOR (fremanezumab-vfrm) DUR+</t>
  </si>
  <si>
    <t>CENTANY AT (mupirocin)</t>
  </si>
  <si>
    <t>AJOVY SYRINGE (fremanezumab-vfrm) DUR+</t>
  </si>
  <si>
    <t>mupirocin cream</t>
  </si>
  <si>
    <t>EMGALITY PEN (galcanezumab-gnlm) DUR+</t>
  </si>
  <si>
    <t>XEPI (ozenoxacin)</t>
  </si>
  <si>
    <t>QULIPTA (atogepant)</t>
  </si>
  <si>
    <t>clindamycin phosphate</t>
  </si>
  <si>
    <t>CAPRESLA (vandetanib)</t>
  </si>
  <si>
    <t>CLINDESSE (clindamycin)</t>
  </si>
  <si>
    <t>COMETRIQ (cabozantinib)</t>
  </si>
  <si>
    <t>SOLOSEC (secnidazole)</t>
  </si>
  <si>
    <t>COTELLIC (cobimetinib)</t>
  </si>
  <si>
    <t>XACIATO (clindamycin)</t>
  </si>
  <si>
    <t>everolimus</t>
  </si>
  <si>
    <t>ARIXTRA (fondaparinux)</t>
  </si>
  <si>
    <t>GILOTRIF (afatinib)</t>
  </si>
  <si>
    <t>Fondaparinux</t>
  </si>
  <si>
    <t>ICLUSIG (ponatinib)</t>
  </si>
  <si>
    <t>FRAGMIN (dalteparin)</t>
  </si>
  <si>
    <t>imatinib</t>
  </si>
  <si>
    <t>Dabigatran</t>
  </si>
  <si>
    <t>IMBRUVICA (ibrutinib)</t>
  </si>
  <si>
    <t>PRADAXA (dabigatran) pellet pack</t>
  </si>
  <si>
    <t>INLYTA (axitinib)</t>
  </si>
  <si>
    <t>SAVAYSA (edoxaban)</t>
  </si>
  <si>
    <t>IRESSA (gefitinib)</t>
  </si>
  <si>
    <t>APTIOM (eslicarbazine)</t>
  </si>
  <si>
    <t>JAKAFI (ruxolitinib)</t>
  </si>
  <si>
    <t>BANZEL (rufinamide)</t>
  </si>
  <si>
    <t>MEKINIST (trametinib)</t>
  </si>
  <si>
    <t>BRIVIACT (brivaracetam)</t>
  </si>
  <si>
    <t>NEXAVAR (sorafenib)</t>
  </si>
  <si>
    <t>carbamazepine ER 12-hour tablet</t>
  </si>
  <si>
    <t>ROZLYTREK (entrectinib)</t>
  </si>
  <si>
    <t>CARBATROL (carbamazepine)</t>
  </si>
  <si>
    <t>SPRYCEL (dasatinib)</t>
  </si>
  <si>
    <t>DEPAKOTE (divalproex)</t>
  </si>
  <si>
    <t>STIVARGA (regorafenib)</t>
  </si>
  <si>
    <t>DIACOMIT (stiripentol)</t>
  </si>
  <si>
    <t>SUTENT (sunitinib)</t>
  </si>
  <si>
    <t>ELEPSIA XR (levetiracetam)</t>
  </si>
  <si>
    <t>TAFINLAR (dabrafenib)</t>
  </si>
  <si>
    <t>EPRONTIA (topiramate)</t>
  </si>
  <si>
    <t>TARCEVA (erlotinib)</t>
  </si>
  <si>
    <t>EQUETRO (carbamazepine)</t>
  </si>
  <si>
    <t>TASIGNA (nilotinib)</t>
  </si>
  <si>
    <t>Felbamate</t>
  </si>
  <si>
    <t>TURALIO (pexidartinib)</t>
  </si>
  <si>
    <t>FELBATOL (felbamate)</t>
  </si>
  <si>
    <t>TYKERB (lapatinib)</t>
  </si>
  <si>
    <t>FINTEPLA (fenfluramine)</t>
  </si>
  <si>
    <t>VOTRIENT (pazopanib)</t>
  </si>
  <si>
    <t>FYCOMPA (perampanel)</t>
  </si>
  <si>
    <t>XALKORI (crizotinib)</t>
  </si>
  <si>
    <t>KEPPRA (levetiracetam)</t>
  </si>
  <si>
    <t>XTANDI (enzalutamide)</t>
  </si>
  <si>
    <t>KEPPRA XR (levetiracetam)</t>
  </si>
  <si>
    <t>ZELBORAF (vemurafenib)</t>
  </si>
  <si>
    <t>LAMICTAL (lamotrigine)</t>
  </si>
  <si>
    <t>ZYDELIG (idelalisib)</t>
  </si>
  <si>
    <t>LAMICTAL XR (lamotrigine)</t>
  </si>
  <si>
    <t>ZYKADIA (ceritinib)</t>
  </si>
  <si>
    <t>lamotrigine ER</t>
  </si>
  <si>
    <t>INQOVI (decitabine/cedazuridine)</t>
  </si>
  <si>
    <t>lamotrigine ODT</t>
  </si>
  <si>
    <t>ZEJULA (niraparib)</t>
  </si>
  <si>
    <t>lamotrigine ODT blue, green, orange dose pack</t>
  </si>
  <si>
    <t>orlistat</t>
  </si>
  <si>
    <t>oxcarbazepine suspension</t>
  </si>
  <si>
    <t>XENICAL (orlistat)</t>
  </si>
  <si>
    <t>oxcarbazepine ER</t>
  </si>
  <si>
    <t>permethrin 1% cream OTC</t>
  </si>
  <si>
    <t>OXTELLAR XR (oxcarbazepine)</t>
  </si>
  <si>
    <t>VANALICE (piperonyl butoxide/pyrethrins)</t>
  </si>
  <si>
    <t>QUDEXY XR (topiramate)</t>
  </si>
  <si>
    <t>permethrin 5% cream</t>
  </si>
  <si>
    <t>ROWEEPRA (levetiracetam)</t>
  </si>
  <si>
    <t>entacapone</t>
  </si>
  <si>
    <t>Rufinamide</t>
  </si>
  <si>
    <t>pramipexole</t>
  </si>
  <si>
    <t>SABRIL (vigabatrin)</t>
  </si>
  <si>
    <t>ropinirole</t>
  </si>
  <si>
    <t>SPRITAM (levetiracetam)</t>
  </si>
  <si>
    <t>ZELAPAR (selegiline)</t>
  </si>
  <si>
    <t>SUBVENITE (lamotrigine)</t>
  </si>
  <si>
    <t>bromocriptine</t>
  </si>
  <si>
    <t>SUBVENITE (lamotrigine) blue, green, orange dose pack</t>
  </si>
  <si>
    <t>carbidopa</t>
  </si>
  <si>
    <t>TEGRETOL (carbamazepine)</t>
  </si>
  <si>
    <t>carbidopa/levodopa tablet</t>
  </si>
  <si>
    <t>TEGRETOL XR (carbamazepine)</t>
  </si>
  <si>
    <t>carbidopa/levodopa ER</t>
  </si>
  <si>
    <t>TOPAMAX (topiramate)</t>
  </si>
  <si>
    <t>STALEVO (carbidopa/levodopa/entacapone)</t>
  </si>
  <si>
    <t>topiramate ER</t>
  </si>
  <si>
    <t>ENSTILAR (calcipotriene/betamethasone)</t>
  </si>
  <si>
    <t>TRILEPTAL (oxcarbazepine) tablet</t>
  </si>
  <si>
    <t>TACLONEX (calcipotriene/betamethasone)</t>
  </si>
  <si>
    <t>TROKENDI XR (topiramate)</t>
  </si>
  <si>
    <t>ZORYVE (roflumilast)</t>
  </si>
  <si>
    <t>Vigabatrin</t>
  </si>
  <si>
    <t>ABILIFY ASIMTUFII (aripiprazole)</t>
  </si>
  <si>
    <t>VIGADRONE (vigabatrin)</t>
  </si>
  <si>
    <t>ABILIFY MAINTENA (aripiprazole)</t>
  </si>
  <si>
    <t>VIGAFYDE (vigabatrin)</t>
  </si>
  <si>
    <t>ARISTADA (aripiprazole lauroxil)</t>
  </si>
  <si>
    <t>VIGPODER (vigabatrin)</t>
  </si>
  <si>
    <t>ARISTADA INITIO (aripiprazole lauroxil)</t>
  </si>
  <si>
    <t>VIMPAT (lacosamide)</t>
  </si>
  <si>
    <t>INVEGA HAFYERA (paliperidone)</t>
  </si>
  <si>
    <t>XCORPI (cenobamate)</t>
  </si>
  <si>
    <t>INVEGA SUSTENNA (paliperidone palmitate)</t>
  </si>
  <si>
    <t>ZONISADE (zonisamide) suspension</t>
  </si>
  <si>
    <t>INVEGA TRINZA (paliperidone)</t>
  </si>
  <si>
    <t>DIASTAT (diazepam) rectal gel</t>
  </si>
  <si>
    <t>PERSERIS (risperidone)</t>
  </si>
  <si>
    <t>LIBERVANT (diazepam)</t>
  </si>
  <si>
    <t>RISPERIDAL CONSTA (risperidone)</t>
  </si>
  <si>
    <t>ONFI (clobazam)</t>
  </si>
  <si>
    <t>UZEDY (risperidone)</t>
  </si>
  <si>
    <t>CELONTIN (methsuximide)</t>
  </si>
  <si>
    <t>asenapine</t>
  </si>
  <si>
    <t>Methsuximide</t>
  </si>
  <si>
    <t>clozapine tablet</t>
  </si>
  <si>
    <t>APLENZIN (bupropion)</t>
  </si>
  <si>
    <t>fluphenazine</t>
  </si>
  <si>
    <t>AUVELITY (bupropion/dextromethorphan)</t>
  </si>
  <si>
    <t>haloperidol</t>
  </si>
  <si>
    <t>desvenlafaxine ER</t>
  </si>
  <si>
    <t>haloperidol lactate</t>
  </si>
  <si>
    <t>EFFEXOR XR (venlafaxine)</t>
  </si>
  <si>
    <t>olanzapine</t>
  </si>
  <si>
    <t>EMSAM (selegiline)</t>
  </si>
  <si>
    <t>perphenazine</t>
  </si>
  <si>
    <t>FETZIMA (levomilnacipran)</t>
  </si>
  <si>
    <t>perphenazine/amitriptyline</t>
  </si>
  <si>
    <t>FORFIVO XL (bupropion)</t>
  </si>
  <si>
    <t>quetiapine</t>
  </si>
  <si>
    <t>MARPLAN (isocarboxazid)</t>
  </si>
  <si>
    <t>quetiapine ER</t>
  </si>
  <si>
    <t>NARDIL (phenelzine)</t>
  </si>
  <si>
    <t>risperidone</t>
  </si>
  <si>
    <t>Nefazodone</t>
  </si>
  <si>
    <t>thioridazine</t>
  </si>
  <si>
    <t>Phenelzine</t>
  </si>
  <si>
    <t>trifluoperazine</t>
  </si>
  <si>
    <t>PRISTIQ (desvenlafaxine)</t>
  </si>
  <si>
    <t>VRAYLAR (cariprazine)</t>
  </si>
  <si>
    <t>REMERON (mirtazapine)</t>
  </si>
  <si>
    <t>ziprasidone</t>
  </si>
  <si>
    <t>Tranylcypromine</t>
  </si>
  <si>
    <t>SUNLENCA (lenacapavir)</t>
  </si>
  <si>
    <t>venlafaxine ER tablet</t>
  </si>
  <si>
    <t>RUKOBIA (fostemsavir)</t>
  </si>
  <si>
    <t>VIIBRYD (vilazodone)</t>
  </si>
  <si>
    <t>CABENUVA (cabotegravir/rilpivirine)</t>
  </si>
  <si>
    <t>WELLBUTRIN SR (bupropion)</t>
  </si>
  <si>
    <t>DOVATO (dolutegravir/lamivudine)</t>
  </si>
  <si>
    <t>WELLBUTRIN XL (bupropion)</t>
  </si>
  <si>
    <t>TRUVADA (emtricitabine/tenofovir)</t>
  </si>
  <si>
    <t>ZURZUVAE (zuranolone)</t>
  </si>
  <si>
    <t>DELSTRIGO (doravirine/lamiviudine/tenofovir)</t>
  </si>
  <si>
    <t>CELEXA (citalopram)</t>
  </si>
  <si>
    <t>efavirenz/emtricitabine/tenofovir</t>
  </si>
  <si>
    <t>citalopram capsule</t>
  </si>
  <si>
    <t>ODEFSEY (emtricitabine/rilpivirine/tenofovir)</t>
  </si>
  <si>
    <t>fluoxetine solution, tablet</t>
  </si>
  <si>
    <t>KALETRA (lopinavir/ritonavir)</t>
  </si>
  <si>
    <t>fluoxetine DR capsule</t>
  </si>
  <si>
    <t>maraviroc</t>
  </si>
  <si>
    <t>fluvoxamine ER capsule</t>
  </si>
  <si>
    <t>SELZENTRY (maraviroc)</t>
  </si>
  <si>
    <t>LEXAPRO (escitalopram)</t>
  </si>
  <si>
    <t>ISENTRESS (raltegravir)</t>
  </si>
  <si>
    <t>paroxetine suspension, capsule</t>
  </si>
  <si>
    <t>VOCABRIA (cabotegravir)</t>
  </si>
  <si>
    <t>PAXIL (paroxetine)</t>
  </si>
  <si>
    <t>efavirenz</t>
  </si>
  <si>
    <t>PAXIL CR (paroxetine)</t>
  </si>
  <si>
    <t>PIFELTRO (doravirine)</t>
  </si>
  <si>
    <t>PROZAC (fluoxetine)</t>
  </si>
  <si>
    <t>abacavir</t>
  </si>
  <si>
    <t>sertraline capsule</t>
  </si>
  <si>
    <t>EMTRIVA (emtricitabine)</t>
  </si>
  <si>
    <t>ZOLOFT (sertraline)</t>
  </si>
  <si>
    <t>lamivudine</t>
  </si>
  <si>
    <t>ANZIMET (dolasetron)</t>
  </si>
  <si>
    <t>ZIAGEN (abacavir)</t>
  </si>
  <si>
    <t>Granisetron</t>
  </si>
  <si>
    <t>zidovudine</t>
  </si>
  <si>
    <t>ondansetron ODT 16 mg tablet</t>
  </si>
  <si>
    <t>TYBOST (cobicistat)</t>
  </si>
  <si>
    <t>AKYNZEO (netupitant/palonosetron)</t>
  </si>
  <si>
    <t>PREZISTA (darunavir)</t>
  </si>
  <si>
    <t>BONJESTA (doxylamine/pyridoxine)</t>
  </si>
  <si>
    <t>EVOTAZ (atazanavir/cobicistat)</t>
  </si>
  <si>
    <t>doxylamine/pyridoxine</t>
  </si>
  <si>
    <t>ritonavir</t>
  </si>
  <si>
    <t>EMEND (aprepitant)</t>
  </si>
  <si>
    <t>VIRACEPT (nelfinavir)</t>
  </si>
  <si>
    <t>ANCOBON (flucytosine)</t>
  </si>
  <si>
    <t>BIKTARVY (bictegravir/emtricitabine/tenofovir)</t>
  </si>
  <si>
    <t>BREXAFEMME (ibrexafungerp)</t>
  </si>
  <si>
    <t>GENVOYA (elvitegravir/cobicistat/emtricitabine/_x000D_tenofovir alafenamide)</t>
  </si>
  <si>
    <t>CRESEMBA (isavuconazoium)</t>
  </si>
  <si>
    <t>SYMFI (efavirenz/lamivudine/tenofovir)</t>
  </si>
  <si>
    <t>DIFLUCAN (fluconazole)</t>
  </si>
  <si>
    <t>SYMFI LO (efavirenz/lamivudine/tenofovir)</t>
  </si>
  <si>
    <t>Flucytosine</t>
  </si>
  <si>
    <t>TRIUMEQ (abacavir/dolutegravir/lamivudine)</t>
  </si>
  <si>
    <t>Griseofulvin</t>
  </si>
  <si>
    <t>TRIUMEQ PD (abacavir/dolutegravir/lamivudine)</t>
  </si>
  <si>
    <t>griseofulvin ultramicrosize</t>
  </si>
  <si>
    <t>valganciclovir tablet</t>
  </si>
  <si>
    <t>Itraconazole</t>
  </si>
  <si>
    <t>acyclovir</t>
  </si>
  <si>
    <t>Ketoconazole</t>
  </si>
  <si>
    <t>famciclovir</t>
  </si>
  <si>
    <t>NOXAFIL (posaconazole)</t>
  </si>
  <si>
    <t>valacyclovir</t>
  </si>
  <si>
    <t>ORAVIG (miconazole)</t>
  </si>
  <si>
    <t>XOFLUZA (baloxavir)</t>
  </si>
  <si>
    <t>Posaconazole</t>
  </si>
  <si>
    <t>ZOVIRAX (acyclovir) cream</t>
  </si>
  <si>
    <t>SPORANOX (itraconazole)</t>
  </si>
  <si>
    <t>anastrozole</t>
  </si>
  <si>
    <t>TOLSURA (itraconazole)</t>
  </si>
  <si>
    <t>exemestane</t>
  </si>
  <si>
    <t>VFEND (voriconazole)</t>
  </si>
  <si>
    <t>letrozole</t>
  </si>
  <si>
    <t>VIVJOA (oteseconazole)</t>
  </si>
  <si>
    <t>ADBRY AUTOINJECTOR (tralokinumab-ldrm)</t>
  </si>
  <si>
    <t>Voriconazole</t>
  </si>
  <si>
    <t>DUPIXENT (dupilumab) DUR+</t>
  </si>
  <si>
    <t>BENSAL HP (salicylic acid)</t>
  </si>
  <si>
    <t>ELIDEL (pimecrolimus)</t>
  </si>
  <si>
    <t>CILODAN (ciclopirox)</t>
  </si>
  <si>
    <t>EUCRISA (crisaborole) DUR+</t>
  </si>
  <si>
    <t>ciclopirox shampoo</t>
  </si>
  <si>
    <t>pimecrolimus</t>
  </si>
  <si>
    <t>clotrimazole solution (NDC 50228-0502-61)</t>
  </si>
  <si>
    <t>tacrolimus</t>
  </si>
  <si>
    <t>ERTACZO (sertaconazole)</t>
  </si>
  <si>
    <t>ASPRUZYO SPRINKLE (ranolazine)</t>
  </si>
  <si>
    <t>EXTINA (ketoconazole)</t>
  </si>
  <si>
    <t>ranolazine ER</t>
  </si>
  <si>
    <t>JUBLIA (efinaconazole)</t>
  </si>
  <si>
    <t>labetalol</t>
  </si>
  <si>
    <t>ketoconazole foam</t>
  </si>
  <si>
    <t>COREG CR (carvedilol)</t>
  </si>
  <si>
    <t>KETODAN (ketoconazole)</t>
  </si>
  <si>
    <t>atenolol/chlorthalidone</t>
  </si>
  <si>
    <t>LOPROX (ciclopirox)</t>
  </si>
  <si>
    <t>bisoprolol/hydrochlorothiazide</t>
  </si>
  <si>
    <t>Luliconazole</t>
  </si>
  <si>
    <t>metoprolol/hydrochlorothiazide</t>
  </si>
  <si>
    <t>MICOTRIN AC (clotrimazole)</t>
  </si>
  <si>
    <t>propranolol/hydrochlorothiazide</t>
  </si>
  <si>
    <t>MYCOZYL AC (clotrimazole)</t>
  </si>
  <si>
    <t>atenolol</t>
  </si>
  <si>
    <t>MYCOZYL AP (miconazole)</t>
  </si>
  <si>
    <t>bisoprolol</t>
  </si>
  <si>
    <t>naftifine</t>
  </si>
  <si>
    <t>HEMANGEOL (propranolol)</t>
  </si>
  <si>
    <t>NAFTIN (naftifine)</t>
  </si>
  <si>
    <t>metoprolol succinate</t>
  </si>
  <si>
    <t>oxiconazole</t>
  </si>
  <si>
    <t>metoprolol tartrate</t>
  </si>
  <si>
    <t>OXISTAT (oxiconazole)</t>
  </si>
  <si>
    <t>nadolol</t>
  </si>
  <si>
    <t>Tavaborole</t>
  </si>
  <si>
    <t>nebivolol</t>
  </si>
  <si>
    <t>VOTRIZA-AL (clotrimazole)</t>
  </si>
  <si>
    <t>pindolol</t>
  </si>
  <si>
    <t>VUSION (miconazole/zinc oxide/petrolatum)</t>
  </si>
  <si>
    <t>propranolol</t>
  </si>
  <si>
    <t>clotrimazole/betamethasone lotion</t>
  </si>
  <si>
    <t>propranolol ER</t>
  </si>
  <si>
    <t>3-DAY VAGINAL CREAM (clotrimazole)</t>
  </si>
  <si>
    <t>SORINE (sotalol)</t>
  </si>
  <si>
    <t>GYNAZOLE 1 (butoconazole)</t>
  </si>
  <si>
    <t>sotalol</t>
  </si>
  <si>
    <t>terconazole suppository</t>
  </si>
  <si>
    <t>sotalol AF</t>
  </si>
  <si>
    <t>cetirizine chewable tablet OTC</t>
  </si>
  <si>
    <t>CORLANOR (ivabradine)</t>
  </si>
  <si>
    <t>CLARINEX (desloratadine)</t>
  </si>
  <si>
    <t>Ivabradine</t>
  </si>
  <si>
    <t>Desloratadine</t>
  </si>
  <si>
    <t>ursodiol</t>
  </si>
  <si>
    <t>CLARINEX-D 12 HOUR (desloratadine/pseudoephedrine)</t>
  </si>
  <si>
    <t>MYRBETRIQ (mirabegron)</t>
  </si>
  <si>
    <t>fexofenadine/pseudoephedrine</t>
  </si>
  <si>
    <t>oxybutynin</t>
  </si>
  <si>
    <t>ZAVZPRET (zavegepant)</t>
  </si>
  <si>
    <t>oxybutynin ER</t>
  </si>
  <si>
    <t>solifenacin</t>
  </si>
  <si>
    <t>TOSYMRA (sumatriptan)</t>
  </si>
  <si>
    <t>ibandronate tablet</t>
  </si>
  <si>
    <t>risedronate</t>
  </si>
  <si>
    <t>ZOMIG (zolmitriptan)</t>
  </si>
  <si>
    <t>risedronate DR</t>
  </si>
  <si>
    <t>Almotriptan</t>
  </si>
  <si>
    <t>raloxifene</t>
  </si>
  <si>
    <t>Eletriptan</t>
  </si>
  <si>
    <t>finasteride</t>
  </si>
  <si>
    <t>FROVA (frovatriptan)</t>
  </si>
  <si>
    <t>PROSCAR (finasteride)</t>
  </si>
  <si>
    <t>Frovatriptan</t>
  </si>
  <si>
    <t>alfuzosin ER</t>
  </si>
  <si>
    <t>doxazosin</t>
  </si>
  <si>
    <t>MAXALT (rizatriptan)</t>
  </si>
  <si>
    <t>tamsulosin</t>
  </si>
  <si>
    <t>MAXALT MLT (rizatriptan)</t>
  </si>
  <si>
    <t>terazosin</t>
  </si>
  <si>
    <t>RELPAX (eletriptan)</t>
  </si>
  <si>
    <t>CIALIS (tadalafil)</t>
  </si>
  <si>
    <t>REYVOW (lasmiditan)</t>
  </si>
  <si>
    <t>tadalafil</t>
  </si>
  <si>
    <t>sumatriptan/naproxen</t>
  </si>
  <si>
    <t>ANORO ELLIPTA (umeclidinium/vilanterol)</t>
  </si>
  <si>
    <t>COMBIVENT RESPIMAT (ipratropium/albuterol)</t>
  </si>
  <si>
    <t>EMGALITY SYRINGE (galcanezumab-gnlm) 300 mg/mL</t>
  </si>
  <si>
    <t>ipratropium/albuterol</t>
  </si>
  <si>
    <t>VYEPTI (eptinezumab-jjmr)</t>
  </si>
  <si>
    <t>STIOLTO RESPIMAT (tiotropium/olodaterol)</t>
  </si>
  <si>
    <t>AFINITOR (everolimus)</t>
  </si>
  <si>
    <t>BREZTRI AEROSPHERE_x000D_(budesonide/glycopyrrolate/formoterol) DUR+</t>
  </si>
  <si>
    <t>AFINITOR DISPERZ (everolimus)</t>
  </si>
  <si>
    <t>TRELEGY ELLIPTA (fluticasone/umeclidinium/vilanterol)</t>
  </si>
  <si>
    <t>AKEEGA (niraparib/abiraterone)</t>
  </si>
  <si>
    <t>ATROVENT HFA (ipratropium)</t>
  </si>
  <si>
    <t>ALECENSA (alectinib)</t>
  </si>
  <si>
    <t>INCRUSE ELLIPTA (umeclidinium)</t>
  </si>
  <si>
    <t>ALUNBRIG (brigatinib)</t>
  </si>
  <si>
    <t>ipratropium</t>
  </si>
  <si>
    <t>AUGTYRO (repotrectinib)</t>
  </si>
  <si>
    <t>SPIRIVA HANDIHALER (tiotropium)</t>
  </si>
  <si>
    <t>AYVAKIT (avapritinib)</t>
  </si>
  <si>
    <t>albuterol</t>
  </si>
  <si>
    <t>BALVERSA (erdafitinib)</t>
  </si>
  <si>
    <t>SEREVENT DISKUS (salmeterol)</t>
  </si>
  <si>
    <t>BOSULIF (bosutinib) capsule</t>
  </si>
  <si>
    <t>STRIVERDI RESPIMAT (olodaterol)</t>
  </si>
  <si>
    <t>BRAFTOVI (encorafenib)</t>
  </si>
  <si>
    <t>albuterol HFA</t>
  </si>
  <si>
    <t>BRUKINSA (zanubrutinib)</t>
  </si>
  <si>
    <t>VENTOLIN HFA (albuterol)</t>
  </si>
  <si>
    <t>CABOMETYX (cabozantinib)</t>
  </si>
  <si>
    <t>terbutaline</t>
  </si>
  <si>
    <t>CALQUENCE (acalabrutinib)</t>
  </si>
  <si>
    <t>CARTIA XT (diltiazem)</t>
  </si>
  <si>
    <t>COPIKTRA (duvelisib)</t>
  </si>
  <si>
    <t>diltiazem ER 24 HR</t>
  </si>
  <si>
    <t>DANZITEN (nilotinib)</t>
  </si>
  <si>
    <t>diltiazem CD 24 HR</t>
  </si>
  <si>
    <t>Dasatinib</t>
  </si>
  <si>
    <t>diltiazem XR 24 HR</t>
  </si>
  <si>
    <t>DATROWAY (datopotamab)NR</t>
  </si>
  <si>
    <t>DILT-XR 24 HR (diltiazem)</t>
  </si>
  <si>
    <t>DAURISMO (glasdegib)</t>
  </si>
  <si>
    <t>felodipine</t>
  </si>
  <si>
    <t>ERIVEDGE (vismodegib)</t>
  </si>
  <si>
    <t>nifedipine ER</t>
  </si>
  <si>
    <t>ERLEADA (apalutamide)</t>
  </si>
  <si>
    <t>TAZTIA XT (diltiazem)</t>
  </si>
  <si>
    <t>erlotinib</t>
  </si>
  <si>
    <t>verapamil ER</t>
  </si>
  <si>
    <t>FOTIVDA (tivozanib)</t>
  </si>
  <si>
    <t>verapamil SR</t>
  </si>
  <si>
    <t>FURZAQLA (fruquintinib)</t>
  </si>
  <si>
    <t>VERELAN PM (verapamil)</t>
  </si>
  <si>
    <t>GAVRETO (pralsetinib)</t>
  </si>
  <si>
    <t>diltiazem</t>
  </si>
  <si>
    <t>gefitinib</t>
  </si>
  <si>
    <t>nicardipine</t>
  </si>
  <si>
    <t>GLEEVEC (imatinib)</t>
  </si>
  <si>
    <t>nifedipine</t>
  </si>
  <si>
    <t>IBRANCE (palbociclib)</t>
  </si>
  <si>
    <t>verapamil</t>
  </si>
  <si>
    <t>IDHIFA (enasidenib)</t>
  </si>
  <si>
    <t>BOOST (includes all Boost)</t>
  </si>
  <si>
    <t>IMKELDI (imatinib)</t>
  </si>
  <si>
    <t>BREAKFAST ESSENTIALS</t>
  </si>
  <si>
    <t>INREBIC (fedratinib)</t>
  </si>
  <si>
    <t>BRIGHT BEGINNINGS</t>
  </si>
  <si>
    <t>ITOVEBI (inavolisib)</t>
  </si>
  <si>
    <t>DUOCAL</t>
  </si>
  <si>
    <t>IWILFIN (eflornithine)</t>
  </si>
  <si>
    <t>ENSURE</t>
  </si>
  <si>
    <t>JAYPIRCA (pirtobrutinib)</t>
  </si>
  <si>
    <t>NUTREN (includes all Nutren)</t>
  </si>
  <si>
    <t>KISQALI (ribociclib)</t>
  </si>
  <si>
    <t>OSMOLITE</t>
  </si>
  <si>
    <t>KISQALI-FEMARA CO-PACK (ribociclib/letrozole)</t>
  </si>
  <si>
    <t>PEDIASURE</t>
  </si>
  <si>
    <t>KOSELUGO (selumetinib/vitamin e)</t>
  </si>
  <si>
    <t>PROMOD</t>
  </si>
  <si>
    <t>KRAZATI (adagrasib)</t>
  </si>
  <si>
    <t>RESOURCE</t>
  </si>
  <si>
    <t>lapatinib</t>
  </si>
  <si>
    <t>TWOCAL HN</t>
  </si>
  <si>
    <t>LAZCLUZE (lazertinib)</t>
  </si>
  <si>
    <t>amoxicillin/clavulanate ER</t>
  </si>
  <si>
    <t>LENVIMA (lenvatinib)</t>
  </si>
  <si>
    <t>AUGMENTIN (amoxicillin/clavulanate)</t>
  </si>
  <si>
    <t>LOBRENA (lorlatinib)</t>
  </si>
  <si>
    <t>cephalexin tablet</t>
  </si>
  <si>
    <t>LUMAKRAS (sotorasib)</t>
  </si>
  <si>
    <t>cefprozil</t>
  </si>
  <si>
    <t>LYNPARZA (olaparib)</t>
  </si>
  <si>
    <t>cefixime capsule</t>
  </si>
  <si>
    <t>LYTGOBI (futibatinib)</t>
  </si>
  <si>
    <t>NEUPOGEN (filgrastim)</t>
  </si>
  <si>
    <t>MEKTOVI (binimetinib)</t>
  </si>
  <si>
    <t>ZIEXTENZO (pegfilgratim-bmez)</t>
  </si>
  <si>
    <t>NERLYNX (neratinib)</t>
  </si>
  <si>
    <t>ENBREL (etanercept)</t>
  </si>
  <si>
    <t>NUBEQA (darolutamide)</t>
  </si>
  <si>
    <t>HUMIRA (adalimumab)</t>
  </si>
  <si>
    <t>ODOMZO (sonidegib)</t>
  </si>
  <si>
    <t>KINERET (anakinra)</t>
  </si>
  <si>
    <t>OGSIVEO (nirogacestat)</t>
  </si>
  <si>
    <t>methotrexate</t>
  </si>
  <si>
    <t>OJEMDA (tovorafenib)</t>
  </si>
  <si>
    <t>OLUMIANT (baricitinib)</t>
  </si>
  <si>
    <t>OJJAARA (momelotinib)</t>
  </si>
  <si>
    <t>OTEZLA (apremilast)</t>
  </si>
  <si>
    <t>ONUREG (azacitidine)</t>
  </si>
  <si>
    <t>RINVOQ (upadacitinib)</t>
  </si>
  <si>
    <t>ORGOVYX (relugolix)</t>
  </si>
  <si>
    <t>RINVOQ LQ (upadacitinib)</t>
  </si>
  <si>
    <t>pazopanib</t>
  </si>
  <si>
    <t>SIMPONI (golimumab)</t>
  </si>
  <si>
    <t>PEMAZYRE (pemigatinib)</t>
  </si>
  <si>
    <t>TALTZ (ixekizumab)</t>
  </si>
  <si>
    <t>PIQRAY (alpelisib)</t>
  </si>
  <si>
    <t>TYENNE (tocilizumab-aazg) syringe, vial</t>
  </si>
  <si>
    <t>QINLOCK (ripretinib)</t>
  </si>
  <si>
    <t>XELJANZ (tofacitinib) tablet</t>
  </si>
  <si>
    <t>RETEVMO (selpercatinib)</t>
  </si>
  <si>
    <t>MIRCERA (methoxy polyethylene glycol-epoetin-beta)</t>
  </si>
  <si>
    <t>REVUFORJ (revumenib)</t>
  </si>
  <si>
    <t>RETACRIT (epoetin alfa-epbx)</t>
  </si>
  <si>
    <t>REZLIDHIA (olutasidenib)</t>
  </si>
  <si>
    <t>ADVATE</t>
  </si>
  <si>
    <t>RUBRACA (rucaparib)</t>
  </si>
  <si>
    <t>AFSTYLA</t>
  </si>
  <si>
    <t>RYDAPT (midostaurin)</t>
  </si>
  <si>
    <t>ALPHANATE</t>
  </si>
  <si>
    <t>SCEMBLIX (asciminib)</t>
  </si>
  <si>
    <t>ALTUVIIIO</t>
  </si>
  <si>
    <t>sorafenib</t>
  </si>
  <si>
    <t>FEIBA</t>
  </si>
  <si>
    <t>sunitinib</t>
  </si>
  <si>
    <t>HEMOFIL M</t>
  </si>
  <si>
    <t>TABRECTA (capmatinib)</t>
  </si>
  <si>
    <t>HUMATE-P</t>
  </si>
  <si>
    <t>TAGRISSO (Osimertinib)</t>
  </si>
  <si>
    <t>KOATE</t>
  </si>
  <si>
    <t>TALZENNA (talazoparib)</t>
  </si>
  <si>
    <t>KOGENATE FS</t>
  </si>
  <si>
    <t>TAZVERIK (tazemetostat)</t>
  </si>
  <si>
    <t>KOVALTRY</t>
  </si>
  <si>
    <t>TECENTRIZ HYBREZA (atezolizumab-hayluranoidase)</t>
  </si>
  <si>
    <t>NOVOEIGHT</t>
  </si>
  <si>
    <t>TEPMETKO (tepotinib)</t>
  </si>
  <si>
    <t>NUWIQ</t>
  </si>
  <si>
    <t>TIBSOVO (ivosidenib)</t>
  </si>
  <si>
    <t>RECOMBINATE</t>
  </si>
  <si>
    <t>TORPENZ (everolimus)</t>
  </si>
  <si>
    <t>WILATE</t>
  </si>
  <si>
    <t>TRUQAP (capivasertib)</t>
  </si>
  <si>
    <t>XYNTHA, XYNTHA SOLOFUSE</t>
  </si>
  <si>
    <t>TUKYSA (tucatinib)</t>
  </si>
  <si>
    <t>ALPROLIX</t>
  </si>
  <si>
    <t>VANFLYTA (quizartinib)</t>
  </si>
  <si>
    <t>BENEFIX</t>
  </si>
  <si>
    <t>VERZENIO (abemaciclib)</t>
  </si>
  <si>
    <t>IDELVION</t>
  </si>
  <si>
    <t>VITRAKVI (larotrectinib)</t>
  </si>
  <si>
    <t>IXINITY</t>
  </si>
  <si>
    <t>VIZIMPRO (dacomitinib)</t>
  </si>
  <si>
    <t>PROFILNINE</t>
  </si>
  <si>
    <t>VONJO (pacritinib)</t>
  </si>
  <si>
    <t>FIBRYGA (fibrinogen)</t>
  </si>
  <si>
    <t>VORANIGO (vorasidenib)</t>
  </si>
  <si>
    <t>HEMLIBRA (emicizumab-kxwh) DUR+</t>
  </si>
  <si>
    <t>WELIREG (belzutifan)</t>
  </si>
  <si>
    <t>RIASTAP (fibrinogen)</t>
  </si>
  <si>
    <t>XOSPATA (gilteritinib)</t>
  </si>
  <si>
    <t>gabapentin</t>
  </si>
  <si>
    <t>XPOVIO (selinexor)</t>
  </si>
  <si>
    <t>pregabalin</t>
  </si>
  <si>
    <t>lindane</t>
  </si>
  <si>
    <t>SAVELLA (milnacipran)</t>
  </si>
  <si>
    <t>malathion</t>
  </si>
  <si>
    <t>levofloxacin tablet</t>
  </si>
  <si>
    <t>OVIDE (malathion)</t>
  </si>
  <si>
    <t>ELELYSO (taliglucerase alfa)</t>
  </si>
  <si>
    <t>SKLICE (ivermectin)</t>
  </si>
  <si>
    <t>ZAVESCA (miglustat)</t>
  </si>
  <si>
    <t>spinosad</t>
  </si>
  <si>
    <t>fluorouracil</t>
  </si>
  <si>
    <t>CROTAN (crotamiton)</t>
  </si>
  <si>
    <t>imiquimod</t>
  </si>
  <si>
    <t>ELIMITE (permethrin)</t>
  </si>
  <si>
    <t>ZYCLARA (imiquimod)</t>
  </si>
  <si>
    <t>EURAX (crotamiton)</t>
  </si>
  <si>
    <t>PEPCID (famotidine)</t>
  </si>
  <si>
    <t>STROMECTOL (ivermectin)</t>
  </si>
  <si>
    <t>CARAFATE (sucralfate) suspension</t>
  </si>
  <si>
    <t>OGENTYS (opicapone)</t>
  </si>
  <si>
    <t>misoprostol</t>
  </si>
  <si>
    <t>TASMAR (tocapone)</t>
  </si>
  <si>
    <t>sucralfate</t>
  </si>
  <si>
    <t>tolcapone</t>
  </si>
  <si>
    <t>NEXIUM (esomeprazole) packet</t>
  </si>
  <si>
    <t>NEUPRO (rotigotine)</t>
  </si>
  <si>
    <t>omeprazole</t>
  </si>
  <si>
    <t>pramipexole ER</t>
  </si>
  <si>
    <t>pantoprazole</t>
  </si>
  <si>
    <t>ropinirole ER</t>
  </si>
  <si>
    <t>ZEGERID (omeprazole/sodium bicarbonate)</t>
  </si>
  <si>
    <t>AZILECT (rasagiline)</t>
  </si>
  <si>
    <t>ASMANEX (mometasone)</t>
  </si>
  <si>
    <t>rasagiline</t>
  </si>
  <si>
    <t>budesonide 0.25 mg and 0.5 mg</t>
  </si>
  <si>
    <t>XADAGO (safinamide)</t>
  </si>
  <si>
    <t>FLOVENT DISKUS (fluticasone)</t>
  </si>
  <si>
    <t>carbidopa/levodopa ODT</t>
  </si>
  <si>
    <t>PULMICORT FLEXHALER (budesonide)</t>
  </si>
  <si>
    <t>carbidopa/levodopa/entacapone</t>
  </si>
  <si>
    <t>QVAR REDIHALER (beclomethasone)</t>
  </si>
  <si>
    <t>CREXONT (carbidopa/levodopa)</t>
  </si>
  <si>
    <t>ADVAIR HFA (fluticasone/salmeterol)</t>
  </si>
  <si>
    <t>DHIVY (carbidopa/levodopa)</t>
  </si>
  <si>
    <t>DULERA (mometasone/formoterol)</t>
  </si>
  <si>
    <t>DUOPA (carbidopa/levodopa)</t>
  </si>
  <si>
    <t>fluticasone/salmeterol diskus</t>
  </si>
  <si>
    <t>GOCOVRI (amantadine)</t>
  </si>
  <si>
    <t>fluticasone/salmeterol HFA</t>
  </si>
  <si>
    <t>INBRIJA (levodopa)</t>
  </si>
  <si>
    <t>WIXELA INHUB (fluticasone/salmeterol)</t>
  </si>
  <si>
    <t>LODOSYN (carbidopa)</t>
  </si>
  <si>
    <t>NORDITROPIN FLEXPRO (somatropin)</t>
  </si>
  <si>
    <t>NOURIANZ (istradefylline)</t>
  </si>
  <si>
    <t>SKYTROFA (lonapegsomatropin-tcgd)</t>
  </si>
  <si>
    <t>OSMOLEX ER (amantadine)</t>
  </si>
  <si>
    <t>lamiviudine HBV</t>
  </si>
  <si>
    <t>RYTARY (carbidopa/levodopa)</t>
  </si>
  <si>
    <t>tenofovir disoproxil fumarate</t>
  </si>
  <si>
    <t>SINEMET (carbidopa/levodopa)</t>
  </si>
  <si>
    <t>PEGASYS (peginterferon alfa-2a)</t>
  </si>
  <si>
    <t>calcipotriene foam, ointment, solution</t>
  </si>
  <si>
    <t>ribavirin tablet</t>
  </si>
  <si>
    <t>calcipotriene/betamethasone</t>
  </si>
  <si>
    <t>sofosbuvir/velpatasvir</t>
  </si>
  <si>
    <t>calcitriol ointment</t>
  </si>
  <si>
    <t>ZEPATIER (elbasvir/grazoprevir) ‚àû</t>
  </si>
  <si>
    <t>DUOBRII (halobetasol/tazarotene)</t>
  </si>
  <si>
    <t>icatibant</t>
  </si>
  <si>
    <t>SORILUX (calcipotriene)</t>
  </si>
  <si>
    <t>TAKHZYRO (lanadelumab-flyo)</t>
  </si>
  <si>
    <t>tazarotene</t>
  </si>
  <si>
    <t>colchicine tablet</t>
  </si>
  <si>
    <t>VECTICAL (calcitriol)</t>
  </si>
  <si>
    <t>probenecid</t>
  </si>
  <si>
    <t>VTAMA (tapinarof)</t>
  </si>
  <si>
    <t>probenecid/colchicine</t>
  </si>
  <si>
    <t>ERZOFRI (paliperidone palmitate)NR</t>
  </si>
  <si>
    <t>ZYLOPRIM (allopurinol)</t>
  </si>
  <si>
    <t>GEODON (ziprasidone)</t>
  </si>
  <si>
    <t>BAQSIMI (glucagon)</t>
  </si>
  <si>
    <t>GLUCAGEN (glucagon)</t>
  </si>
  <si>
    <t>risperidone ER</t>
  </si>
  <si>
    <t>glucagon emergency kit</t>
  </si>
  <si>
    <t>RYKINDO (risperidone)</t>
  </si>
  <si>
    <t>glucagon vial</t>
  </si>
  <si>
    <t>ZEGALOGUE (dasiglucagon)</t>
  </si>
  <si>
    <t>ZYPREXA (olanzapine)</t>
  </si>
  <si>
    <t>metformin</t>
  </si>
  <si>
    <t>ZYPREXA RELPREVV (olanzapine)</t>
  </si>
  <si>
    <t>metformin ER (generic Glucophage XR)</t>
  </si>
  <si>
    <t>ABILIFY (aripiprazole)</t>
  </si>
  <si>
    <t>JANUMET XR (sitagliptin/metformin)</t>
  </si>
  <si>
    <t>ABILIFY MYCITE (aripiprazole)</t>
  </si>
  <si>
    <t>JANUVIA (sitagliptin)</t>
  </si>
  <si>
    <t>ADASUVE (loxapine)</t>
  </si>
  <si>
    <t>JENTADUETO (linagliptin/metformin)</t>
  </si>
  <si>
    <t>aripiprazole ODT, solution</t>
  </si>
  <si>
    <t>TRADJENTA (linagliptin)</t>
  </si>
  <si>
    <t>CAPLYTA (lumateperone)</t>
  </si>
  <si>
    <t>ZITUVIO (sitagliptin)</t>
  </si>
  <si>
    <t>chlorpromazine</t>
  </si>
  <si>
    <t>BYETTA (exenatide)</t>
  </si>
  <si>
    <t>clozapine ODT</t>
  </si>
  <si>
    <t>TRULICITY (dulaglutide)</t>
  </si>
  <si>
    <t>CLOZARIL (clozapine)</t>
  </si>
  <si>
    <t>VICTOZA (liraglutide)</t>
  </si>
  <si>
    <t>COBENFY (xanomeline/trospium)NR</t>
  </si>
  <si>
    <t>HUMULIN 70/30 (insulin NPH/regular)</t>
  </si>
  <si>
    <t>FANAPT (iloperidone)</t>
  </si>
  <si>
    <t>HUMULIN N (insulin NPH)</t>
  </si>
  <si>
    <t>HUMULIN R (insulin regular)</t>
  </si>
  <si>
    <t>IGALMI (dexmedetomidine)</t>
  </si>
  <si>
    <t>HUMULIN R U-500 (insulin regular)</t>
  </si>
  <si>
    <t>INVEGA (paliperidone)</t>
  </si>
  <si>
    <t>insulin aspart</t>
  </si>
  <si>
    <t>LATUDA (lurasidone)</t>
  </si>
  <si>
    <t>insulin aspart protamine mix 70/30</t>
  </si>
  <si>
    <t>lurasidone</t>
  </si>
  <si>
    <t>insulin lispro</t>
  </si>
  <si>
    <t>LYBALVI (olanzapine/samidorphan)</t>
  </si>
  <si>
    <t>insulin lispro protamine mix 75/25</t>
  </si>
  <si>
    <t>NUPLAZID (pimavanserin)</t>
  </si>
  <si>
    <t>LANTUS (insulin glargine)</t>
  </si>
  <si>
    <t>olanzapine/fluoxetine</t>
  </si>
  <si>
    <t>TOUJEO (insulin glargine)</t>
  </si>
  <si>
    <t>OPIPZA (aripiprazole)</t>
  </si>
  <si>
    <t>TOUJEO MAX (insulin glargine)</t>
  </si>
  <si>
    <t>paliperidone ER</t>
  </si>
  <si>
    <t>FARXIGA (dapagliflozin)</t>
  </si>
  <si>
    <t>REXULTI (brexpiprazole)</t>
  </si>
  <si>
    <t>JARDIANCE (empagliflozin)</t>
  </si>
  <si>
    <t>RISPERDAL (risperidone)</t>
  </si>
  <si>
    <t>GLYXAMBI (empagliflozin/linagliptin)</t>
  </si>
  <si>
    <t>SAPHRIS (asenapine)</t>
  </si>
  <si>
    <t>SYNJARDY (empagliflozin/metformin)</t>
  </si>
  <si>
    <t>SEROQUEL (quetiapine)</t>
  </si>
  <si>
    <t>SYNJARDY XR (empagliflozin/metformin)</t>
  </si>
  <si>
    <t>SEROQUEL XR (quetiapine)</t>
  </si>
  <si>
    <t>TRIJARDY XR (empagliflozin/linagliptin/metformin)</t>
  </si>
  <si>
    <t>SYMBYAX (olanzapine/fluoxetine)</t>
  </si>
  <si>
    <t>glipizide</t>
  </si>
  <si>
    <t>VERSACLOZ (clozapine)</t>
  </si>
  <si>
    <t>glipizide ER</t>
  </si>
  <si>
    <t>glipizide XL</t>
  </si>
  <si>
    <t>ZYPREXA ZYDIS (olanzapine)</t>
  </si>
  <si>
    <t>glyburide</t>
  </si>
  <si>
    <t>SECUADO (asenapine)</t>
  </si>
  <si>
    <t>pioglitazone</t>
  </si>
  <si>
    <t>TROGARZO (ibalizumab-uiyk)</t>
  </si>
  <si>
    <t>pioglitazone/metformin</t>
  </si>
  <si>
    <t>COMBIVIR (lamivudine/zidovudine)</t>
  </si>
  <si>
    <t>ESBRIET (pirfenidone)</t>
  </si>
  <si>
    <t>EPZICOM (abacavir/lamivudine)</t>
  </si>
  <si>
    <t>pirfenidone</t>
  </si>
  <si>
    <t>ATRIPLA (efavirenz/emtricitabine/tenofovir)</t>
  </si>
  <si>
    <t>BIVIGAM</t>
  </si>
  <si>
    <t>CIMDUO (lamivudine/tenofovir)</t>
  </si>
  <si>
    <t>FLEBOGAMMA</t>
  </si>
  <si>
    <t>COMPLERA (emtricitabine/rilpivirine/tenofovir)</t>
  </si>
  <si>
    <t>GAMASTAN</t>
  </si>
  <si>
    <t>cabotegravir ER</t>
  </si>
  <si>
    <t>GAMMAGARD</t>
  </si>
  <si>
    <t>ISENTRESS HD (raltegravir)</t>
  </si>
  <si>
    <t>GAMMAGARD S-D</t>
  </si>
  <si>
    <t>etravirine</t>
  </si>
  <si>
    <t>GAMUNEX-C</t>
  </si>
  <si>
    <t>INTELENCE (etravirine)</t>
  </si>
  <si>
    <t>HIZENTRA</t>
  </si>
  <si>
    <t>nevirapine, nevirapine ER</t>
  </si>
  <si>
    <t>HYQVIA</t>
  </si>
  <si>
    <t>didanosine</t>
  </si>
  <si>
    <t>PANZYGA</t>
  </si>
  <si>
    <t>emtricitabine</t>
  </si>
  <si>
    <t>PRIVIGEN</t>
  </si>
  <si>
    <t>EPIVIR (lamivudine)</t>
  </si>
  <si>
    <t>XEMBIFY</t>
  </si>
  <si>
    <t>RETROVIR (zidovudine)</t>
  </si>
  <si>
    <t>FASENRA (benralizumab)</t>
  </si>
  <si>
    <t>stavudine</t>
  </si>
  <si>
    <t>XOLAIR (omalizumab)</t>
  </si>
  <si>
    <t>VIREAD (tenofovir disoproxil fumarate)</t>
  </si>
  <si>
    <t>AZASAN (azathioprine)</t>
  </si>
  <si>
    <t>APTIVUS (tipranavir)</t>
  </si>
  <si>
    <t>azathioprine</t>
  </si>
  <si>
    <t>darunavir</t>
  </si>
  <si>
    <t>CELLCEPT (mycophenolate)</t>
  </si>
  <si>
    <t>PREZCOBIX (darunavir/cobicistat)</t>
  </si>
  <si>
    <t>cyclosporine</t>
  </si>
  <si>
    <t>fosamprenavir</t>
  </si>
  <si>
    <t>LEXIVA (fosamprenavir)</t>
  </si>
  <si>
    <t>mycophenolate</t>
  </si>
  <si>
    <t>NORIVIR (ritonavir)</t>
  </si>
  <si>
    <t>mycophenolic acid</t>
  </si>
  <si>
    <t>REYATAZ (atazanavir)</t>
  </si>
  <si>
    <t>NEORAL (cyclosporine)</t>
  </si>
  <si>
    <t>efavirenz/lamivudine/tenofovir</t>
  </si>
  <si>
    <t>RAPAMUNE (sirolimus)</t>
  </si>
  <si>
    <t>JULUCA (dolutegravir/rilpivirine)</t>
  </si>
  <si>
    <t>SANDIMMUNE (cyclosporine)</t>
  </si>
  <si>
    <t>rilpivirine ER</t>
  </si>
  <si>
    <t>sirolimus</t>
  </si>
  <si>
    <t>STRIBILD (elvitegravir/cobicistat/emtricitabine/tenofovir_x000D_disoproxil fumarate)</t>
  </si>
  <si>
    <t>SYMTUZA (darunavir/cobicistat/emtricitabine/tenofovir_x000D_alafenamide)</t>
  </si>
  <si>
    <t>RYALTRIS (olopatadine/mometasone)</t>
  </si>
  <si>
    <t>LIVTENCITY (maribavir)</t>
  </si>
  <si>
    <t>olopatadine</t>
  </si>
  <si>
    <t>PREVYMIS (letermovir)</t>
  </si>
  <si>
    <t>PATANASE (olopatadine)</t>
  </si>
  <si>
    <t>VALCYTE (valganciclovir)</t>
  </si>
  <si>
    <t>fluticasone</t>
  </si>
  <si>
    <t>valganciclovir solution</t>
  </si>
  <si>
    <t>deferiprone 500 mg tablet</t>
  </si>
  <si>
    <t>SITAVIG (acyclovir)</t>
  </si>
  <si>
    <t>JADENU, JADENU SPRINKLE (deferasirox)</t>
  </si>
  <si>
    <t>VALTREX (valacyclovir)</t>
  </si>
  <si>
    <t>lubiprostone</t>
  </si>
  <si>
    <t>FLUMADINE (rimantadine)</t>
  </si>
  <si>
    <t>TRULANCE (plecanatide)</t>
  </si>
  <si>
    <t>RAPIVAB (peramivir)</t>
  </si>
  <si>
    <t>SYMPROIC (naldemedine)</t>
  </si>
  <si>
    <t>RELENZA (zanamivir)</t>
  </si>
  <si>
    <t>ED-SPAZ (hyoscyamine)</t>
  </si>
  <si>
    <t>rimantadine</t>
  </si>
  <si>
    <t>Hyoscyamine, hyoscyamine ER</t>
  </si>
  <si>
    <t>TAMIFLU (oseltamivir)</t>
  </si>
  <si>
    <t>HYOSYNE (hyoscyamine)</t>
  </si>
  <si>
    <t>LEVSIN, LEVSIN-SL (hyoscyamine)</t>
  </si>
  <si>
    <t>DENAVIR (penciclovir)</t>
  </si>
  <si>
    <t>NULEV (hyoscyamine)</t>
  </si>
  <si>
    <t>penciclovir</t>
  </si>
  <si>
    <t>OSCIMIN, OSCIMIN SL (hyoscyamine)</t>
  </si>
  <si>
    <t>XERESE (acyclovir/hydrocortisone)</t>
  </si>
  <si>
    <t>GATTEX (teduglutide)</t>
  </si>
  <si>
    <t>ZOVIRAX (acyclovir) ointment</t>
  </si>
  <si>
    <t>MYTESI (crofelemer)</t>
  </si>
  <si>
    <t>ARIMIDEX (anastrazole)</t>
  </si>
  <si>
    <t>montelukast</t>
  </si>
  <si>
    <t>AROMASIN (exemestane)</t>
  </si>
  <si>
    <t>zafirlukast</t>
  </si>
  <si>
    <t>FEMARA (letrozole)</t>
  </si>
  <si>
    <t>EVKEEZA (evinacumab-dgnb)</t>
  </si>
  <si>
    <t>CIBINQO (abrocitinib)</t>
  </si>
  <si>
    <t>cholestyramine light</t>
  </si>
  <si>
    <t>EBGLYSS PEN (lebrikizumab-lbkz)NR</t>
  </si>
  <si>
    <t>colestipol tablet</t>
  </si>
  <si>
    <t>OPZELURA (ruxolitinib)</t>
  </si>
  <si>
    <t>WELCHOL (colesevelam)</t>
  </si>
  <si>
    <t>ZORYVE (roflumilast) 0.15% cream</t>
  </si>
  <si>
    <t>ZETIA (ezetimibe)</t>
  </si>
  <si>
    <t>carvedilol ER</t>
  </si>
  <si>
    <t>gemfibrozil</t>
  </si>
  <si>
    <t>COREG (carvedilol)</t>
  </si>
  <si>
    <t>TRILIPIX (fenofibric acid)</t>
  </si>
  <si>
    <t>TENORETIC (atenolol/chlorthalidone)</t>
  </si>
  <si>
    <t>JUXTAPID (lomitapide)</t>
  </si>
  <si>
    <t>ZIAC (bisoprolol/hydrochlorothiazide)</t>
  </si>
  <si>
    <t>omega-3 acid ethyl esters</t>
  </si>
  <si>
    <t>BETAPACE (sotalol)</t>
  </si>
  <si>
    <t>LEQVIO (inclisiran)</t>
  </si>
  <si>
    <t>BETAPACE AF (sotalol)</t>
  </si>
  <si>
    <t>PRALUENT (alirocumab)</t>
  </si>
  <si>
    <t>betaxolol</t>
  </si>
  <si>
    <t>atorvastatin</t>
  </si>
  <si>
    <t>BYSTOLIC (nebivolol)</t>
  </si>
  <si>
    <t>lovastatin</t>
  </si>
  <si>
    <t>INDERAL LA (propranolol)</t>
  </si>
  <si>
    <t>pravastatin</t>
  </si>
  <si>
    <t>INDERAL XL (propranolol)</t>
  </si>
  <si>
    <t>rosuvastatin</t>
  </si>
  <si>
    <t>INNOPRAN XL (propranolol)</t>
  </si>
  <si>
    <t>simvastatin</t>
  </si>
  <si>
    <t>KAPSPARGO SPRINKLE (metoprolol succinate)</t>
  </si>
  <si>
    <t>VYTORIN (ezetimibe/simvastatin)</t>
  </si>
  <si>
    <t>LOPRESSOR (metoprolol tartrate)</t>
  </si>
  <si>
    <t>RAGWITEK</t>
  </si>
  <si>
    <t>SOTYLIZE (sotalol)</t>
  </si>
  <si>
    <t>epinephrine (Mylan)</t>
  </si>
  <si>
    <t>TENORMIN (atenolol)</t>
  </si>
  <si>
    <t>alprazolam</t>
  </si>
  <si>
    <t>TOPROL XL (metoprolol succinate)</t>
  </si>
  <si>
    <t>hydroxyzine HCL</t>
  </si>
  <si>
    <t>BYLVAY (odevixibat)</t>
  </si>
  <si>
    <t>hydroxyzine pamoate</t>
  </si>
  <si>
    <t>CHENODAL (chenodiol)</t>
  </si>
  <si>
    <t>megestrol</t>
  </si>
  <si>
    <t>IQIRVO (elafibranor)</t>
  </si>
  <si>
    <t>REVLIMID (lenalidomide)</t>
  </si>
  <si>
    <t>LIVDELZI (seladelpar)</t>
  </si>
  <si>
    <t>NITROLINGUAL (nitroglycerin)</t>
  </si>
  <si>
    <t>LIVMARLI (maralixibat)</t>
  </si>
  <si>
    <t>AUSTEOD XR (deutetrabenazine)</t>
  </si>
  <si>
    <t>OCALIVA (obeticholic acid)</t>
  </si>
  <si>
    <t>INGREZZA (valbenazine)</t>
  </si>
  <si>
    <t>RELTONE (ursodiol)</t>
  </si>
  <si>
    <t>INGREZZA SPRINKLE (valbenazine)</t>
  </si>
  <si>
    <t>URSO FORTE (ursodiol)</t>
  </si>
  <si>
    <t>tetrabenazine</t>
  </si>
  <si>
    <t>darifenacin ER</t>
  </si>
  <si>
    <t>COPAXONE (glatiramer) 20 mg</t>
  </si>
  <si>
    <t>DETROL (tolterodine)</t>
  </si>
  <si>
    <t>dalfampridine ER</t>
  </si>
  <si>
    <t>DETROL LA (tolterodine)</t>
  </si>
  <si>
    <t>dimethyl fumarate</t>
  </si>
  <si>
    <t>fesoterodine</t>
  </si>
  <si>
    <t>fingolimod</t>
  </si>
  <si>
    <t>GEMTESA (vibegron)</t>
  </si>
  <si>
    <t>REBIF (interferon beta-1b)</t>
  </si>
  <si>
    <t>mirabegron ER</t>
  </si>
  <si>
    <t>REBIF REBIDOSE (interferon beta-1b)</t>
  </si>
  <si>
    <t>tolterodine</t>
  </si>
  <si>
    <t>teriflunomide</t>
  </si>
  <si>
    <t>tolterodine ER</t>
  </si>
  <si>
    <t>TYSABRI (natalizumab)</t>
  </si>
  <si>
    <t>TOVIAZ (fesoterodine)</t>
  </si>
  <si>
    <t>VYONDYS-53 (golodirsen)</t>
  </si>
  <si>
    <t>trospium</t>
  </si>
  <si>
    <t>ELYXYB (celecoxib)</t>
  </si>
  <si>
    <t>trospium ER</t>
  </si>
  <si>
    <t>diclofenac sodium ER</t>
  </si>
  <si>
    <t>VESICARE (solifenacin)</t>
  </si>
  <si>
    <t>EC-naproxen DR 500 mg tablet</t>
  </si>
  <si>
    <t>VESICARE LS (solifenacin)</t>
  </si>
  <si>
    <t>etodolac tablet</t>
  </si>
  <si>
    <t>ACTONEL (risedronate)</t>
  </si>
  <si>
    <t>flurbiprofen</t>
  </si>
  <si>
    <t>alendronate solution</t>
  </si>
  <si>
    <t>ibuprofen</t>
  </si>
  <si>
    <t>ATELVIA (risedronate)</t>
  </si>
  <si>
    <t>indomethacin capsule</t>
  </si>
  <si>
    <t>BINOSTO (alendronate)</t>
  </si>
  <si>
    <t>ketoprofen</t>
  </si>
  <si>
    <t>FOSAMAX (alendronate)</t>
  </si>
  <si>
    <t>ketorolac</t>
  </si>
  <si>
    <t>FOSAMAX PLUS D (alendronate/vitamin D3)</t>
  </si>
  <si>
    <t>nabumetone</t>
  </si>
  <si>
    <t>ibandronate syringe/vial</t>
  </si>
  <si>
    <t>naproxen</t>
  </si>
  <si>
    <t>calcitonin salmon</t>
  </si>
  <si>
    <t>piroxicam</t>
  </si>
  <si>
    <t>EVENITY (romosozumab-aqqg)</t>
  </si>
  <si>
    <t>sulindac</t>
  </si>
  <si>
    <t>EVISTA (raloxifene)</t>
  </si>
  <si>
    <t>Tolmetin</t>
  </si>
  <si>
    <t>MIACALCIN (calcitonin salmon)</t>
  </si>
  <si>
    <t>ciprofloxacin</t>
  </si>
  <si>
    <t>PROLIA (denosumab)</t>
  </si>
  <si>
    <t>teriparatide</t>
  </si>
  <si>
    <t>gentamicin</t>
  </si>
  <si>
    <t>TYMLOS (abaloparatide)</t>
  </si>
  <si>
    <t>moxifloxacin</t>
  </si>
  <si>
    <t>XGEVA (denosumab)</t>
  </si>
  <si>
    <t>ofloxacin</t>
  </si>
  <si>
    <t>AVODART (dutasteride)</t>
  </si>
  <si>
    <t>polymyxin B/trimethoprim</t>
  </si>
  <si>
    <t>ENTADFI (finasteride/tadalafil)</t>
  </si>
  <si>
    <t>tobramycin</t>
  </si>
  <si>
    <t>CARDURA (doxazosin)</t>
  </si>
  <si>
    <t>VIGAMOX (moxifloxacin)</t>
  </si>
  <si>
    <t>CARDURA XL (doxazosin)</t>
  </si>
  <si>
    <t>neomycin/bacitracin/polymyxin/hydrocortisone</t>
  </si>
  <si>
    <t>dutasteride/tamsulosin</t>
  </si>
  <si>
    <t>neomycin/polymyxin/dexamethasone</t>
  </si>
  <si>
    <t>FLOMAX (tamsulosin)</t>
  </si>
  <si>
    <t>PRED-G (gentamicin/prednisolone)</t>
  </si>
  <si>
    <t>RAPAFLO (silodosin)</t>
  </si>
  <si>
    <t>sulfacetamide/prednisolone</t>
  </si>
  <si>
    <t>silodosin</t>
  </si>
  <si>
    <t>TOBRADEX (tobramycin/dexamethasone)</t>
  </si>
  <si>
    <t>BEVESPI AEROSPHERE (glycopyrrolate/formoterol)</t>
  </si>
  <si>
    <t>tobramycin/dexamethasone</t>
  </si>
  <si>
    <t>DUAKLIR PRESSAIR (aclidinium/formoterol)</t>
  </si>
  <si>
    <t>diclofenac sodium</t>
  </si>
  <si>
    <t>DALIRESP (roflumilast)</t>
  </si>
  <si>
    <t>difluprednate</t>
  </si>
  <si>
    <t>OHTUVAYRE (ensifentrine)</t>
  </si>
  <si>
    <t>FLAREX (fluorometholone)</t>
  </si>
  <si>
    <t>Roflumilast</t>
  </si>
  <si>
    <t>fluorometholone</t>
  </si>
  <si>
    <t>SPIRIVA RESPIMAT (tiotropium) DUR+</t>
  </si>
  <si>
    <t>tiotropium</t>
  </si>
  <si>
    <t>FML FORTE (fluorometholone)</t>
  </si>
  <si>
    <t>TUDORZA PRESSAIR (aclidinium)</t>
  </si>
  <si>
    <t>YUPLERI (revefenacin)</t>
  </si>
  <si>
    <t>MAXIDEX (dexamethasone)</t>
  </si>
  <si>
    <t>arformoterol</t>
  </si>
  <si>
    <t>PRED MILD (prednisolone)</t>
  </si>
  <si>
    <t>BROVANA (arformoterol)</t>
  </si>
  <si>
    <t>prednisolone acetate</t>
  </si>
  <si>
    <t>formoterol</t>
  </si>
  <si>
    <t>prednisolone sodium phosphate</t>
  </si>
  <si>
    <t>levalbuterol</t>
  </si>
  <si>
    <t>RESTASIS DROPERETTE (cyclosporine)</t>
  </si>
  <si>
    <t>PERFOROMIST (formoterol)</t>
  </si>
  <si>
    <t>XIIDRA (lifitegrast)</t>
  </si>
  <si>
    <t>AIRSUPRA (albuterol/budesonide)</t>
  </si>
  <si>
    <t>BETIMOL (timolol)</t>
  </si>
  <si>
    <t>levalbuterol HFA</t>
  </si>
  <si>
    <t>carteolol</t>
  </si>
  <si>
    <t>PROAIR DIGIHALER (albuterol)</t>
  </si>
  <si>
    <t>ISTALOL (timolol)</t>
  </si>
  <si>
    <t>XOPENEX HFA (levalbuterol)</t>
  </si>
  <si>
    <t>levobunolol</t>
  </si>
  <si>
    <t>albuterol ER</t>
  </si>
  <si>
    <t>timolol drops 0.25%, 0.5%</t>
  </si>
  <si>
    <t>CARDIZEM CD (diltiazem)</t>
  </si>
  <si>
    <t>AZOPT (brinzolamide)</t>
  </si>
  <si>
    <t>CARDIZEM LA (diltiazem)</t>
  </si>
  <si>
    <t>brinzolamide)</t>
  </si>
  <si>
    <t>diltiazem ER 12 HR</t>
  </si>
  <si>
    <t>COMBIGAN (brimonidine/timolol)</t>
  </si>
  <si>
    <t>diltiazem LA 24 HR</t>
  </si>
  <si>
    <t>dorzolamide/timolol</t>
  </si>
  <si>
    <t>KATERZIA (amlodipine)</t>
  </si>
  <si>
    <t>SIMBRINZA (brinzolamide/brimonidine)</t>
  </si>
  <si>
    <t>levamlodipine</t>
  </si>
  <si>
    <t>ZIOPTAN (tafluprost)</t>
  </si>
  <si>
    <t>MATZIM LA (diltiazem)</t>
  </si>
  <si>
    <t>brimonidine 0.1%, 0.15%</t>
  </si>
  <si>
    <t>nisoldipine</t>
  </si>
  <si>
    <t>ALREX (loteprednol)</t>
  </si>
  <si>
    <t>NORVASC</t>
  </si>
  <si>
    <t>azelastine</t>
  </si>
  <si>
    <t>PROCARDIA XL</t>
  </si>
  <si>
    <t>cromolyn</t>
  </si>
  <si>
    <t>SULAR (nisoldipine)</t>
  </si>
  <si>
    <t>ketotifen OTC</t>
  </si>
  <si>
    <t>TIADYLT ER (diltiazem)</t>
  </si>
  <si>
    <t>TIAZAC (diltiazem)</t>
  </si>
  <si>
    <t>ZADITOR (ketotifen)</t>
  </si>
  <si>
    <t>verapamil PM</t>
  </si>
  <si>
    <t>ZERVIATE (cetirizine)</t>
  </si>
  <si>
    <t>CARDIZEM (diltiazem)</t>
  </si>
  <si>
    <t>naltrexone</t>
  </si>
  <si>
    <t>isradipine</t>
  </si>
  <si>
    <t>SUBOXONE (buprenorphine/naloxone)</t>
  </si>
  <si>
    <t>nimodipine</t>
  </si>
  <si>
    <t>KLOXXADO (naloxone)</t>
  </si>
  <si>
    <t>NORLIQVA (amlodipine)</t>
  </si>
  <si>
    <t>naloxone</t>
  </si>
  <si>
    <t>NYMALIZE (nimodipine)</t>
  </si>
  <si>
    <t>NARCAN (naloxone)</t>
  </si>
  <si>
    <t>**All other products (caloric/nutritional agents) not listed as_x000D_preferred will require a manual prior authorization.</t>
  </si>
  <si>
    <t>OPVEE (nalmefene)</t>
  </si>
  <si>
    <t>cefaclor suspension</t>
  </si>
  <si>
    <t>REXTOVY (naloxone)</t>
  </si>
  <si>
    <t>cefaclor ER</t>
  </si>
  <si>
    <t>ZIMHI (naloxone)</t>
  </si>
  <si>
    <t>cefixime suspension</t>
  </si>
  <si>
    <t>CORTISPORIN-TC (neomycin/colistin/hydrocortisone)</t>
  </si>
  <si>
    <t>SUPRAX (cefixime)</t>
  </si>
  <si>
    <t>fluocinolone</t>
  </si>
  <si>
    <t>FYLNETRA (pegfilgrastim-pbbk)</t>
  </si>
  <si>
    <t>neomycin/polymyxin/hydrocortisone</t>
  </si>
  <si>
    <t>GRANIX (tbo-filgrastim)</t>
  </si>
  <si>
    <t>PERTZYE (lipase/protease/amylase)</t>
  </si>
  <si>
    <t>LEUKINE (sargramostim)</t>
  </si>
  <si>
    <t>VIOKACE (lipase/protease/amylase)</t>
  </si>
  <si>
    <t>NEULASTA, NEULASTA ONPRO (pegfilgrastim)</t>
  </si>
  <si>
    <t>calcitriol</t>
  </si>
  <si>
    <t>NIVESTYM (filgrastim-aafi)</t>
  </si>
  <si>
    <t>cinacalcet</t>
  </si>
  <si>
    <t>NYVEPRIA (pegfilgrastim-apgf)</t>
  </si>
  <si>
    <t>ergocalciferol</t>
  </si>
  <si>
    <t>RELEUKO (filgrastim-ayow)</t>
  </si>
  <si>
    <t>paricalcitol</t>
  </si>
  <si>
    <t>ROLVEDON (eflapegrastim-xnst)</t>
  </si>
  <si>
    <t>ZEMPLAR (paricalcitol)</t>
  </si>
  <si>
    <t>STIMUFEND (pegfilgrastim-fpgk)</t>
  </si>
  <si>
    <t>CALPHRON (calcium acetate)</t>
  </si>
  <si>
    <t>UDENYCA, UDENYCA ONBODY (pegfilgrastim-cbqv)</t>
  </si>
  <si>
    <t>sevelamer carbonate tablet</t>
  </si>
  <si>
    <t>ZARXIO (filgrastim-sndz)</t>
  </si>
  <si>
    <t>BRILINTA (ticagrelor)</t>
  </si>
  <si>
    <t>BRONCHITOL (mannitol)</t>
  </si>
  <si>
    <t>cilostazol</t>
  </si>
  <si>
    <t>CAYSTON (aztreonam)</t>
  </si>
  <si>
    <t>clopidogrel</t>
  </si>
  <si>
    <t>colistimethate</t>
  </si>
  <si>
    <t>dipyridamole</t>
  </si>
  <si>
    <t>COLY-MYCIN M (colistin)</t>
  </si>
  <si>
    <t>pentoxifylline</t>
  </si>
  <si>
    <t>KALYDECO (ivacaftor)</t>
  </si>
  <si>
    <t>PROMACTA (eltrombopag) tablet</t>
  </si>
  <si>
    <t>KITABIS (tobramycin)</t>
  </si>
  <si>
    <t>TAVALISSE (fostamatinib)</t>
  </si>
  <si>
    <t>ORKAMBI (lumacaftor/ivacaftor)</t>
  </si>
  <si>
    <t>SPS (sodium polystyrene sulfonate) suspension</t>
  </si>
  <si>
    <t>SYMDEKO (tezacaftor/ivacaftor)</t>
  </si>
  <si>
    <t>VELTASSA (patiromer calcium sorbitex)</t>
  </si>
  <si>
    <t>TOBI (tobramycin)</t>
  </si>
  <si>
    <t>COMPLETE NATAL DHA</t>
  </si>
  <si>
    <t>TOBI PODHALER (tobramycin)</t>
  </si>
  <si>
    <t>COMPLETENATE</t>
  </si>
  <si>
    <t>tobramycin (generic Bethkis &amp; Kitabis)</t>
  </si>
  <si>
    <t>M-NATAL PLUS</t>
  </si>
  <si>
    <t>TRIKAFTA (elexacaftor/tezacaftor/ivacaftor)</t>
  </si>
  <si>
    <t>NIVA-PLUS</t>
  </si>
  <si>
    <t>CYTOKINE &amp; CAM ANTAGONISTS</t>
  </si>
  <si>
    <t>PRENATAL PLUS VITAMIN-MINERAL</t>
  </si>
  <si>
    <t>adalimumab-aacf</t>
  </si>
  <si>
    <t>PNV 72, 95, 124, and 137 / IRON / FOLIC ACID</t>
  </si>
  <si>
    <t>adalimumab-aaty</t>
  </si>
  <si>
    <t>SE-NATAL-19</t>
  </si>
  <si>
    <t>adalimumab-adaz</t>
  </si>
  <si>
    <t>STUART ONE</t>
  </si>
  <si>
    <t>adalimumab-adbm</t>
  </si>
  <si>
    <t>THRIVITE RX</t>
  </si>
  <si>
    <t>adalimumab-fkjp</t>
  </si>
  <si>
    <t>TRICARE</t>
  </si>
  <si>
    <t>adalimumab-ryvk</t>
  </si>
  <si>
    <t>TRINATAL RX 1</t>
  </si>
  <si>
    <t>AMJEVITA (adalimuab-atto)</t>
  </si>
  <si>
    <t>WESNATAL DHA COMPLETE</t>
  </si>
  <si>
    <t>ARCALYST (rilonacept)</t>
  </si>
  <si>
    <t>ambrisentan</t>
  </si>
  <si>
    <t>BIMZELX (bimekizumab-bkzx)</t>
  </si>
  <si>
    <t>bosentan</t>
  </si>
  <si>
    <t>CIMZIA (certolizumab)</t>
  </si>
  <si>
    <t>LETAIRIS (ambrisentan)</t>
  </si>
  <si>
    <t>COSENTYX (secukinumab)</t>
  </si>
  <si>
    <t>CYLTEZO (adalimuab-adbm)</t>
  </si>
  <si>
    <t>TADLIQ (tadalafil)</t>
  </si>
  <si>
    <t>ENTYVIO (vedolizumab)</t>
  </si>
  <si>
    <t>VENTAVIS (iloprost)</t>
  </si>
  <si>
    <t>HADLIMA (adalimumab-bwwd)</t>
  </si>
  <si>
    <t>UPTRAVI (selexipag)</t>
  </si>
  <si>
    <t>HULIO (adalimumab-fkjp)</t>
  </si>
  <si>
    <t>metronidazole</t>
  </si>
  <si>
    <t>HYRIMOZ (adalimumab-adaz)</t>
  </si>
  <si>
    <t>temazepam 15 mg, 30 mg capsule</t>
  </si>
  <si>
    <t>IDACIO (adalimumab-aacf)</t>
  </si>
  <si>
    <t>triazolam</t>
  </si>
  <si>
    <t>ILARIS (canakinumab)</t>
  </si>
  <si>
    <t>ramelteon</t>
  </si>
  <si>
    <t>ILUMYA (tildrakizumab-asmn)</t>
  </si>
  <si>
    <t>zaleplon</t>
  </si>
  <si>
    <t>INFLECTRA (infliximab-dyyb)</t>
  </si>
  <si>
    <t>zolpidem tablet</t>
  </si>
  <si>
    <t>infliximab</t>
  </si>
  <si>
    <t>medroxyprogesterone</t>
  </si>
  <si>
    <t>JYLAMVO (methotrexate)</t>
  </si>
  <si>
    <t>ENILLORING (etonogestrel/ethinyl estradiol)</t>
  </si>
  <si>
    <t>KEVZARA (sarilumab)</t>
  </si>
  <si>
    <t>AMETHIA (levonorgestrel/ethinyl estradiol)</t>
  </si>
  <si>
    <t>LITFULO (ritlecitinib)</t>
  </si>
  <si>
    <t>AMETHYST (levonorgestrel/ethinyl estradiol)</t>
  </si>
  <si>
    <t>NEMLUVIO (nemolizumab) NR</t>
  </si>
  <si>
    <t>BALCOLTRA (levonorgestrel/ethinyl estradiol)</t>
  </si>
  <si>
    <t>OMVOH (mirikizumab-mrkz)</t>
  </si>
  <si>
    <t>BEYAZ (drosprienone/ethinyl estradiol/levomefolate)</t>
  </si>
  <si>
    <t>ORENCIA (abatacept)</t>
  </si>
  <si>
    <t>CAMRESE (levonorgestrel/ethinyl estradiol)</t>
  </si>
  <si>
    <t>OTREXUP (methotrexate)</t>
  </si>
  <si>
    <t>CAMRESE LO ((levonorgestrel/ethinyl estradiol))</t>
  </si>
  <si>
    <t>RASUVO (methotrexate)</t>
  </si>
  <si>
    <t>JOLESSA ((levonorgestrel/ethinyl estradiol))</t>
  </si>
  <si>
    <t>REMICADE (infliximab)</t>
  </si>
  <si>
    <t>LO LOESTRIN FE (norethindrone/ethinyl estradiol/iron)</t>
  </si>
  <si>
    <t>RENFLEXIS (infliximab-abda)</t>
  </si>
  <si>
    <t>LOESTRIN (norethindrone/ethinyl estradiol)</t>
  </si>
  <si>
    <t>SILIQ (brodalumab)</t>
  </si>
  <si>
    <t>LOESTRIN FE (norethindrone/ethinyl estradiol/iron)</t>
  </si>
  <si>
    <t>SIMLANDI (adalimumab-ryvk)</t>
  </si>
  <si>
    <t>MINZOYA (levonorgestrel/ethinyl estradiol/iron)</t>
  </si>
  <si>
    <t>SIMPONI ARIA (golimumab)</t>
  </si>
  <si>
    <t>NATAZIA (estradiol valerate/dienogest)</t>
  </si>
  <si>
    <t>SKYRIZI (risankizumab-rzaa)</t>
  </si>
  <si>
    <t>NEXTSTELLIS (drospirenone/estetrol)</t>
  </si>
  <si>
    <t>SOTYKTU (deucravacitinib)</t>
  </si>
  <si>
    <t>OCELLA (ethinyl estradiol/drospirenone)</t>
  </si>
  <si>
    <t>SPEVIGO (spesolimab-sbzo)</t>
  </si>
  <si>
    <t>SAFYRAL (drospirenone/ethinyl estradiol/levomefolate)</t>
  </si>
  <si>
    <t>STELARA (ustekinumab)</t>
  </si>
  <si>
    <t>SIMPESSE (levonorgestrel/ethinyl estradiol)</t>
  </si>
  <si>
    <t>TOFIDENCE (tocilizumab-bavi)</t>
  </si>
  <si>
    <t>TAYTULLA (norethindrone/ethinyl estradiol/iron)</t>
  </si>
  <si>
    <t>TREMFYA (guselkumab)</t>
  </si>
  <si>
    <t>TYDEMY (drospirenone/ethinyl estradiol/levomefolate)</t>
  </si>
  <si>
    <t>TREXALL (methotrexate)</t>
  </si>
  <si>
    <t>YASMIN (ethinyl estradiol/drospirenone)</t>
  </si>
  <si>
    <t>TYENNE AUTOINJECTOR (tocilizumab-aazg)</t>
  </si>
  <si>
    <t>YAZ (ethinyl estradiol/drospirenone)</t>
  </si>
  <si>
    <t>ustekinumab-kfceNR</t>
  </si>
  <si>
    <t>ZAFEMY (norelgestromin/ethinyl estradiol)</t>
  </si>
  <si>
    <t>XATMEP (methotrexate)</t>
  </si>
  <si>
    <t>hydroxyurea</t>
  </si>
  <si>
    <t>XELJANZ (tofacitinib) solution</t>
  </si>
  <si>
    <t>chlorzoxazone</t>
  </si>
  <si>
    <t>XELJANZ XR (tofacitinib)</t>
  </si>
  <si>
    <t>cyclobenzaprine 5 mg, 10 mg tablet</t>
  </si>
  <si>
    <t>YUFLYMA (adalimumab-aaty)</t>
  </si>
  <si>
    <t>methocarbamol</t>
  </si>
  <si>
    <t>YUSIMRY (adalimumab-aqvh)</t>
  </si>
  <si>
    <t>tizanidine tablet</t>
  </si>
  <si>
    <t>ZYMFENTRA (infliximab-dyyb)</t>
  </si>
  <si>
    <t>nicotine gum OTC</t>
  </si>
  <si>
    <t>ARANESP (darbepoetin alfa)</t>
  </si>
  <si>
    <t>nicotine lozenge OTC</t>
  </si>
  <si>
    <t>JESDUVROQ (daprodustat)</t>
  </si>
  <si>
    <t>nicotine patch OTC</t>
  </si>
  <si>
    <t>PROCRIT (epoetin alfa)</t>
  </si>
  <si>
    <t>CHANTIX (varenicline)</t>
  </si>
  <si>
    <t>VAFSEO (vadadustat)</t>
  </si>
  <si>
    <t>varenicline</t>
  </si>
  <si>
    <t>ADYNOVATE</t>
  </si>
  <si>
    <t>alclometasone</t>
  </si>
  <si>
    <t>ELOCTATE</t>
  </si>
  <si>
    <t>DERMA-SMOOTH-FS (fluocinolone)</t>
  </si>
  <si>
    <t>ESPEROCT</t>
  </si>
  <si>
    <t>desonide</t>
  </si>
  <si>
    <t>JIVI</t>
  </si>
  <si>
    <t>hydrocortisone cream, ointment, solution</t>
  </si>
  <si>
    <t>KCENTRA</t>
  </si>
  <si>
    <t>mometasone</t>
  </si>
  <si>
    <t>OBIZUR</t>
  </si>
  <si>
    <t>PANDEL (hydrocortisone probutate)</t>
  </si>
  <si>
    <t>VONVENDI</t>
  </si>
  <si>
    <t>prednicarbate cream</t>
  </si>
  <si>
    <t>BEQVEZ</t>
  </si>
  <si>
    <t>SYNALAR (fluocinolone)</t>
  </si>
  <si>
    <t>REBINYN</t>
  </si>
  <si>
    <t>betamethasone dipropionate augmented</t>
  </si>
  <si>
    <t>ALHEMO (concizumab-mtci)NR</t>
  </si>
  <si>
    <t>betamethasone valerate</t>
  </si>
  <si>
    <t>CORIFACT (factor XIII)NR</t>
  </si>
  <si>
    <t>HYMPAVZI (marstacimab-hncq) NR</t>
  </si>
  <si>
    <t>fluocinonide</t>
  </si>
  <si>
    <t>NOVOSEVEN RT (factor VII)</t>
  </si>
  <si>
    <t>fluocinonide-E</t>
  </si>
  <si>
    <t>SEVENFACT (factor VII)</t>
  </si>
  <si>
    <t>triamcinolone cream, ointment, lotion</t>
  </si>
  <si>
    <t>TRETTEN (factor XIII)</t>
  </si>
  <si>
    <t>VANOS (fluocinonide)</t>
  </si>
  <si>
    <t>CYMBALTA (duloxetine)</t>
  </si>
  <si>
    <t>clobetasol-E</t>
  </si>
  <si>
    <t>DIRZALMA SPRINKLE (duloxetine)</t>
  </si>
  <si>
    <t>halobetasol</t>
  </si>
  <si>
    <t>gabapentin ER</t>
  </si>
  <si>
    <t>ULTRAVATE (halobetasol)</t>
  </si>
  <si>
    <t>GABARONE (gabapentin)NR</t>
  </si>
  <si>
    <t>dextroamphetamine</t>
  </si>
  <si>
    <t>GRALISE (gabapentin)</t>
  </si>
  <si>
    <t>dextroamphetamine/amphetamine</t>
  </si>
  <si>
    <t>HORIZANT (gabapentin enacarbil)</t>
  </si>
  <si>
    <t>methylphenidate</t>
  </si>
  <si>
    <t>LYRICA, LYRICA CR (pregabalin)</t>
  </si>
  <si>
    <t>PROCENTRA (dextroamphetamine)</t>
  </si>
  <si>
    <t>NEURONTIN (gabapentin)</t>
  </si>
  <si>
    <t>ZENZEDI (dextroamphetamine)</t>
  </si>
  <si>
    <t>pregabalin ER</t>
  </si>
  <si>
    <t>CONCERTA (methylphenidate)</t>
  </si>
  <si>
    <t>BAXDELA (delafloxacin)</t>
  </si>
  <si>
    <t>dexmethylphenidate ER</t>
  </si>
  <si>
    <t>CIPRO (ciprofloxacin)</t>
  </si>
  <si>
    <t>dextroamphetamine ER</t>
  </si>
  <si>
    <t>ciprofloxacin suspension</t>
  </si>
  <si>
    <t>dextroamphetamine/amphetamine ER</t>
  </si>
  <si>
    <t>levofloxacin solution</t>
  </si>
  <si>
    <t>DYANAVEL XR (amphetamine)</t>
  </si>
  <si>
    <t>lisdexamfetamine</t>
  </si>
  <si>
    <t>methylphenidate CD</t>
  </si>
  <si>
    <t>CERDELGA (eliglustat)</t>
  </si>
  <si>
    <t>methylphenidate ER tablet</t>
  </si>
  <si>
    <t>CEREZYME (imiglucerase)</t>
  </si>
  <si>
    <t>methylphenidate LA</t>
  </si>
  <si>
    <t>miglustat</t>
  </si>
  <si>
    <t>QUILLICHEW ER (methylphenidate)</t>
  </si>
  <si>
    <t>VPRIV (velaglucerase alfa)</t>
  </si>
  <si>
    <t>QUILLIVANT XR (methylphenidate)</t>
  </si>
  <si>
    <t>YARGESA (miglustat)</t>
  </si>
  <si>
    <t>VYVANSE (lisdexamfetamine)</t>
  </si>
  <si>
    <t>CARAC (fluorouracil)</t>
  </si>
  <si>
    <t>XELSTRYM (dextroamphetamine)</t>
  </si>
  <si>
    <t>EFUDEX (fluorouracil)</t>
  </si>
  <si>
    <t>modafinil</t>
  </si>
  <si>
    <t>VEREGEN (sinecatechins)</t>
  </si>
  <si>
    <t>SUNOSI (solriamfetol)</t>
  </si>
  <si>
    <t>cimetidine</t>
  </si>
  <si>
    <t>XYREM (sodium oxybate)</t>
  </si>
  <si>
    <t>nizatidine</t>
  </si>
  <si>
    <t>XYWAV (calcium/magnesium/potassium/sodium oxybate)</t>
  </si>
  <si>
    <t>CARAFATE (sucralfate) tablet</t>
  </si>
  <si>
    <t>clonidine ER</t>
  </si>
  <si>
    <t>CYTOTEC (misoprostol)</t>
  </si>
  <si>
    <t>guanfacine ER</t>
  </si>
  <si>
    <t>DARTISLA (glycopyrrolate)</t>
  </si>
  <si>
    <t>STRATTERA (atomoxetine)</t>
  </si>
  <si>
    <t>VOQUEZNA (vonoprazan)</t>
  </si>
  <si>
    <t>doxycycline hyclate</t>
  </si>
  <si>
    <t>DEXILANT (dexlansoprazole)</t>
  </si>
  <si>
    <t>doxycycline monohydrate capsule</t>
  </si>
  <si>
    <t>dexlansoprazole</t>
  </si>
  <si>
    <t>minocycline capsule</t>
  </si>
  <si>
    <t>esomeprazole packet</t>
  </si>
  <si>
    <t>tetracycline capsule</t>
  </si>
  <si>
    <t>KONVOMEP (omeprazole/sodium bicarbonate)</t>
  </si>
  <si>
    <t>APRISO (mesalamine)</t>
  </si>
  <si>
    <t>lansoprazole Rx</t>
  </si>
  <si>
    <t>balsalazide</t>
  </si>
  <si>
    <t>NEXIUM (esomeprazole) capsule</t>
  </si>
  <si>
    <t>budesonide</t>
  </si>
  <si>
    <t>omeprazole/sodium bicarbonate</t>
  </si>
  <si>
    <t>PENTASA (mesalamine)</t>
  </si>
  <si>
    <t>PREVACID (lansoprazole)</t>
  </si>
  <si>
    <t>sulfasalazine</t>
  </si>
  <si>
    <t>PRILOSEC (omeprazole) packet</t>
  </si>
  <si>
    <t>sulfasalazine DR</t>
  </si>
  <si>
    <t>PROTONIX (pantoprazole)</t>
  </si>
  <si>
    <t>UCERIS (budesonide)</t>
  </si>
  <si>
    <t>rabeprazole</t>
  </si>
  <si>
    <t>mesalamine suppository</t>
  </si>
  <si>
    <t>ALVESCO (ciclesonide)</t>
  </si>
  <si>
    <t>CARBAGLU (carglumic acid)</t>
  </si>
  <si>
    <t>ARMONAIR DIGIHALER (fluticasone)</t>
  </si>
  <si>
    <t>carglumic acid</t>
  </si>
  <si>
    <t>ARNUITY ELLIPTA (fluticasone)</t>
  </si>
  <si>
    <t>ASMANEX HFA (mometasone)</t>
  </si>
  <si>
    <t>budesonide 1mg</t>
  </si>
  <si>
    <t>FLOVENT HFA (fluticasone)</t>
  </si>
  <si>
    <t>fluticasone diskus</t>
  </si>
  <si>
    <t>fluticasone HFA</t>
  </si>
  <si>
    <t>PULMICORT (budesonide) nebulizer solution</t>
  </si>
  <si>
    <t>AIRDUO DIGIHALER (fluticasone/salmeterol)</t>
  </si>
  <si>
    <t>BREO ELLIPTA (fluticasone/vilanterol)</t>
  </si>
  <si>
    <t>BREYNA (budesonide/formoterol)</t>
  </si>
  <si>
    <t>budesonide/formoterol</t>
  </si>
  <si>
    <t>fluticasone/vilanterol</t>
  </si>
  <si>
    <t>HUMATROPE (somatropin)</t>
  </si>
  <si>
    <t>NGENLA (somatrogon-ghla)</t>
  </si>
  <si>
    <t>OMNITROPE (somatropin)</t>
  </si>
  <si>
    <t>SEROSTIM (somatropin)</t>
  </si>
  <si>
    <t>SOGROYA (somapacitan-beco)</t>
  </si>
  <si>
    <t>VOXZOGO (vosoritide)</t>
  </si>
  <si>
    <t>ZOMACTON (somatropin)</t>
  </si>
  <si>
    <t>bismuth subcitrate potassium/metronidazole/tetracycline</t>
  </si>
  <si>
    <t>lansoprazole/amoxicillin/clarithromycin</t>
  </si>
  <si>
    <t>OMECLAMOX (omeprazole/clarithromycin/amoxicillin)</t>
  </si>
  <si>
    <t>TALICIA (omeprazole/amoxicillin/rifabutin)</t>
  </si>
  <si>
    <t>VOQUEZNA DUAL PAK (vonoprazan/amoxicillin)</t>
  </si>
  <si>
    <t>VOQUEZNA TRIPLE PAK_x000D_(vonoprazan/amoxicillin/clarithromycin)</t>
  </si>
  <si>
    <t>adefovir dipivoxil</t>
  </si>
  <si>
    <t>BARACLUDE (entecavir)</t>
  </si>
  <si>
    <t>VEMLIDY (tenofovir alafenamide)</t>
  </si>
  <si>
    <t>EPCLUSA (sofosbuvir/velpatasvir) ‚àû</t>
  </si>
  <si>
    <t>HARVONI (ledipasvir/sofosbuvir) ‚àû</t>
  </si>
  <si>
    <t>ledipasvir/sofosbuvir ‚àû</t>
  </si>
  <si>
    <t>ribavirin capsule</t>
  </si>
  <si>
    <t>SOVALDI (sofosbuvir) ‚àû</t>
  </si>
  <si>
    <t>VIEKIRA PAK (ombitasvir/paritaprevir/ritonavir)</t>
  </si>
  <si>
    <t>VOSEVI (sofosbuvir/velpatasvir/voxilaprevir) ‚àû</t>
  </si>
  <si>
    <t>CINRYZE (C1 esterase inhibitor)</t>
  </si>
  <si>
    <t>FIRAZYR (icatibant)</t>
  </si>
  <si>
    <t>KALBITOR (ecallantide)</t>
  </si>
  <si>
    <t>ORLADEYO (berotralstat)</t>
  </si>
  <si>
    <t>RUCONEST (C1 esterase inhibitor)</t>
  </si>
  <si>
    <t>SAJAZIR (icatibant)</t>
  </si>
  <si>
    <t>ALOPRIM (allopurinol)</t>
  </si>
  <si>
    <t>colchicine capsule</t>
  </si>
  <si>
    <t>COLCRYS (colchicine)</t>
  </si>
  <si>
    <t>febuxostat</t>
  </si>
  <si>
    <t>GLOPERBA (colchicine)</t>
  </si>
  <si>
    <t>MITIGARE (colchicine)</t>
  </si>
  <si>
    <t>ULORIC (febuxostat)</t>
  </si>
  <si>
    <t>GVOKE (glucagon) Step Edit</t>
  </si>
  <si>
    <t>GLUMETZA (metformin)</t>
  </si>
  <si>
    <t>metformin ER (generic Fortamet)</t>
  </si>
  <si>
    <t>metformin ER (generic Glumetza)</t>
  </si>
  <si>
    <t>metformin solution</t>
  </si>
  <si>
    <t>RIOMET (metformin)</t>
  </si>
  <si>
    <t>alogliptin</t>
  </si>
  <si>
    <t>alogliptin/metformin</t>
  </si>
  <si>
    <t>JENTADUETO XR (linagliptin/metformin)</t>
  </si>
  <si>
    <t>KAZANO (alogliptin/metformin)</t>
  </si>
  <si>
    <t>KOMBIGLYZE XR (saxagliptin/metformin)</t>
  </si>
  <si>
    <t>NESINA (alogliptin)</t>
  </si>
  <si>
    <t>ONGLYZA (saxagliptin)</t>
  </si>
  <si>
    <t>OSENI (alogliptin/pioglitazone)</t>
  </si>
  <si>
    <t>saxagliptin</t>
  </si>
  <si>
    <t>saxagliptin/metformin ER</t>
  </si>
  <si>
    <t>sitagliptin</t>
  </si>
  <si>
    <t>sitagliptin/metformin</t>
  </si>
  <si>
    <t>ZITUVIMET (sitagliptin/metformin)</t>
  </si>
  <si>
    <t>ZITUVIMET XR (sitagliptin/metformin)</t>
  </si>
  <si>
    <t>BYDUREON (exenatide)</t>
  </si>
  <si>
    <t>exenatide</t>
  </si>
  <si>
    <t>Liraglutide</t>
  </si>
  <si>
    <t>MOUNJARO (tirzepatide)</t>
  </si>
  <si>
    <t>OZEMPIC (semaglutide)</t>
  </si>
  <si>
    <t>RYBELSUS (semaglutide)</t>
  </si>
  <si>
    <t>SOLIQUA (insulin glargine/lixisenatide)</t>
  </si>
  <si>
    <t>SYMLINPEN (pramlintide)</t>
  </si>
  <si>
    <t>XULTOPHY (insulin degludec/liraglutide)</t>
  </si>
  <si>
    <t>ADMELOG (insulin lispro)</t>
  </si>
  <si>
    <t>AFREZZA (insulin regular)</t>
  </si>
  <si>
    <t>APIDRA (insulin glulisine)</t>
  </si>
  <si>
    <t>BASAGLAR (insulin glargine)</t>
  </si>
  <si>
    <t>FIASP (insulin aspart/niacinamide)</t>
  </si>
  <si>
    <t>HUMALOG (insulin lispro)</t>
  </si>
  <si>
    <t>HUMALOG JUNIOR, KWIKPEN, TEMPO PEN (insulin lispro)</t>
  </si>
  <si>
    <t>HUMALOG MIX KWIKPEN 50/50, 75/25 (insulin lispro/lispro_x000D_protamine)</t>
  </si>
  <si>
    <t>HUMULIN N KWIKPEN (insulin NPH)</t>
  </si>
  <si>
    <t>insulin degludec</t>
  </si>
  <si>
    <t>insulin glargine, insulin glargine MAX SOLOSTAR</t>
  </si>
  <si>
    <t>insulin glargine-yfgn</t>
  </si>
  <si>
    <t>LEVEMIR (insulin detemir)</t>
  </si>
  <si>
    <t>LYUMJEV (insulin lispro-aabc)</t>
  </si>
  <si>
    <t>NOVOLIN 70/30 (insulin NPH/regular)</t>
  </si>
  <si>
    <t>NOVOLIN R (insulin regular)</t>
  </si>
  <si>
    <t>NOVOLOG (insulin aspart)</t>
  </si>
  <si>
    <t>NOVOLOG MIX 70/30 (insulin aspart/aspart protamine)</t>
  </si>
  <si>
    <t>REZVOGLAR (insulin glargine-aglr)</t>
  </si>
  <si>
    <t>SEMGLEE (YFGN) (insulin glargine-yfgn)</t>
  </si>
  <si>
    <t>TRESIBA (insulin degludec)</t>
  </si>
  <si>
    <t>dapagliflozin</t>
  </si>
  <si>
    <t>INPEFA (sotagliflozin)</t>
  </si>
  <si>
    <t>INVOKANA (canagliflozin)</t>
  </si>
  <si>
    <t>STEGLATRO (ertugliflozin)</t>
  </si>
  <si>
    <t>dapagliflozin/metformin ER</t>
  </si>
  <si>
    <t>INVOKAMET (canagliflozin/metformin)</t>
  </si>
  <si>
    <t>INVOKAMET XR (canagliflozin/metformin)</t>
  </si>
  <si>
    <t>QTERN (dapagliflozin/saxagliptin)</t>
  </si>
  <si>
    <t>SEGLUROMET (ertugliflozin/metformin)</t>
  </si>
  <si>
    <t>STEGLUJAN (ertugliflozin/sitagliptin)</t>
  </si>
  <si>
    <t>XIGDUO XR (dapagliflozin/metformin)</t>
  </si>
  <si>
    <t>ACTOS (pioglitazone)</t>
  </si>
  <si>
    <t>ACTOPLUS MET (pioglitazone/metformin)</t>
  </si>
  <si>
    <t>DUETACT (pioglitazone/metformin)</t>
  </si>
  <si>
    <t>ALYGLO</t>
  </si>
  <si>
    <t>ASCENIV</t>
  </si>
  <si>
    <t>CABLIVI</t>
  </si>
  <si>
    <t>CUTAQUIG</t>
  </si>
  <si>
    <t>CUVITRU</t>
  </si>
  <si>
    <t>GAMMAKED</t>
  </si>
  <si>
    <t>GAMMAPLEX</t>
  </si>
  <si>
    <t>OCTAGAM</t>
  </si>
  <si>
    <t>CINQAIR (reslizumab)</t>
  </si>
  <si>
    <t>NUCALA (mepolizumab)</t>
  </si>
  <si>
    <t>TEZSPIRE (tezepelumab-ekko)</t>
  </si>
  <si>
    <t>ASTAGRAF XL (tacrolimus)</t>
  </si>
  <si>
    <t>ENVARSUS XR (tacrolimus)</t>
  </si>
  <si>
    <t>MYFORTIC (mycophenolate)</t>
  </si>
  <si>
    <t>PROGRAF (tacrolimus)</t>
  </si>
  <si>
    <t>REZUROCK (belumosudil)</t>
  </si>
  <si>
    <t>ZORTRESS (everolimus)</t>
  </si>
  <si>
    <t>azelastine/fluticasone</t>
  </si>
  <si>
    <t>DYMISTA (azelastine/fluticasone)</t>
  </si>
  <si>
    <t>BECONASE AQ (beclomethasone)</t>
  </si>
  <si>
    <t>flunisolide</t>
  </si>
  <si>
    <t>NASONEX (mometasone)</t>
  </si>
  <si>
    <t>OMNARIS (ciclesonide)</t>
  </si>
  <si>
    <t>QNASL (beclomethasone)</t>
  </si>
  <si>
    <t>XHANCE (fluticasone)</t>
  </si>
  <si>
    <t>ZETONNA (ciclesonide)</t>
  </si>
  <si>
    <t>deferasirox (manufacturers starting with 45963, 62332)</t>
  </si>
  <si>
    <t>deferiprone 1,000 mg tablet</t>
  </si>
  <si>
    <t>EXJADE (deferasirox)</t>
  </si>
  <si>
    <t>AMITIZA (lubiprostone)</t>
  </si>
  <si>
    <t>ISBRELA (tenapanor)</t>
  </si>
  <si>
    <t>MOTEGRITY (prucalopride)</t>
  </si>
  <si>
    <t>MOVANTIK (naloxegol)</t>
  </si>
  <si>
    <t>prucaloprideNR</t>
  </si>
  <si>
    <t>RELISTOR (methylnaltrexone)</t>
  </si>
  <si>
    <t>alosetron</t>
  </si>
  <si>
    <t>LOTRONEX (alosetron) DUR+</t>
  </si>
  <si>
    <t>VIBERZI (eluxadoline) DUR+</t>
  </si>
  <si>
    <t>ACCOLATE (zafirlukast)</t>
  </si>
  <si>
    <t>SINGULAIR (montelukast)</t>
  </si>
  <si>
    <t>zileuton</t>
  </si>
  <si>
    <t>ZYFLO (zileuton)</t>
  </si>
  <si>
    <t>NEXLETOL (bempedoic acid)</t>
  </si>
  <si>
    <t>NEXLIZET (bempedoic acid/ezetimbe)</t>
  </si>
  <si>
    <t>colesevelam</t>
  </si>
  <si>
    <t>COLESTID (colestipol)</t>
  </si>
  <si>
    <t>colestipol packet</t>
  </si>
  <si>
    <t>PREVALITE (cholestyramine)</t>
  </si>
  <si>
    <t>QUESTRAN (cholestyramine)</t>
  </si>
  <si>
    <t>QUESTRAN LIGHT (cholestyramine)</t>
  </si>
  <si>
    <t>fenofibric acid</t>
  </si>
  <si>
    <t>FENOGLIDE (fenofibrate)</t>
  </si>
  <si>
    <t>FIBRICOR (fenofibric acid)</t>
  </si>
  <si>
    <t>LIPOFEN (fenofibrate)</t>
  </si>
  <si>
    <t>LOPID (gemfibrozil)</t>
  </si>
  <si>
    <t>TRICOR (fenofibrate)</t>
  </si>
  <si>
    <t>icosapent</t>
  </si>
  <si>
    <t>LOVAZA (omega-3 acid ethyl esters)</t>
  </si>
  <si>
    <t>ALTOPREV (lovastatin)</t>
  </si>
  <si>
    <t>ATORVALIQ (atorvastatin)</t>
  </si>
  <si>
    <t>CRESTOR (rosuvastatin)</t>
  </si>
  <si>
    <t>EZALLOR SPRINKLE (rosuvastatin)</t>
  </si>
  <si>
    <t>FLOLIPID (simvastatin)</t>
  </si>
  <si>
    <t>fluvastatin</t>
  </si>
  <si>
    <t>fluvastatin ER</t>
  </si>
  <si>
    <t>LESCOL XL (fluvastatin)</t>
  </si>
  <si>
    <t>LIPITOR (atorvastatin)</t>
  </si>
  <si>
    <t>LIVALO (pitavastatin)</t>
  </si>
  <si>
    <t>pitavastatin</t>
  </si>
  <si>
    <t>ZOCOR (simvastatin)</t>
  </si>
  <si>
    <t>ZYPITAMAG (pitavastatin)</t>
  </si>
  <si>
    <t>amlodipine/atorvastatin</t>
  </si>
  <si>
    <t>CADUET (amlodipine/atorvastatin)</t>
  </si>
  <si>
    <t>GRASTEK</t>
  </si>
  <si>
    <t>ORALAIR</t>
  </si>
  <si>
    <t>PALFORZIA</t>
  </si>
  <si>
    <t>AUVI-Q (epinephrine)</t>
  </si>
  <si>
    <t>epinephrine (all other manufacturers)</t>
  </si>
  <si>
    <t>EPIPEN (epinephrine)</t>
  </si>
  <si>
    <t>EPIPEN JR (epinephrine)</t>
  </si>
  <si>
    <t>NEFFY (epinephrine) NR</t>
  </si>
  <si>
    <t>alprazolam ER</t>
  </si>
  <si>
    <t>CAMZYOS (mavacamten)</t>
  </si>
  <si>
    <t>CRENESSITY (crinecerfont)NR</t>
  </si>
  <si>
    <t>EVRYSDI (risdiplam)</t>
  </si>
  <si>
    <t>KORLYM (mifepristone)</t>
  </si>
  <si>
    <t>lenalidomide</t>
  </si>
  <si>
    <t>VERQUVO (vericiguat)</t>
  </si>
  <si>
    <t>VISTARIL (hydroxyzine pamoate)</t>
  </si>
  <si>
    <t>XANAX, XANAX XR (alprazolam)</t>
  </si>
  <si>
    <t>INGREZZA INITIATION PACK (valbenazine)</t>
  </si>
  <si>
    <t>XENAZINE (tetrabenazine)</t>
  </si>
  <si>
    <t>AMPYRA (dalfampridine)</t>
  </si>
  <si>
    <t>AUBAGIO (teriflunomide)</t>
  </si>
  <si>
    <t>AVONEX (interferon beta-1a)</t>
  </si>
  <si>
    <t>BAFIERTAM (monomethyl fumarate)</t>
  </si>
  <si>
    <t>BRIUMVI (ublituximab-xiiy)</t>
  </si>
  <si>
    <t>COPAXONE (glatiramer) 40 mg</t>
  </si>
  <si>
    <t>GILENYA (fingolimod)</t>
  </si>
  <si>
    <t>glatiramer</t>
  </si>
  <si>
    <t>GLATOPA (glatiramer)</t>
  </si>
  <si>
    <t>KESIMPTA PEN (ofatumumab)</t>
  </si>
  <si>
    <t>MAVENCLAD (cladribine)</t>
  </si>
  <si>
    <t>MAYZENT (siponimod)</t>
  </si>
  <si>
    <t>OCREVUS (ocrelizumab)</t>
  </si>
  <si>
    <t>OCREVUS ZUNOVO (ocrelizumab-hyaluronidase)</t>
  </si>
  <si>
    <t>PLEGRIDY (peginterferon beta-1a)</t>
  </si>
  <si>
    <t>PONVORY (ponesimod)</t>
  </si>
  <si>
    <t>TASCENSO ODT (fingolimod)</t>
  </si>
  <si>
    <t>TECFIDERA (dimethyl fumarate)</t>
  </si>
  <si>
    <t>VUMERITY (diroximel fumarate)</t>
  </si>
  <si>
    <t>ZEPOSIA (ozanimod)</t>
  </si>
  <si>
    <t>AGAMREE (vamorolone)</t>
  </si>
  <si>
    <t>AMONDYS-45 (casimersen)</t>
  </si>
  <si>
    <t>deflazacort</t>
  </si>
  <si>
    <t>DUVYZAT (givinostat)</t>
  </si>
  <si>
    <t>ELEVIDYS (delandistrogene moxeparvovec-rokl)</t>
  </si>
  <si>
    <t>EXONDYS-51 (eteplirsen)</t>
  </si>
  <si>
    <t>VILTEPSO (viltolarsen)</t>
  </si>
  <si>
    <t>CELEBREX (celecoxib)</t>
  </si>
  <si>
    <t>celecoxib</t>
  </si>
  <si>
    <t>DAYPRO (oxaprozin)</t>
  </si>
  <si>
    <t>diclofenac potassium</t>
  </si>
  <si>
    <t>DOLOBID (diflunisal)</t>
  </si>
  <si>
    <t>etodolac capsule, etodolac ER</t>
  </si>
  <si>
    <t>FELDENE (piroxicam)</t>
  </si>
  <si>
    <t>fenoprofen</t>
  </si>
  <si>
    <t>indomethacin suppository, indomethacin ER</t>
  </si>
  <si>
    <t>kiprofen</t>
  </si>
  <si>
    <t>LOFENA (diclofenac potassium)</t>
  </si>
  <si>
    <t>meclofenamate</t>
  </si>
  <si>
    <t>mefenamic acid</t>
  </si>
  <si>
    <t>NALFON (fenoprofen)</t>
  </si>
  <si>
    <t>NAPRELAN (naproxen)</t>
  </si>
  <si>
    <t>NAPROSYN (naproxen)</t>
  </si>
  <si>
    <t>naproxen, naproxen CR, naproxen ER</t>
  </si>
  <si>
    <t>oxaprozin</t>
  </si>
  <si>
    <t>RELAFEN DS (nabumetone)</t>
  </si>
  <si>
    <t>TOLECTIN 600 (tolmetin)</t>
  </si>
  <si>
    <t>ARTHROTEC 50, 75 (diclofenac/misoprostol)</t>
  </si>
  <si>
    <t>diclofenac/misoprostol</t>
  </si>
  <si>
    <t>ibuprofen/famotidine</t>
  </si>
  <si>
    <t>naproxen/esomeprazole</t>
  </si>
  <si>
    <t>VIMOVO (naproxen/esomeprazole)</t>
  </si>
  <si>
    <t>AZASITE (azithromycin)</t>
  </si>
  <si>
    <t>bacitracin</t>
  </si>
  <si>
    <t>BESIVANCE (besifloxacin)</t>
  </si>
  <si>
    <t>CILOXAN (ciprofloxacin)</t>
  </si>
  <si>
    <t>gatifloxacin</t>
  </si>
  <si>
    <t>NATACYN (natamycin0</t>
  </si>
  <si>
    <t>neomycin/bacitracin/polymyxin</t>
  </si>
  <si>
    <t>OCUFLOX (ofloxacin)</t>
  </si>
  <si>
    <t>sulfacetamide</t>
  </si>
  <si>
    <t>TOBREX (tobramycin)</t>
  </si>
  <si>
    <t>MAXITROL (neomycin/polymyxin/dexamethasone)</t>
  </si>
  <si>
    <t>neomycin/polymyxin/gramicidin</t>
  </si>
  <si>
    <t>TOBRADEX ST (tobramycin/dexamethasone)</t>
  </si>
  <si>
    <t>ACULAR (ketorolac)</t>
  </si>
  <si>
    <t>ACULAR LS (ketorolac)</t>
  </si>
  <si>
    <t>ACUVAIL (ketorolac)</t>
  </si>
  <si>
    <t>bromfenac</t>
  </si>
  <si>
    <t>bromsite (bromfenac)</t>
  </si>
  <si>
    <t>DUREZOL (difluprednate)</t>
  </si>
  <si>
    <t>FML (fluorometholone)</t>
  </si>
  <si>
    <t>ILEVRO (nepafenac)</t>
  </si>
  <si>
    <t>INVELTYS (loteprednol)</t>
  </si>
  <si>
    <t>LOTEMAX (loteprednol)</t>
  </si>
  <si>
    <t>LOTAMAX SM (loteprednol)</t>
  </si>
  <si>
    <t>loteprednol</t>
  </si>
  <si>
    <t>NEVANAC (nepafenac)</t>
  </si>
  <si>
    <t>PRED FORTE (prednisolone)</t>
  </si>
  <si>
    <t>PROLENSA (bromfenac)</t>
  </si>
  <si>
    <t>CEQUA (cyclosporine)</t>
  </si>
  <si>
    <t>EYSUVIS (loteprednol)</t>
  </si>
  <si>
    <t>MIEBO (perfluorohexyloactane)</t>
  </si>
  <si>
    <t>RESTASIS MULTIDOSE (cyclosporine)</t>
  </si>
  <si>
    <t>TYRVAYA (varenicline)</t>
  </si>
  <si>
    <t>VEVYE (cyclosporine)</t>
  </si>
  <si>
    <t>BETOPTIC S (betaxolol)</t>
  </si>
  <si>
    <t>timolol droperette, daily drop, gel</t>
  </si>
  <si>
    <t>TIMOPTIC (timolol)</t>
  </si>
  <si>
    <t>TIMOPTIC OCUDOSE (timolol)</t>
  </si>
  <si>
    <t>TIMOPTIC-XE (timolol)</t>
  </si>
  <si>
    <t>brimonidine/timolol</t>
  </si>
  <si>
    <t>COSOPT (dorzolamide/timolol)</t>
  </si>
  <si>
    <t>dorzolamide/timolol PF</t>
  </si>
  <si>
    <t>PHOSPHOLINE IODIDE (echothiophate iodide)</t>
  </si>
  <si>
    <t>Bimatoprost</t>
  </si>
  <si>
    <t>IYUZEH (latanoprost)</t>
  </si>
  <si>
    <t>LUMIGAN (bimatoprost)</t>
  </si>
  <si>
    <t>tafluprost</t>
  </si>
  <si>
    <t>TRAVATAN Z (travoprost)</t>
  </si>
  <si>
    <t>travoprost</t>
  </si>
  <si>
    <t>VYZULTA (latanoprost)</t>
  </si>
  <si>
    <t>XALATAN (latanoprost)</t>
  </si>
  <si>
    <t>XELPROS (latanoprost)</t>
  </si>
  <si>
    <t>ALOCRIL (nedocromil)</t>
  </si>
  <si>
    <t>ALOMIDE (lodoxamide)</t>
  </si>
  <si>
    <t>bepotastine</t>
  </si>
  <si>
    <t>BEPREVE (bepotastine)</t>
  </si>
  <si>
    <t>epinastine</t>
  </si>
  <si>
    <t>LASTACAFT (alcaftadine)</t>
  </si>
  <si>
    <t>VERKAZIA (cyclosporine)</t>
  </si>
  <si>
    <t>BRIXADI (buprenorphine)</t>
  </si>
  <si>
    <t>buprenorphine</t>
  </si>
  <si>
    <t>buprenorphine/naloxone film</t>
  </si>
  <si>
    <t>lofexidine</t>
  </si>
  <si>
    <t>LUCEMYRA (lofexidine)</t>
  </si>
  <si>
    <t>SUBLOCADE (buprenorphine)</t>
  </si>
  <si>
    <t>VIVITROL (naltrexone)</t>
  </si>
  <si>
    <t>ZUBSOLV (buprenorphine/naloxone)</t>
  </si>
  <si>
    <t>LIFEMS NALOXONE (naloxone)</t>
  </si>
  <si>
    <t>ciprofloxacin/fluocinolone</t>
  </si>
  <si>
    <t>ciprofloxacin/dexamethasone</t>
  </si>
  <si>
    <t>DERMOTIC (fluocinolone)</t>
  </si>
  <si>
    <t>FLAC OTIC OIL (fluocinolone)</t>
  </si>
  <si>
    <t>hydrocortisone/acetic acid</t>
  </si>
  <si>
    <t>OTOVEL (ciprofloxacin/fluocinolone)</t>
  </si>
  <si>
    <t>doxercalciferol</t>
  </si>
  <si>
    <t>RAYALDEE (calcifediol)</t>
  </si>
  <si>
    <t>ROCALTROL (calcitriol)</t>
  </si>
  <si>
    <t>SENSIPAR (cinacalcet)</t>
  </si>
  <si>
    <t>YORVIPATH (palopegteriparatide)</t>
  </si>
  <si>
    <t>AURYXIA (ferric citrate)</t>
  </si>
  <si>
    <t>FOSRENOL (lanthanum)</t>
  </si>
  <si>
    <t>lanthanum</t>
  </si>
  <si>
    <t>MAGNEBIND (calcium carbonate/magnesium)</t>
  </si>
  <si>
    <t>RENVELA (sevelamer)</t>
  </si>
  <si>
    <t>sevelamer carbonate packet</t>
  </si>
  <si>
    <t>sevelamer HCl</t>
  </si>
  <si>
    <t>VELPHORO (sucroferric oxyhydroxide)</t>
  </si>
  <si>
    <t>XPHOZAH (tenapanor)</t>
  </si>
  <si>
    <t>EFFIENT (prasugrel)</t>
  </si>
  <si>
    <t>PLAVIX (clopidogrel)</t>
  </si>
  <si>
    <t>ALVAIZ (eltrombopag)</t>
  </si>
  <si>
    <t>DOPTELET (avatrombopag)</t>
  </si>
  <si>
    <t>MULPLETA (lusutrombopag)</t>
  </si>
  <si>
    <t>PROMACTA (eltrombopag) packet</t>
  </si>
  <si>
    <t>KIONEX (sodium polystyrene sulfonate)</t>
  </si>
  <si>
    <t>sodium polystyrene sulfonate</t>
  </si>
  <si>
    <t>SPS (sodium polystyrene sulfonate) enema</t>
  </si>
  <si>
    <t>**Products not listed are assumed to be non-preferred**</t>
  </si>
  <si>
    <t>NUEDEXTA (dextromethorphan/quinidine)</t>
  </si>
  <si>
    <t>WINREVAIR (sotatercept-csrk)</t>
  </si>
  <si>
    <t>OPSYNVI (macitentan/tadalafil)</t>
  </si>
  <si>
    <t>OPSUMIT (macitentan)</t>
  </si>
  <si>
    <t>TRACLEER (bosentan)</t>
  </si>
  <si>
    <t>TRYVIO (aprocitentan)</t>
  </si>
  <si>
    <t>ADCIRCA (tadalafil)</t>
  </si>
  <si>
    <t>ALYQ (tadalafil)</t>
  </si>
  <si>
    <t>LIQREV (sildenafil)</t>
  </si>
  <si>
    <t>REVATIO (sildenafil)</t>
  </si>
  <si>
    <t>ORENITRAM ER (treprostinil)</t>
  </si>
  <si>
    <t>ORENITRAM TITRATION PAK (treprostinil)</t>
  </si>
  <si>
    <t>TYVASO (treprostinil)</t>
  </si>
  <si>
    <t>ADEMPAS (riociguat)</t>
  </si>
  <si>
    <t>AVAR (sulfacetamide sodium/sulfur)</t>
  </si>
  <si>
    <t>AVAR LS (sulfacetamide sodium/sulfur)</t>
  </si>
  <si>
    <t>AVAR-E (sulfacetamide sodium/sulfur)</t>
  </si>
  <si>
    <t>BP 10-1 (sulfacetamide sodium/sulfur)</t>
  </si>
  <si>
    <t>brimonidine</t>
  </si>
  <si>
    <t>EPSOLAY (benzoyl peroxide)</t>
  </si>
  <si>
    <t>FINACEA (azelaic acid)</t>
  </si>
  <si>
    <t>METROCREAM (metronidazole)</t>
  </si>
  <si>
    <t>METROGEL (metronidazole)</t>
  </si>
  <si>
    <t>MIRVASO (brimonidine)</t>
  </si>
  <si>
    <t>NORITATE (metronidazole)</t>
  </si>
  <si>
    <t>OVACE (sulfacetamide sodium)</t>
  </si>
  <si>
    <t>OVACE PLUS (sulfacetamide sodium)</t>
  </si>
  <si>
    <t>RHOFADE (oxymetazoline)</t>
  </si>
  <si>
    <t>ROSADAN (metronidazole)</t>
  </si>
  <si>
    <t>ROSULA (sulfacetamide sodium/sulfur)</t>
  </si>
  <si>
    <t>sodium sulfacetamide</t>
  </si>
  <si>
    <t>sodium sulfacetamide/sulfur</t>
  </si>
  <si>
    <t>SOOLANTRA (ivermectin)</t>
  </si>
  <si>
    <t>SUMADAN (sulfacetamide sodium/sulfur)</t>
  </si>
  <si>
    <t>SUMADAN XLT (sulfacetamide sodium/sulfur/avob</t>
  </si>
  <si>
    <t>SUMAXIN (sulfacetamide sodium/sulfur)</t>
  </si>
  <si>
    <t>SUMAXIN CP (sulfacetamide sodium/sulfur)</t>
  </si>
  <si>
    <t>SUMAXIN TS (sulfacetamide sodium/sulfur)</t>
  </si>
  <si>
    <t>Flurazepam</t>
  </si>
  <si>
    <t>HALCION (triazolam)</t>
  </si>
  <si>
    <t>quazepam</t>
  </si>
  <si>
    <t>RESTORIL (temazepam)</t>
  </si>
  <si>
    <t>temazepam 7.5 mg, 22.5 mg capsule</t>
  </si>
  <si>
    <t>AMBIEN (zolpidem)</t>
  </si>
  <si>
    <t>AMBIEN CR (zolpidem)</t>
  </si>
  <si>
    <t>BELSOMRA (suvorexant)</t>
  </si>
  <si>
    <t>DAYVIGO (lemborexant)</t>
  </si>
  <si>
    <t>doxepin</t>
  </si>
  <si>
    <t>EDULAR (zolpidem)</t>
  </si>
  <si>
    <t>HETLIOZ LQ (tasimelteon)</t>
  </si>
  <si>
    <t>LUNESTA (eszopiclone)</t>
  </si>
  <si>
    <t>QUVIVIQ (daridorexant)</t>
  </si>
  <si>
    <t>ROZEREM (ramelteon)</t>
  </si>
  <si>
    <t>tasimelteon</t>
  </si>
  <si>
    <t>zolpidem capsule</t>
  </si>
  <si>
    <t>zolpidem sublingual tablet</t>
  </si>
  <si>
    <t>zolpidem ER</t>
  </si>
  <si>
    <t>DEPO-PROVERA (medroxyprogesterone)</t>
  </si>
  <si>
    <t>PHEXXI (lactic acid/citric acid/potassium bitartrate)</t>
  </si>
  <si>
    <t>norelgestromin/ethinyl estradiol</t>
  </si>
  <si>
    <t>TWIRLA (levonorgestrel/ethinyl estradiol)</t>
  </si>
  <si>
    <t>ADAKVEO (crizanlizumab-tmca)</t>
  </si>
  <si>
    <t>CASGEVY (exagamglogene autotemcel)</t>
  </si>
  <si>
    <t>ENDARI (glutamine)</t>
  </si>
  <si>
    <t>HYDREA (hydroxyurea)</t>
  </si>
  <si>
    <t>l-glutamine</t>
  </si>
  <si>
    <t>LYFGENIA (lovotibeglogene autotemcel)</t>
  </si>
  <si>
    <t>SIKLOS (hydroxyurea)</t>
  </si>
  <si>
    <t>AMRIX (cyclobenzaprine)</t>
  </si>
  <si>
    <t>baclofen 15 mg tablet</t>
  </si>
  <si>
    <t>baclofen suspension</t>
  </si>
  <si>
    <t>carisoprodol</t>
  </si>
  <si>
    <t>carisoprodol/aspirin</t>
  </si>
  <si>
    <t>cyclobenzaprine 7.5 mg tablet</t>
  </si>
  <si>
    <t>cyclobenzaprine ER</t>
  </si>
  <si>
    <t>DANTRIUM (dantrolene)</t>
  </si>
  <si>
    <t>dantrolene</t>
  </si>
  <si>
    <t>FEXMID (cyclobenzaprine)</t>
  </si>
  <si>
    <t>FLEQSUVY (baclofen)</t>
  </si>
  <si>
    <t>LORZONE (chlorzoxazone)</t>
  </si>
  <si>
    <t>LYVISPAH (baclofen)</t>
  </si>
  <si>
    <t>metaxalone</t>
  </si>
  <si>
    <t>NORGESIC (orphenadrine/aspirin/caffeine)</t>
  </si>
  <si>
    <t>NORGESIC FORTE (orphenadrine/aspirin/caffeine)</t>
  </si>
  <si>
    <t>orphenadrine</t>
  </si>
  <si>
    <t>orphenadrine/aspirin/caffeine</t>
  </si>
  <si>
    <t>ORPHENGESIC FORTE (orphenadrine/aspirin/caffeine)</t>
  </si>
  <si>
    <t>SOMA (carisoprodol)</t>
  </si>
  <si>
    <t>TANLOR (methocarbamol)</t>
  </si>
  <si>
    <t>tizanidine capsule</t>
  </si>
  <si>
    <t>ZANAFLEX (tizanidine)</t>
  </si>
  <si>
    <t>NICOTROL INHALER CARTRIDGE</t>
  </si>
  <si>
    <t>NICOTROL NASAL SPRAY</t>
  </si>
  <si>
    <t>hydrocortisone lotion</t>
  </si>
  <si>
    <t>HYDROXYM (hydrocortisone)</t>
  </si>
  <si>
    <t>PROCTOCORT (hydrocortisone)</t>
  </si>
  <si>
    <t>BESER (fluticasone)</t>
  </si>
  <si>
    <t>CAPEX (fluocinolone)</t>
  </si>
  <si>
    <t>clocortolone</t>
  </si>
  <si>
    <t>CLODERM (clocortolone)</t>
  </si>
  <si>
    <t>flurandrenolide</t>
  </si>
  <si>
    <t>fluticasone lotion</t>
  </si>
  <si>
    <t>LOCOID (hydrocortisone butyrate)</t>
  </si>
  <si>
    <t>prednicarbate ointment</t>
  </si>
  <si>
    <t>amcinonide</t>
  </si>
  <si>
    <t>betamethasone dipropionate ointment</t>
  </si>
  <si>
    <t>desoximetasone</t>
  </si>
  <si>
    <t>diflorasone</t>
  </si>
  <si>
    <t>halcinonide</t>
  </si>
  <si>
    <t>HALOG (halcinonide)</t>
  </si>
  <si>
    <t>KENALOG (triamcinolone)</t>
  </si>
  <si>
    <t>TOPICORT (desoximetasone)</t>
  </si>
  <si>
    <t>triamcinolone spray</t>
  </si>
  <si>
    <t>APEXICON E (diflorasone)</t>
  </si>
  <si>
    <t>BRYHALI (halobetasol)</t>
  </si>
  <si>
    <t>clobetasol emulsion</t>
  </si>
  <si>
    <t>CLOBEX (clobetasol)</t>
  </si>
  <si>
    <t>CLODAN (clobetasol)</t>
  </si>
  <si>
    <t>DIPROLENE (betamethasone)</t>
  </si>
  <si>
    <t>IMPEKLO (clobetasol)</t>
  </si>
  <si>
    <t>LEXETTE (halobetasol)</t>
  </si>
  <si>
    <t>OLUX (clobetasol)</t>
  </si>
  <si>
    <t>TEMOVATE (clobetasol)</t>
  </si>
  <si>
    <t>TOVET (clobetasol)</t>
  </si>
  <si>
    <t>ADDERALL (dextroamphetamine/amphetamine)</t>
  </si>
  <si>
    <t>amphetamine</t>
  </si>
  <si>
    <t>EVEKEO (amphetamine)</t>
  </si>
  <si>
    <t>EVEKEO ODT (amphetamine)</t>
  </si>
  <si>
    <t>FOCALIN (dexmethylphenidate)</t>
  </si>
  <si>
    <t>methamphetamine</t>
  </si>
  <si>
    <t>METHYLN (methylphenidate)</t>
  </si>
  <si>
    <t>RITALIN (methylphenidate)</t>
  </si>
  <si>
    <t>ADZENYS XR ODT (amphetamine)</t>
  </si>
  <si>
    <t>APTENSIO XR (methylphenidate)</t>
  </si>
  <si>
    <t>AZSTARYS (serdexmethylphenidate/dexmethylphenidate)</t>
  </si>
  <si>
    <t>COTEMPLA XR ODT (methylphenidate)</t>
  </si>
  <si>
    <t>DAYTRANA (methylphenidate)</t>
  </si>
  <si>
    <t>DEXEDRINE (dextroamphetamine)</t>
  </si>
  <si>
    <t>FOCALIN XR (dexmethylphenidate)</t>
  </si>
  <si>
    <t>JORNAY PM (methylphenidate)</t>
  </si>
  <si>
    <t>methylphenidate patch</t>
  </si>
  <si>
    <t>methylphenidate ER capsule</t>
  </si>
  <si>
    <t>MYDAYIS (dextroamphetamine/amphetamine)</t>
  </si>
  <si>
    <t>RELEXXII (methylphenidate)</t>
  </si>
  <si>
    <t>RITALIN LA (methylphenidate)</t>
  </si>
  <si>
    <t>NUVIGIL (armodafinil)</t>
  </si>
  <si>
    <t>PROVIGIL (modafinil)</t>
  </si>
  <si>
    <t>sodium oxybate</t>
  </si>
  <si>
    <t>WAKIX (pitolisant)</t>
  </si>
  <si>
    <t>INTUNIV (guanfacine)</t>
  </si>
  <si>
    <t>NEXICLON XR (clonidine)</t>
  </si>
  <si>
    <t>ONYDA XR (clonidine)</t>
  </si>
  <si>
    <t>demeclocycline</t>
  </si>
  <si>
    <t>DORYX (doxycycline hyclate)</t>
  </si>
  <si>
    <t>DORYX MPC (doxycycline hyclate)</t>
  </si>
  <si>
    <t>doxycycline hyclate DR</t>
  </si>
  <si>
    <t>doxycycline IR/DR</t>
  </si>
  <si>
    <t>doxycycline monohydrate suspension, tablet</t>
  </si>
  <si>
    <t>LYMEPAK (doxycycline hyclate)</t>
  </si>
  <si>
    <t>MINOCIN (minocycline)</t>
  </si>
  <si>
    <t>minocycline tablet</t>
  </si>
  <si>
    <t>minocycline ER</t>
  </si>
  <si>
    <t>MINOLIRA ER (minocycline)</t>
  </si>
  <si>
    <t>MORGIDOX (doxycycline hyclate)</t>
  </si>
  <si>
    <t>NUZYRA (omadacycline)</t>
  </si>
  <si>
    <t>ORACEA (doxycycline monohydrate)</t>
  </si>
  <si>
    <t>SOLODYN (minocycline)</t>
  </si>
  <si>
    <t>tetracycline tablet</t>
  </si>
  <si>
    <t>AZULFIDINE (sulfasalazine)</t>
  </si>
  <si>
    <t>COLAZAL (balsalazide)</t>
  </si>
  <si>
    <t>DELZICOL (mesalamine)</t>
  </si>
  <si>
    <t>DIPENTUM (olsalazine)</t>
  </si>
  <si>
    <t>LIALDA (mesalamine)</t>
  </si>
  <si>
    <t>mesalamine</t>
  </si>
  <si>
    <t>mesalamine DR</t>
  </si>
  <si>
    <t>mesalamine ER</t>
  </si>
  <si>
    <t>VELSIPITY (etrasimod)</t>
  </si>
  <si>
    <t>CANASA (mesalamine)</t>
  </si>
  <si>
    <t>mesalamine enema</t>
  </si>
  <si>
    <t>ROWASA (mesalamine)</t>
  </si>
  <si>
    <t>SFROWASA (mesalamine)</t>
  </si>
  <si>
    <t>BUPHENYL (sodium phenylbutyrate)</t>
  </si>
  <si>
    <t>OLPRUVA (sodium phenylbutyrate)</t>
  </si>
  <si>
    <t>PHEBURANE (sodium phenylbutyrate)</t>
  </si>
  <si>
    <t>RAVICTI (glycerol phenylbutyrate)</t>
  </si>
  <si>
    <t>VYALEV (foscarbidopa/foslevodopa) NR</t>
  </si>
  <si>
    <t>Abilify</t>
  </si>
  <si>
    <t>Abilify MyCite</t>
  </si>
  <si>
    <t>Abilify Asimtufii</t>
  </si>
  <si>
    <t>Abilify Maintena</t>
  </si>
  <si>
    <t>Abrilada</t>
  </si>
  <si>
    <t>Aciphex</t>
  </si>
  <si>
    <t>Actemra prefilled syringe</t>
  </si>
  <si>
    <t>Actemra vial</t>
  </si>
  <si>
    <t>Adakveo</t>
  </si>
  <si>
    <t>Adalimumab-adaz</t>
  </si>
  <si>
    <t>Adalimumab-adbm auto-injector</t>
  </si>
  <si>
    <t>Adalimumab-adbm prefilled syringe</t>
  </si>
  <si>
    <t>Adalimumab-fkjp auto-injector</t>
  </si>
  <si>
    <t>Adalimumab-fkjp prefilled syringe</t>
  </si>
  <si>
    <t>Adbry</t>
  </si>
  <si>
    <t>Adcirca</t>
  </si>
  <si>
    <t>Adderall XR ER capsule</t>
  </si>
  <si>
    <t>Adempas</t>
  </si>
  <si>
    <t>Adlyxin</t>
  </si>
  <si>
    <t>Admelog</t>
  </si>
  <si>
    <t>Admelog SoloStar</t>
  </si>
  <si>
    <t>Adstiladrin</t>
  </si>
  <si>
    <t>Adthyza</t>
  </si>
  <si>
    <t>Advair Diskus</t>
  </si>
  <si>
    <t>Advair HFA</t>
  </si>
  <si>
    <t>Advate</t>
  </si>
  <si>
    <t>Adynovate</t>
  </si>
  <si>
    <t>Afstyla</t>
  </si>
  <si>
    <t>Aimovig</t>
  </si>
  <si>
    <t>Airduo Digihaler</t>
  </si>
  <si>
    <t>Airduo Respiclick</t>
  </si>
  <si>
    <t>Airsupra HFA</t>
  </si>
  <si>
    <t>Ajovy</t>
  </si>
  <si>
    <t>Albuterol HFA generic PROAIR</t>
  </si>
  <si>
    <t>Aldurazyme</t>
  </si>
  <si>
    <t>Alecensa</t>
  </si>
  <si>
    <t>Alphagan P 0.001</t>
  </si>
  <si>
    <t>Alprolix</t>
  </si>
  <si>
    <t>Altuviiio</t>
  </si>
  <si>
    <t>Alunbrig</t>
  </si>
  <si>
    <t>Alvesco</t>
  </si>
  <si>
    <t>Alyq</t>
  </si>
  <si>
    <t>Ambien</t>
  </si>
  <si>
    <t>Ambien CR</t>
  </si>
  <si>
    <t>Ambrisentan</t>
  </si>
  <si>
    <t>Amjevita</t>
  </si>
  <si>
    <t>Amjevita High</t>
  </si>
  <si>
    <t>Amjevita Low</t>
  </si>
  <si>
    <t>Amlodipine Besylate tablet</t>
  </si>
  <si>
    <t>Amondys 45</t>
  </si>
  <si>
    <t>Amrix</t>
  </si>
  <si>
    <t>Amvuttra</t>
  </si>
  <si>
    <t>Annovera</t>
  </si>
  <si>
    <t>Anoro Ellipta</t>
  </si>
  <si>
    <t>Apidra</t>
  </si>
  <si>
    <t>Apidra SoloStar</t>
  </si>
  <si>
    <t>Aplenzin</t>
  </si>
  <si>
    <t>Aptiom</t>
  </si>
  <si>
    <t>Aqneursa oral suspension</t>
  </si>
  <si>
    <t>Arcalyst</t>
  </si>
  <si>
    <t>Aricept</t>
  </si>
  <si>
    <t>Arikayce</t>
  </si>
  <si>
    <t>Aripiprazole ODT</t>
  </si>
  <si>
    <t>Aripiprazole oral solution</t>
  </si>
  <si>
    <t>Aripiprazole tablet</t>
  </si>
  <si>
    <t>Aristada</t>
  </si>
  <si>
    <t>Aristada Initio</t>
  </si>
  <si>
    <t>Armonair Digihaler</t>
  </si>
  <si>
    <t>Armour Thyroid</t>
  </si>
  <si>
    <t>Arnuity Ellipta</t>
  </si>
  <si>
    <t>Asacol HD</t>
  </si>
  <si>
    <t>Asenapine</t>
  </si>
  <si>
    <t>Asmanex HFA</t>
  </si>
  <si>
    <t>Asmanex Twisthaler</t>
  </si>
  <si>
    <t>Atripla</t>
  </si>
  <si>
    <t>Attruby tablet therapy pack</t>
  </si>
  <si>
    <t>Aubagio tablet</t>
  </si>
  <si>
    <t>Augtyro capsule</t>
  </si>
  <si>
    <t>Auryxia</t>
  </si>
  <si>
    <t>Austedo</t>
  </si>
  <si>
    <t>Austedo XR</t>
  </si>
  <si>
    <t>Austedo XR titration pack</t>
  </si>
  <si>
    <t>Auvelity</t>
  </si>
  <si>
    <t>Auvi-Q 0.15 mg</t>
  </si>
  <si>
    <t>Auvi-Q 0.1 mg</t>
  </si>
  <si>
    <t>Auvi-Q 0.3 mg</t>
  </si>
  <si>
    <t>Avastin</t>
  </si>
  <si>
    <t>Avonex auto-injector</t>
  </si>
  <si>
    <t>Avonex prefilled syringe</t>
  </si>
  <si>
    <t>Azacitidine vial</t>
  </si>
  <si>
    <t>Azilsartan</t>
  </si>
  <si>
    <t>Azstarys</t>
  </si>
  <si>
    <t>Baclofen solution</t>
  </si>
  <si>
    <t>Baclofen tablet</t>
  </si>
  <si>
    <t>Bafiertam</t>
  </si>
  <si>
    <t>Banzel oral suspension</t>
  </si>
  <si>
    <t>Banzel tablet</t>
  </si>
  <si>
    <t>Baraclude</t>
  </si>
  <si>
    <t>Basaglar Kwikpen</t>
  </si>
  <si>
    <t>Bavencio</t>
  </si>
  <si>
    <t>Benazepril</t>
  </si>
  <si>
    <t>Benefix</t>
  </si>
  <si>
    <t>Benlysta</t>
  </si>
  <si>
    <t>Beovu</t>
  </si>
  <si>
    <t>Betapace</t>
  </si>
  <si>
    <t>Betapace AF</t>
  </si>
  <si>
    <t>Bethkis</t>
  </si>
  <si>
    <t>Bevespi Aerosphere</t>
  </si>
  <si>
    <t>Biktarvy</t>
  </si>
  <si>
    <t>Bimzelx</t>
  </si>
  <si>
    <t>Blephamide</t>
  </si>
  <si>
    <t>Blephamide S.O.P.</t>
  </si>
  <si>
    <t>Bosentan</t>
  </si>
  <si>
    <t>Botox</t>
  </si>
  <si>
    <t>Breo Ellipta</t>
  </si>
  <si>
    <t>Breyanzi vial</t>
  </si>
  <si>
    <t>Breyna</t>
  </si>
  <si>
    <t>Breztri Aerosphere</t>
  </si>
  <si>
    <t>Briumvi</t>
  </si>
  <si>
    <t>Briviact</t>
  </si>
  <si>
    <t>Brukinsa</t>
  </si>
  <si>
    <t>Budesonide respules (inhalation suspension)</t>
  </si>
  <si>
    <t>Budesonide / Formoterol authorized generic Symbicort</t>
  </si>
  <si>
    <t>Buphenyl powder</t>
  </si>
  <si>
    <t>Buphenyl tablet</t>
  </si>
  <si>
    <t>Bydureon Bcise</t>
  </si>
  <si>
    <t>Bydureon Pen</t>
  </si>
  <si>
    <t>Byetta</t>
  </si>
  <si>
    <t>Bylvay</t>
  </si>
  <si>
    <t>Byooviz</t>
  </si>
  <si>
    <t>Cablivi</t>
  </si>
  <si>
    <t>Calquence</t>
  </si>
  <si>
    <t>Camzyos</t>
  </si>
  <si>
    <t>Candesartan</t>
  </si>
  <si>
    <t>Caplyta</t>
  </si>
  <si>
    <t>Caprelsa</t>
  </si>
  <si>
    <t>Captopril</t>
  </si>
  <si>
    <t>Cayston</t>
  </si>
  <si>
    <t>Cequa</t>
  </si>
  <si>
    <t>Cerdelga</t>
  </si>
  <si>
    <t>Cerezyme 400 Units</t>
  </si>
  <si>
    <t>Chenodal (Chenodiol) tablet</t>
  </si>
  <si>
    <t>Cholbam (Cholic Acid) capsule</t>
  </si>
  <si>
    <t>Cibinqo</t>
  </si>
  <si>
    <t>Cimzia</t>
  </si>
  <si>
    <t>Cinqair</t>
  </si>
  <si>
    <t>Cleocin 2% cream</t>
  </si>
  <si>
    <t>Cleocin Ovules / vaginal suppository</t>
  </si>
  <si>
    <t>Clindamycin 2% Cream</t>
  </si>
  <si>
    <t>Clindesse 2% prefilled applicator cream</t>
  </si>
  <si>
    <t>Clobazam oral suspension</t>
  </si>
  <si>
    <t>Clobazam tablet</t>
  </si>
  <si>
    <t>Clozapine ODT</t>
  </si>
  <si>
    <t>Clozapine tablet</t>
  </si>
  <si>
    <t>Clozaril</t>
  </si>
  <si>
    <t>Cobenfy capsule</t>
  </si>
  <si>
    <t>Combigan</t>
  </si>
  <si>
    <t>Combivent Respimat (Ipratropium/Albuterol) inhalation aerosol solution</t>
  </si>
  <si>
    <t>Complera</t>
  </si>
  <si>
    <t>Copaxone (Glatiramer Acetate) 20 mg</t>
  </si>
  <si>
    <t>Copaxone (Glatiramer Acetate) 40 mg</t>
  </si>
  <si>
    <t>Cosentyx</t>
  </si>
  <si>
    <t>Crenessity capsule</t>
  </si>
  <si>
    <t>Crenessity oral solution</t>
  </si>
  <si>
    <t>Creon</t>
  </si>
  <si>
    <t>Crysvita</t>
  </si>
  <si>
    <t>Cyltezo</t>
  </si>
  <si>
    <t>Danicopan</t>
  </si>
  <si>
    <t>Dantrium</t>
  </si>
  <si>
    <t>Dapagliflozin</t>
  </si>
  <si>
    <t>Darzalex</t>
  </si>
  <si>
    <t>Darzalex Faspro</t>
  </si>
  <si>
    <t>Daxxify</t>
  </si>
  <si>
    <t>Daybue oral solution</t>
  </si>
  <si>
    <t>Depakote</t>
  </si>
  <si>
    <t>Descovy</t>
  </si>
  <si>
    <t>Dexcom G4</t>
  </si>
  <si>
    <t>Dexcom G5</t>
  </si>
  <si>
    <t>Dexcom G6</t>
  </si>
  <si>
    <t>Dexcom G7</t>
  </si>
  <si>
    <t>Diacomit capsule</t>
  </si>
  <si>
    <t>Diacomit packet for oral suspension</t>
  </si>
  <si>
    <t>Dimethyl Fumarate</t>
  </si>
  <si>
    <t>Dojolvi</t>
  </si>
  <si>
    <t>Donepezil ODT</t>
  </si>
  <si>
    <t>Donepezil tablet</t>
  </si>
  <si>
    <t>Doptelet</t>
  </si>
  <si>
    <t>Duaklir Pressair</t>
  </si>
  <si>
    <t>Dulera</t>
  </si>
  <si>
    <t>Duloxetine</t>
  </si>
  <si>
    <t>Dupixent</t>
  </si>
  <si>
    <t>Durysta</t>
  </si>
  <si>
    <t>Duvyzat oral suspension</t>
  </si>
  <si>
    <t>Dyanavel XR oral suspension</t>
  </si>
  <si>
    <t>Dyanavel XR tablet</t>
  </si>
  <si>
    <t>Dysport</t>
  </si>
  <si>
    <t>Edarbi</t>
  </si>
  <si>
    <t>Edarbyclor</t>
  </si>
  <si>
    <t>Elelyso</t>
  </si>
  <si>
    <t>Elevidys intravenous infusion kit</t>
  </si>
  <si>
    <t>Elfabrio</t>
  </si>
  <si>
    <t>Eliphos</t>
  </si>
  <si>
    <t>Eliquis</t>
  </si>
  <si>
    <t>Elitek</t>
  </si>
  <si>
    <t>Eloctate</t>
  </si>
  <si>
    <t>Eluryng</t>
  </si>
  <si>
    <t>Emflaza oral suspension</t>
  </si>
  <si>
    <t>Emflaza tablet</t>
  </si>
  <si>
    <t>Emgality 100 mg</t>
  </si>
  <si>
    <t>Emgality 120 mg</t>
  </si>
  <si>
    <t>Empaveli</t>
  </si>
  <si>
    <t>Emtricitabine-Tenofovir Disoproxil Fumarate</t>
  </si>
  <si>
    <t>Emtriva capsule</t>
  </si>
  <si>
    <t>Emtriva oral solution</t>
  </si>
  <si>
    <t>Enalapril</t>
  </si>
  <si>
    <t>Enbrel</t>
  </si>
  <si>
    <t>Endari</t>
  </si>
  <si>
    <t>Enjaymo</t>
  </si>
  <si>
    <t>Enspryng</t>
  </si>
  <si>
    <t>Entecavir</t>
  </si>
  <si>
    <t>Entyvio</t>
  </si>
  <si>
    <t>Envarsus XR</t>
  </si>
  <si>
    <t>Epclusa</t>
  </si>
  <si>
    <t>Epidiolex</t>
  </si>
  <si>
    <t>Epinephrine (Generic Adrenaclick) 0.15mg</t>
  </si>
  <si>
    <t>Epinephrine (Generic Adrenaclick) 0.3mg</t>
  </si>
  <si>
    <t>Epinephrine (Mylan Ag Epipen And Jr) 0.15mg Mylan's EpiPen Jr AG</t>
  </si>
  <si>
    <t>Epinephrine (Mylan Ag Epipen And Jr) 0.3mg Mylan's EpiPen AG</t>
  </si>
  <si>
    <t>Epipen</t>
  </si>
  <si>
    <t>Epipen Jr.</t>
  </si>
  <si>
    <t>Epivir HBV oral solution</t>
  </si>
  <si>
    <t>Epivir HBV tablet</t>
  </si>
  <si>
    <t>Epogen</t>
  </si>
  <si>
    <t>Eprontia</t>
  </si>
  <si>
    <t>Eprosartan</t>
  </si>
  <si>
    <t>Epzicom</t>
  </si>
  <si>
    <t>Equetro</t>
  </si>
  <si>
    <t>Esbriet</t>
  </si>
  <si>
    <t>Esomeprazole</t>
  </si>
  <si>
    <t>Esperoct</t>
  </si>
  <si>
    <t>Etonogestrel / Ethinyl Estradiol</t>
  </si>
  <si>
    <t>Eucrisa</t>
  </si>
  <si>
    <t>Evkeeza</t>
  </si>
  <si>
    <t>Evrysdi</t>
  </si>
  <si>
    <t>Exelon</t>
  </si>
  <si>
    <t>Exkivity</t>
  </si>
  <si>
    <t>Exondys 51</t>
  </si>
  <si>
    <t>Eylea</t>
  </si>
  <si>
    <t>Eylea HD intravitreal solution</t>
  </si>
  <si>
    <t>Fabhalta</t>
  </si>
  <si>
    <t>Fabrazyme</t>
  </si>
  <si>
    <t>Fanapt</t>
  </si>
  <si>
    <t>Farxiga</t>
  </si>
  <si>
    <t>Fasenra auto-injector</t>
  </si>
  <si>
    <t>Fasenra prefilled syringe</t>
  </si>
  <si>
    <t>Fazaclo</t>
  </si>
  <si>
    <t>Felbatol oral suspension</t>
  </si>
  <si>
    <t>Felbatol tablet</t>
  </si>
  <si>
    <t>Femlyv</t>
  </si>
  <si>
    <t>Fensolvi</t>
  </si>
  <si>
    <t>Fetzima</t>
  </si>
  <si>
    <t>Fexmid</t>
  </si>
  <si>
    <t>Fiasp</t>
  </si>
  <si>
    <t>Fiasp FlexTouch</t>
  </si>
  <si>
    <t>Filspari</t>
  </si>
  <si>
    <t>Fingolimod capsule</t>
  </si>
  <si>
    <t>Fintepla</t>
  </si>
  <si>
    <t>Flarex ophthalmic suspension</t>
  </si>
  <si>
    <t>Fleqsuvy</t>
  </si>
  <si>
    <t>Flovent Diskus</t>
  </si>
  <si>
    <t>Flovent HFA</t>
  </si>
  <si>
    <t>Fluticasone-Salmeterol generic Advair Diskus</t>
  </si>
  <si>
    <t>Fluticasone-Salmeterol generic Advair HFA</t>
  </si>
  <si>
    <t>Forteo</t>
  </si>
  <si>
    <t>Fosinopril</t>
  </si>
  <si>
    <t>Freestyle Libre</t>
  </si>
  <si>
    <t>Freestyle Libre 2</t>
  </si>
  <si>
    <t>Freestyle Libre 3</t>
  </si>
  <si>
    <t>Fruzaqla</t>
  </si>
  <si>
    <t>Fulphila</t>
  </si>
  <si>
    <t>Fylnetra</t>
  </si>
  <si>
    <t>Galafold</t>
  </si>
  <si>
    <t>Galantamine oral solution</t>
  </si>
  <si>
    <t>Galantamine tablet</t>
  </si>
  <si>
    <t>Galantamine ER</t>
  </si>
  <si>
    <t>Gamifant</t>
  </si>
  <si>
    <t>Gavreto</t>
  </si>
  <si>
    <t>Genotropin</t>
  </si>
  <si>
    <t>Genvoya</t>
  </si>
  <si>
    <t>Geodon</t>
  </si>
  <si>
    <t>Gilenya capsule</t>
  </si>
  <si>
    <t>Gilotrif</t>
  </si>
  <si>
    <t>Glatiramer Acetate prefilled syringe</t>
  </si>
  <si>
    <t>Glatopa (Glatiramer Acetate) prefilled syringe</t>
  </si>
  <si>
    <t>Gleevec</t>
  </si>
  <si>
    <t>Gralise</t>
  </si>
  <si>
    <t>Grastek</t>
  </si>
  <si>
    <t>Guardian</t>
  </si>
  <si>
    <t>Hadlima</t>
  </si>
  <si>
    <t>Harvoni</t>
  </si>
  <si>
    <t>Helidac</t>
  </si>
  <si>
    <t>Hemangeol</t>
  </si>
  <si>
    <t>Hemgenix</t>
  </si>
  <si>
    <t>Hemlibra</t>
  </si>
  <si>
    <t>Hepsera</t>
  </si>
  <si>
    <t>Herceptin</t>
  </si>
  <si>
    <t>Horizant</t>
  </si>
  <si>
    <t>Hulio High</t>
  </si>
  <si>
    <t>Humalog vial</t>
  </si>
  <si>
    <t>Humalog Junior KwikPen</t>
  </si>
  <si>
    <t>Humalog KwikPen, U-100</t>
  </si>
  <si>
    <t>Humatrope</t>
  </si>
  <si>
    <t>Humira Citrate Free (CiF)</t>
  </si>
  <si>
    <t>Humira Original</t>
  </si>
  <si>
    <t>Hycamtin capsule</t>
  </si>
  <si>
    <t>Hycamtin vial</t>
  </si>
  <si>
    <t>Hyrimoz 80 mg</t>
  </si>
  <si>
    <t>Hyrimoz</t>
  </si>
  <si>
    <t>Ibrance</t>
  </si>
  <si>
    <t>Iclusig</t>
  </si>
  <si>
    <t>Idacio</t>
  </si>
  <si>
    <t>Idelvion</t>
  </si>
  <si>
    <t>iDose® TR</t>
  </si>
  <si>
    <t>Ilaris</t>
  </si>
  <si>
    <t>Ilevro ophthalmic suspension</t>
  </si>
  <si>
    <t>Imatinib</t>
  </si>
  <si>
    <t>Imbruvica</t>
  </si>
  <si>
    <t>Imfinzi</t>
  </si>
  <si>
    <t>Imjudo</t>
  </si>
  <si>
    <t>Ingrezza</t>
  </si>
  <si>
    <t>Ingrezza sprinkle capsule</t>
  </si>
  <si>
    <t>Ingrezza titration pack</t>
  </si>
  <si>
    <t>Insulin Glargine</t>
  </si>
  <si>
    <t>Insulin Lispro</t>
  </si>
  <si>
    <t>Invega ER</t>
  </si>
  <si>
    <t>Invega Hafyera</t>
  </si>
  <si>
    <t>Invega Sustenna</t>
  </si>
  <si>
    <t>Invega Trinza</t>
  </si>
  <si>
    <t>Invokamet</t>
  </si>
  <si>
    <t>Invokana</t>
  </si>
  <si>
    <t>Iopidine ophthalmic solution</t>
  </si>
  <si>
    <t>Ipratropium/Albuterol nebulized solution</t>
  </si>
  <si>
    <t>Iqirvo (Elafibranor) tablet</t>
  </si>
  <si>
    <t>Irbesartan</t>
  </si>
  <si>
    <t>Iwilfin</t>
  </si>
  <si>
    <t>Ixinity</t>
  </si>
  <si>
    <t>Izervay</t>
  </si>
  <si>
    <t>Jakafi</t>
  </si>
  <si>
    <t>Janumet</t>
  </si>
  <si>
    <t>Januvia</t>
  </si>
  <si>
    <t>Jardiance</t>
  </si>
  <si>
    <t>Jevtana</t>
  </si>
  <si>
    <t>Jivi</t>
  </si>
  <si>
    <t>Joenja</t>
  </si>
  <si>
    <t>Jornay PM</t>
  </si>
  <si>
    <t>Kalydeco</t>
  </si>
  <si>
    <t>Keppra oral solution</t>
  </si>
  <si>
    <t>Keppra tablet</t>
  </si>
  <si>
    <t>Keppra XR</t>
  </si>
  <si>
    <t>Kerendia</t>
  </si>
  <si>
    <t>Kesimpta</t>
  </si>
  <si>
    <t>Kevzara prefilled syringe</t>
  </si>
  <si>
    <t>Kevzara prefilled pen</t>
  </si>
  <si>
    <t>Keytruda</t>
  </si>
  <si>
    <t>Kisqali</t>
  </si>
  <si>
    <t>Kitabis Pak</t>
  </si>
  <si>
    <t>Kloxxado</t>
  </si>
  <si>
    <t>Kogenate FS</t>
  </si>
  <si>
    <t>Konvomep</t>
  </si>
  <si>
    <t>Koselugo</t>
  </si>
  <si>
    <t>Kovaltry</t>
  </si>
  <si>
    <t>Krazati</t>
  </si>
  <si>
    <t>Krystexxa</t>
  </si>
  <si>
    <t>Kuvan packet for oral solution</t>
  </si>
  <si>
    <t>Kuvan tablet</t>
  </si>
  <si>
    <t>Kyleena</t>
  </si>
  <si>
    <t>Kymriah (Tisagenlecleucel) premixed infusion</t>
  </si>
  <si>
    <t>Lamictal ODT</t>
  </si>
  <si>
    <t>Lamictal tablet</t>
  </si>
  <si>
    <t>Lamotrigine</t>
  </si>
  <si>
    <t>Lansoprazole</t>
  </si>
  <si>
    <t>Lansoprazole / Amoxicillin / Clarithromycin</t>
  </si>
  <si>
    <t>Lantus SoloStar</t>
  </si>
  <si>
    <t>Lantus vial</t>
  </si>
  <si>
    <t>Lastacaft</t>
  </si>
  <si>
    <t>Latuda</t>
  </si>
  <si>
    <t>Ledipasvir / Sofosbuvir</t>
  </si>
  <si>
    <t>Letairis</t>
  </si>
  <si>
    <t>Levalbuterol Tartrate inhalation aerosol solution</t>
  </si>
  <si>
    <t>Levemir vial</t>
  </si>
  <si>
    <t>Levemir FlexTouch</t>
  </si>
  <si>
    <t>Libervant buccal film</t>
  </si>
  <si>
    <t>Libtayo</t>
  </si>
  <si>
    <t>Liletta</t>
  </si>
  <si>
    <t>Linzess</t>
  </si>
  <si>
    <t>Linzess 72 mcg</t>
  </si>
  <si>
    <t>Liqrev</t>
  </si>
  <si>
    <t>Lisinopril</t>
  </si>
  <si>
    <t>Litfulo</t>
  </si>
  <si>
    <t>Livmarli</t>
  </si>
  <si>
    <t>Lokelma</t>
  </si>
  <si>
    <t>Lo Loestrin Fe</t>
  </si>
  <si>
    <t>Lorbrena</t>
  </si>
  <si>
    <t>Lorzone</t>
  </si>
  <si>
    <t>Losartan</t>
  </si>
  <si>
    <t>Lucemyra</t>
  </si>
  <si>
    <t>Lucentis</t>
  </si>
  <si>
    <t>Lumakras</t>
  </si>
  <si>
    <t>Lumigan 2.5 mL</t>
  </si>
  <si>
    <t>Lumigan 5 mL</t>
  </si>
  <si>
    <t>Lumigan 7.5 mL</t>
  </si>
  <si>
    <t>Lumizyme</t>
  </si>
  <si>
    <t>Lumryz (sodium oxybate)</t>
  </si>
  <si>
    <t>Lupkynis</t>
  </si>
  <si>
    <t>Lupron Depot-Ped 1-Month</t>
  </si>
  <si>
    <t>Lupron Depot-Ped 3-Month</t>
  </si>
  <si>
    <t>Lurasidone</t>
  </si>
  <si>
    <t>Luxturna</t>
  </si>
  <si>
    <t>Lybalvi</t>
  </si>
  <si>
    <t>Lynparza</t>
  </si>
  <si>
    <t>Lyrica</t>
  </si>
  <si>
    <t>Lyumjev vial</t>
  </si>
  <si>
    <t>Lyumjev KwikPen, U-100</t>
  </si>
  <si>
    <t>Lyumjev KwikPen, U-200</t>
  </si>
  <si>
    <t>Mavyret</t>
  </si>
  <si>
    <t>Maxidex ophthalmic suspension</t>
  </si>
  <si>
    <t>Maxitrol ophthalmic ointment</t>
  </si>
  <si>
    <t>Maxitrol ophthalmic suspension</t>
  </si>
  <si>
    <t>Memantine oral solution</t>
  </si>
  <si>
    <t>Memantine tablet</t>
  </si>
  <si>
    <t>Memantine XR</t>
  </si>
  <si>
    <t>Mepsevii</t>
  </si>
  <si>
    <t>Metaxalone</t>
  </si>
  <si>
    <t>Metoprolol Succinate ER tablet</t>
  </si>
  <si>
    <t>Metrogel 0.75%</t>
  </si>
  <si>
    <t>Metronidazole 0.75% Gel</t>
  </si>
  <si>
    <t>Miebo</t>
  </si>
  <si>
    <t>Miplyffa (Arimoclomol) capsule</t>
  </si>
  <si>
    <t>Mirena</t>
  </si>
  <si>
    <t>Mounjaro</t>
  </si>
  <si>
    <t>Mozobil</t>
  </si>
  <si>
    <t>Naloxone carpuject</t>
  </si>
  <si>
    <t>Naloxone nasal spray</t>
  </si>
  <si>
    <t>Naloxone vial</t>
  </si>
  <si>
    <t>Namenda</t>
  </si>
  <si>
    <t>Namenda XR</t>
  </si>
  <si>
    <t>Namzaric</t>
  </si>
  <si>
    <t>Narcan</t>
  </si>
  <si>
    <t>Natacyn (Natamycin) ophthalmic suspension</t>
  </si>
  <si>
    <t>Natroba</t>
  </si>
  <si>
    <t>Nayzilam</t>
  </si>
  <si>
    <t>Neulasta</t>
  </si>
  <si>
    <t>Neulasta Onpro</t>
  </si>
  <si>
    <t>Nevanac ophthalmic suspension</t>
  </si>
  <si>
    <t>Nexavar</t>
  </si>
  <si>
    <t>Nexium DR capsule</t>
  </si>
  <si>
    <t>Nexium DR packet for oral suspension</t>
  </si>
  <si>
    <t>Nextstellis</t>
  </si>
  <si>
    <t>Nexviazyme</t>
  </si>
  <si>
    <t>Ngenla</t>
  </si>
  <si>
    <t>Nilandron</t>
  </si>
  <si>
    <t>Ninlaro</t>
  </si>
  <si>
    <t>Norditropin</t>
  </si>
  <si>
    <t>Norgesic Forte</t>
  </si>
  <si>
    <t>Novoeight</t>
  </si>
  <si>
    <t>Novolin 70/30</t>
  </si>
  <si>
    <t>Novolin 70/30 Flexpen OTC</t>
  </si>
  <si>
    <t>Novolin N</t>
  </si>
  <si>
    <t>Novolin R</t>
  </si>
  <si>
    <t>Novolog</t>
  </si>
  <si>
    <t>Novolog cartridge</t>
  </si>
  <si>
    <t>Novolog FlexPen</t>
  </si>
  <si>
    <t>Novolog 70/30</t>
  </si>
  <si>
    <t>Novolog 70/30 FlexPen</t>
  </si>
  <si>
    <t>Novoseven RT</t>
  </si>
  <si>
    <t>NP Thyroid</t>
  </si>
  <si>
    <t>Nubeqa</t>
  </si>
  <si>
    <t>Nucala</t>
  </si>
  <si>
    <t>Nuplazid</t>
  </si>
  <si>
    <t>Nurtec ODT</t>
  </si>
  <si>
    <t>Nutropin AQ</t>
  </si>
  <si>
    <t>Nuvaring</t>
  </si>
  <si>
    <t>Nuvessa</t>
  </si>
  <si>
    <t>Nuwiq</t>
  </si>
  <si>
    <t>Nyvepria</t>
  </si>
  <si>
    <t>Ocrevus</t>
  </si>
  <si>
    <t>Ocrevus Zunovo subcutaneous vial</t>
  </si>
  <si>
    <t>Odactra</t>
  </si>
  <si>
    <t>Odefsey</t>
  </si>
  <si>
    <t>Ofev</t>
  </si>
  <si>
    <t>Ogsiveo</t>
  </si>
  <si>
    <t>Ojemda</t>
  </si>
  <si>
    <t>Olanzapine ODT</t>
  </si>
  <si>
    <t>Olanzapine tablet</t>
  </si>
  <si>
    <t>Olanzapine vial</t>
  </si>
  <si>
    <t>Olanzapine And Fluoxetine</t>
  </si>
  <si>
    <t>Olmesartan</t>
  </si>
  <si>
    <t>Olpruva</t>
  </si>
  <si>
    <t>Olumiant</t>
  </si>
  <si>
    <t>Omeclamox-Pak</t>
  </si>
  <si>
    <t>Omeprazole capsule</t>
  </si>
  <si>
    <t>Omeprazole tablet</t>
  </si>
  <si>
    <t>Omnipod</t>
  </si>
  <si>
    <t>Omnitrope</t>
  </si>
  <si>
    <t>Onfi oral suspension</t>
  </si>
  <si>
    <t>Onfi tablet</t>
  </si>
  <si>
    <t>Opdivo</t>
  </si>
  <si>
    <t>Opdualag (Nivolumab/Relatlimab-Rmbw) vial</t>
  </si>
  <si>
    <t>Opsumit</t>
  </si>
  <si>
    <t>Opsynvi tablet</t>
  </si>
  <si>
    <t>Opvee (Nalmefene)</t>
  </si>
  <si>
    <t>Oralair</t>
  </si>
  <si>
    <t>Orencia vial</t>
  </si>
  <si>
    <t>Orencia prefilled syringe</t>
  </si>
  <si>
    <t>Orenitram ER</t>
  </si>
  <si>
    <t>Oriahnn</t>
  </si>
  <si>
    <t>Orilissa</t>
  </si>
  <si>
    <t>Orladeyo</t>
  </si>
  <si>
    <t>Orphenadrine ER</t>
  </si>
  <si>
    <t>Oseltamivir</t>
  </si>
  <si>
    <t>Otezla</t>
  </si>
  <si>
    <t>Oxbryta</t>
  </si>
  <si>
    <t>Ozempic</t>
  </si>
  <si>
    <t>Ozobax</t>
  </si>
  <si>
    <t>Ozurdex</t>
  </si>
  <si>
    <t>Paliperidone ER</t>
  </si>
  <si>
    <t>Pantoprazole DR packet for oral suspension</t>
  </si>
  <si>
    <t>Pantoprazole tablet</t>
  </si>
  <si>
    <t>Pavblu intravitreal prefilled syringe</t>
  </si>
  <si>
    <t>Pavblu intravitreal solution</t>
  </si>
  <si>
    <t>Perseris</t>
  </si>
  <si>
    <t>Pheburane</t>
  </si>
  <si>
    <t>Phexxi</t>
  </si>
  <si>
    <t>Polivy</t>
  </si>
  <si>
    <t>Pombiliti</t>
  </si>
  <si>
    <t>Pradaxa</t>
  </si>
  <si>
    <t>Pradaxa packet</t>
  </si>
  <si>
    <t>Praluent</t>
  </si>
  <si>
    <t>Pred-G Drops/Susp</t>
  </si>
  <si>
    <t>Prevacid capsule</t>
  </si>
  <si>
    <t>Prevacid SoluTab</t>
  </si>
  <si>
    <t>Prevpac</t>
  </si>
  <si>
    <t>Prilosec DR capsule</t>
  </si>
  <si>
    <t>Prilosec DR packet for oral suspension</t>
  </si>
  <si>
    <t>Proair Digihaler</t>
  </si>
  <si>
    <t>Proair HFA</t>
  </si>
  <si>
    <t>Proair Respiclick</t>
  </si>
  <si>
    <t>Promacta oral suspension</t>
  </si>
  <si>
    <t>Promacta tablet</t>
  </si>
  <si>
    <t>Protonix DR packet oral suspension</t>
  </si>
  <si>
    <t>Protonix DR tablet</t>
  </si>
  <si>
    <t>Proventil HFA</t>
  </si>
  <si>
    <t>Pulmicort Flexhaler</t>
  </si>
  <si>
    <t>Pulmicort Respules 1 mg</t>
  </si>
  <si>
    <t>Pulmicort Respules 0.25 mg</t>
  </si>
  <si>
    <t>Pulmicort Respules 0.5 mg</t>
  </si>
  <si>
    <t>Pylera</t>
  </si>
  <si>
    <t>Qelbree</t>
  </si>
  <si>
    <t>Quetiapine</t>
  </si>
  <si>
    <t>Quetiapine ER</t>
  </si>
  <si>
    <t>Quillichew XR</t>
  </si>
  <si>
    <t>Quillivant XR</t>
  </si>
  <si>
    <t>Quinapril</t>
  </si>
  <si>
    <t>Qulipta</t>
  </si>
  <si>
    <t>Qvar</t>
  </si>
  <si>
    <t>Rabeprazole sprinkle capsule</t>
  </si>
  <si>
    <t>Rabeprazole tablet</t>
  </si>
  <si>
    <t>Ragwitek</t>
  </si>
  <si>
    <t>Ramipril</t>
  </si>
  <si>
    <t>Ranexa</t>
  </si>
  <si>
    <t>Ravicti</t>
  </si>
  <si>
    <t>Rebif (Interferon Beta-1a) prefilled syringe</t>
  </si>
  <si>
    <t>Rebinyn</t>
  </si>
  <si>
    <t>Reblozyl (Luspatercept-Aamt) vial</t>
  </si>
  <si>
    <t>Rebyota</t>
  </si>
  <si>
    <t>Relyvrio</t>
  </si>
  <si>
    <t>Renagel</t>
  </si>
  <si>
    <t>Renvela</t>
  </si>
  <si>
    <t>Repatha</t>
  </si>
  <si>
    <t>Restasis</t>
  </si>
  <si>
    <t>Retevmo</t>
  </si>
  <si>
    <t>Revatio oral suspension</t>
  </si>
  <si>
    <t>Revatio tablet</t>
  </si>
  <si>
    <t>Rexulti</t>
  </si>
  <si>
    <t>Reyvow</t>
  </si>
  <si>
    <t>Rezdiffra</t>
  </si>
  <si>
    <t>Rezurock</t>
  </si>
  <si>
    <t>Riabni</t>
  </si>
  <si>
    <t>Rinvoq</t>
  </si>
  <si>
    <t>Risperdal oral solution</t>
  </si>
  <si>
    <t>Risperdal tablet</t>
  </si>
  <si>
    <t>Risperdal Consta</t>
  </si>
  <si>
    <t>Risperidone ODT</t>
  </si>
  <si>
    <t>Risperidone oral solution</t>
  </si>
  <si>
    <t>Risperidone tablet</t>
  </si>
  <si>
    <t>Rituxan</t>
  </si>
  <si>
    <t>Rituxan Hycela</t>
  </si>
  <si>
    <t>Rivastigmine capsule</t>
  </si>
  <si>
    <t>Rivastigmine patch</t>
  </si>
  <si>
    <t>Rivastigmine oral solution</t>
  </si>
  <si>
    <t>Rixubis</t>
  </si>
  <si>
    <t>Rolvedon prefilled syringe</t>
  </si>
  <si>
    <t>Rozlytrek (Entrectinib) capsule</t>
  </si>
  <si>
    <t>Rozlytrek (Entrectinib) pellet packet</t>
  </si>
  <si>
    <t>Rubraca</t>
  </si>
  <si>
    <t>Ruconest</t>
  </si>
  <si>
    <t>Ruxience</t>
  </si>
  <si>
    <t>Rybelsus</t>
  </si>
  <si>
    <t>Rydapt</t>
  </si>
  <si>
    <t>Rykindo</t>
  </si>
  <si>
    <t>Rylaze</t>
  </si>
  <si>
    <t>Rystiggo</t>
  </si>
  <si>
    <t>Ryzneuta prefilled syringe</t>
  </si>
  <si>
    <t>Sabril packet for oral solution</t>
  </si>
  <si>
    <t>Sabril tablet</t>
  </si>
  <si>
    <t>Saizen</t>
  </si>
  <si>
    <t>Saphnelo</t>
  </si>
  <si>
    <t>Saphris</t>
  </si>
  <si>
    <t>Sarclisa</t>
  </si>
  <si>
    <t>Saxenda</t>
  </si>
  <si>
    <t>Secuado</t>
  </si>
  <si>
    <t>Segluromet</t>
  </si>
  <si>
    <t>Select-Ob + Dha</t>
  </si>
  <si>
    <t>Select-Ob Tab Chew</t>
  </si>
  <si>
    <t>Semglee</t>
  </si>
  <si>
    <t>Seroquel</t>
  </si>
  <si>
    <t>Seroquel XR</t>
  </si>
  <si>
    <t>Sevelamer carbonate tablets</t>
  </si>
  <si>
    <t>Sevelamer hydrochloride tablets</t>
  </si>
  <si>
    <t>SevenFACT</t>
  </si>
  <si>
    <t>Sildenafil 20 mg</t>
  </si>
  <si>
    <t>Sildenafil oral suspension</t>
  </si>
  <si>
    <t>Simlandi auto-injector</t>
  </si>
  <si>
    <t>Simponi</t>
  </si>
  <si>
    <t>Skelaxin</t>
  </si>
  <si>
    <t>Skyclarys</t>
  </si>
  <si>
    <t>Skyla</t>
  </si>
  <si>
    <t>Skyrizi</t>
  </si>
  <si>
    <t>Skytrofa</t>
  </si>
  <si>
    <t>Slynd</t>
  </si>
  <si>
    <t>Sodium Phenylbutyrate powder</t>
  </si>
  <si>
    <t>Sodium Phenylbutyrate tablet</t>
  </si>
  <si>
    <t>Sodium Polystyrene Sulfonate</t>
  </si>
  <si>
    <t>Sofosbuvir / Velpatasvir</t>
  </si>
  <si>
    <t>Sogroya</t>
  </si>
  <si>
    <t>Sohonos</t>
  </si>
  <si>
    <t>Soliqua</t>
  </si>
  <si>
    <t>Soliris</t>
  </si>
  <si>
    <t>Solosec</t>
  </si>
  <si>
    <t>Soma</t>
  </si>
  <si>
    <t>Sorafenib</t>
  </si>
  <si>
    <t>Sorine</t>
  </si>
  <si>
    <t>Sotyktu tablet</t>
  </si>
  <si>
    <t>Sovaldi</t>
  </si>
  <si>
    <t>Spinraza</t>
  </si>
  <si>
    <t>Spiriva Handihaler (Tiotropium Bromide) inhalation capsule</t>
  </si>
  <si>
    <t>Spiriva Respimat (Tiotropium Bromide) inhalation aerosol solution</t>
  </si>
  <si>
    <t>Spravato</t>
  </si>
  <si>
    <t>SPS oral suspension</t>
  </si>
  <si>
    <t>SPS enema</t>
  </si>
  <si>
    <t>Steglatro</t>
  </si>
  <si>
    <t>Steglujan</t>
  </si>
  <si>
    <t>Stelara</t>
  </si>
  <si>
    <t>Stimufend prefilled syringe</t>
  </si>
  <si>
    <t>Stiolto Respimat</t>
  </si>
  <si>
    <t>Stivarga</t>
  </si>
  <si>
    <t>Stribild</t>
  </si>
  <si>
    <t>Stuart One Otc</t>
  </si>
  <si>
    <t>Sublocade</t>
  </si>
  <si>
    <t>Suboxone</t>
  </si>
  <si>
    <t>Sunosi</t>
  </si>
  <si>
    <t>Supprelin LA</t>
  </si>
  <si>
    <t>Susvimo</t>
  </si>
  <si>
    <t>Syfovre</t>
  </si>
  <si>
    <t>Symbicort</t>
  </si>
  <si>
    <t>Symbyax</t>
  </si>
  <si>
    <t>Symjepi 0.15 mg</t>
  </si>
  <si>
    <t>Symjepi 0.3 mg</t>
  </si>
  <si>
    <t>Sympazan oral film</t>
  </si>
  <si>
    <t>Synagis</t>
  </si>
  <si>
    <t>Synarel</t>
  </si>
  <si>
    <t>Synthroid</t>
  </si>
  <si>
    <t>Tabrecta</t>
  </si>
  <si>
    <t>Tadalafil</t>
  </si>
  <si>
    <t>Tadliq</t>
  </si>
  <si>
    <t>Tagrisso</t>
  </si>
  <si>
    <t>Talicia</t>
  </si>
  <si>
    <t>Talzenna</t>
  </si>
  <si>
    <t>Tamiflu</t>
  </si>
  <si>
    <t>Tarceva</t>
  </si>
  <si>
    <t>Tarpeyo</t>
  </si>
  <si>
    <t>Tavalisse</t>
  </si>
  <si>
    <t>Tavneos</t>
  </si>
  <si>
    <t>Taytulla</t>
  </si>
  <si>
    <t>Tecartus</t>
  </si>
  <si>
    <t>Tecentriq</t>
  </si>
  <si>
    <t>Tecfidera (Dimethyl Fumarate) DR capsule</t>
  </si>
  <si>
    <t>Telmisartan</t>
  </si>
  <si>
    <t>Tepezza</t>
  </si>
  <si>
    <t>Teriflunomide</t>
  </si>
  <si>
    <t>Teriparatide</t>
  </si>
  <si>
    <t>Tetrabenazine</t>
  </si>
  <si>
    <t>Tezspire</t>
  </si>
  <si>
    <t>Thymoglobulin</t>
  </si>
  <si>
    <t>Tivdak</t>
  </si>
  <si>
    <t>Tivicay</t>
  </si>
  <si>
    <t>Tobi Podhaler</t>
  </si>
  <si>
    <t>Tobi</t>
  </si>
  <si>
    <t>Tobradex ST ophthalmic suspension</t>
  </si>
  <si>
    <t>Tobramycin</t>
  </si>
  <si>
    <t>Topamax Sprinkle</t>
  </si>
  <si>
    <t>Topiramate</t>
  </si>
  <si>
    <t>Topotecan</t>
  </si>
  <si>
    <t>Toujeo Max Solostar</t>
  </si>
  <si>
    <t>Toujeo Solostar</t>
  </si>
  <si>
    <t>Tracleer</t>
  </si>
  <si>
    <t>Tracleer tablet for oral suspension</t>
  </si>
  <si>
    <t>Trandolapril</t>
  </si>
  <si>
    <t>Trelegy Ellipta</t>
  </si>
  <si>
    <t>Tresiba vial</t>
  </si>
  <si>
    <t>Tresiba FlexTouch, U-100</t>
  </si>
  <si>
    <t>Tresiba FlexTouch, U-200</t>
  </si>
  <si>
    <t>Tretten</t>
  </si>
  <si>
    <t>Trintellix</t>
  </si>
  <si>
    <t>Triptodur</t>
  </si>
  <si>
    <t>Triumeq</t>
  </si>
  <si>
    <t>Trodelvy</t>
  </si>
  <si>
    <t>Trokendi XR ER capsule</t>
  </si>
  <si>
    <t>Trudhesa</t>
  </si>
  <si>
    <t>Trulicity</t>
  </si>
  <si>
    <t>Truqap</t>
  </si>
  <si>
    <t>Truvada</t>
  </si>
  <si>
    <t>Truxima</t>
  </si>
  <si>
    <t>Twirla</t>
  </si>
  <si>
    <t>Tyblume</t>
  </si>
  <si>
    <t>Tybost</t>
  </si>
  <si>
    <t>Tysabri</t>
  </si>
  <si>
    <t>Tyvaso inhalation solution</t>
  </si>
  <si>
    <t>Tyvaso DPI</t>
  </si>
  <si>
    <t>Tzield</t>
  </si>
  <si>
    <t>Ubrelvy</t>
  </si>
  <si>
    <t>Udenyca</t>
  </si>
  <si>
    <t>Ultomiris</t>
  </si>
  <si>
    <t>Uplizna</t>
  </si>
  <si>
    <t>Uptravi tablet</t>
  </si>
  <si>
    <t>Uptravi vial</t>
  </si>
  <si>
    <t>Uzedy</t>
  </si>
  <si>
    <t>Vabysmo</t>
  </si>
  <si>
    <t>Valsartan</t>
  </si>
  <si>
    <t>Valtoco</t>
  </si>
  <si>
    <t>Vandazole</t>
  </si>
  <si>
    <t>Vanflyta</t>
  </si>
  <si>
    <t>Velcade</t>
  </si>
  <si>
    <t>Velsipity (Etrasimod) tablet</t>
  </si>
  <si>
    <t>Veltassa</t>
  </si>
  <si>
    <t>Vemlidy</t>
  </si>
  <si>
    <t>Venclexta</t>
  </si>
  <si>
    <t>Ventavis</t>
  </si>
  <si>
    <t>Ventolin HFA</t>
  </si>
  <si>
    <t>Verkazia</t>
  </si>
  <si>
    <t>Versacloz</t>
  </si>
  <si>
    <t>Verzenio</t>
  </si>
  <si>
    <t>Vevye ophthalmic solution</t>
  </si>
  <si>
    <t>Viberzi</t>
  </si>
  <si>
    <t>Victoza</t>
  </si>
  <si>
    <t>Vidaza (Azacitidine) vial</t>
  </si>
  <si>
    <t>Vigabatrin packet for oral solution</t>
  </si>
  <si>
    <t>Vigabatrin tablet</t>
  </si>
  <si>
    <t>Vigafyde oral solution</t>
  </si>
  <si>
    <t>Vigpoder</t>
  </si>
  <si>
    <t>Viibryd</t>
  </si>
  <si>
    <t>Viltepso</t>
  </si>
  <si>
    <t>Vimpat</t>
  </si>
  <si>
    <t>Viread</t>
  </si>
  <si>
    <t>Vitafol Fe+</t>
  </si>
  <si>
    <t>Vitafol Nano</t>
  </si>
  <si>
    <t>Vitafol-Ob</t>
  </si>
  <si>
    <t>Vitafol-Ob+Dha</t>
  </si>
  <si>
    <t>Vitafol-One</t>
  </si>
  <si>
    <t>Vitafol Tab Chew</t>
  </si>
  <si>
    <t>Vitafol Ultra</t>
  </si>
  <si>
    <t>Vitrakvi capsule</t>
  </si>
  <si>
    <t>Vitrakvi oral solution</t>
  </si>
  <si>
    <t>Vivitrol</t>
  </si>
  <si>
    <t>Vizimpro</t>
  </si>
  <si>
    <t>Voquezna</t>
  </si>
  <si>
    <t>Voquezna Dual Pak (Vonoprazan And Amoxicillin)</t>
  </si>
  <si>
    <t>Voquezna Triple Pak (Vonoprazan, Amoxicillin, And Clarithromycin)</t>
  </si>
  <si>
    <t>Vosevi</t>
  </si>
  <si>
    <t>Votrient</t>
  </si>
  <si>
    <t>Voxzogo</t>
  </si>
  <si>
    <t>Vpriv</t>
  </si>
  <si>
    <t>Vraylar</t>
  </si>
  <si>
    <t>Vtama Atopic Dermatitis</t>
  </si>
  <si>
    <t>Vtama Plaque Psoriasis</t>
  </si>
  <si>
    <t>Vyepti</t>
  </si>
  <si>
    <t>Vyjuvek</t>
  </si>
  <si>
    <t>Vyndamax</t>
  </si>
  <si>
    <t>Vyndaqel capsule</t>
  </si>
  <si>
    <t>Vyondys 53</t>
  </si>
  <si>
    <t>Vyxeos</t>
  </si>
  <si>
    <t>Wainua</t>
  </si>
  <si>
    <t>Wakix</t>
  </si>
  <si>
    <t>Wegovy</t>
  </si>
  <si>
    <t>Winlevi</t>
  </si>
  <si>
    <t>Winrevair vial</t>
  </si>
  <si>
    <t>Wixela</t>
  </si>
  <si>
    <t>Xalkori capsule</t>
  </si>
  <si>
    <t>Xalkori sprinkle capsule</t>
  </si>
  <si>
    <t>Xarelto 2.5 mg</t>
  </si>
  <si>
    <t>Xarelto</t>
  </si>
  <si>
    <t>Xarelto starter pack</t>
  </si>
  <si>
    <t>Xarelto oral suspension</t>
  </si>
  <si>
    <t>Xcopri</t>
  </si>
  <si>
    <t>Xdemvy</t>
  </si>
  <si>
    <t>Xeljanz</t>
  </si>
  <si>
    <t>Xenazine</t>
  </si>
  <si>
    <t>Xeomin</t>
  </si>
  <si>
    <t>Xigduo XR</t>
  </si>
  <si>
    <t>Xofigo</t>
  </si>
  <si>
    <t>Xofluza</t>
  </si>
  <si>
    <t>Xolair auto-injector</t>
  </si>
  <si>
    <t>Xopenex HFA</t>
  </si>
  <si>
    <t>Xtandi</t>
  </si>
  <si>
    <t>Xulane</t>
  </si>
  <si>
    <t>Xultophy</t>
  </si>
  <si>
    <t>Xyntha</t>
  </si>
  <si>
    <t>Xyrem</t>
  </si>
  <si>
    <t>Xywav</t>
  </si>
  <si>
    <t>Ycanth</t>
  </si>
  <si>
    <t>Yervoy</t>
  </si>
  <si>
    <t>Yescarta IV</t>
  </si>
  <si>
    <t>Yorvipath</t>
  </si>
  <si>
    <t>Yuflyma</t>
  </si>
  <si>
    <t>Yupelri (Revefenacin) inhalation solution</t>
  </si>
  <si>
    <t>Yusimry</t>
  </si>
  <si>
    <t>Zafemy</t>
  </si>
  <si>
    <t>Zaltrap</t>
  </si>
  <si>
    <t>Zanaflex capsule</t>
  </si>
  <si>
    <t>Zanaflex tablet</t>
  </si>
  <si>
    <t>Zarxio</t>
  </si>
  <si>
    <t>Zavzpret</t>
  </si>
  <si>
    <t>Zegerid</t>
  </si>
  <si>
    <t>Zejula</t>
  </si>
  <si>
    <t>Zepatier</t>
  </si>
  <si>
    <t>Zeposia</t>
  </si>
  <si>
    <t>Zepzelca</t>
  </si>
  <si>
    <t>Zerviate (Cetirizine) ophthalmic solution</t>
  </si>
  <si>
    <t>Ziextenzo</t>
  </si>
  <si>
    <t>Zilbrysq</t>
  </si>
  <si>
    <t>Ziprasidone</t>
  </si>
  <si>
    <t>Zokinvy</t>
  </si>
  <si>
    <t>Zolgensma</t>
  </si>
  <si>
    <t>Zolpidem</t>
  </si>
  <si>
    <t>Zolpidem CR</t>
  </si>
  <si>
    <t>Zonisade</t>
  </si>
  <si>
    <t>Zoryve cream, 0.15%, Atopic Dermatitis</t>
  </si>
  <si>
    <t>Zoryve cream, 0.3%, Plaque Psoriasis</t>
  </si>
  <si>
    <t>Ztalmy</t>
  </si>
  <si>
    <t>Zurzuvae</t>
  </si>
  <si>
    <t>Zynlonta</t>
  </si>
  <si>
    <t>Zyprexa</t>
  </si>
  <si>
    <t>Zyprexa Zydis</t>
  </si>
  <si>
    <t>Zyprexa Relprevv</t>
  </si>
  <si>
    <t>Drugs</t>
  </si>
  <si>
    <t>Status</t>
  </si>
  <si>
    <t>PDL Name</t>
  </si>
  <si>
    <t>PDL Status</t>
  </si>
  <si>
    <t>Confidence</t>
  </si>
  <si>
    <t/>
  </si>
  <si>
    <t>Non-PDL</t>
  </si>
  <si>
    <t>CHECK</t>
  </si>
  <si>
    <t>Check Status</t>
  </si>
  <si>
    <t>ST</t>
  </si>
  <si>
    <t>Drug</t>
  </si>
  <si>
    <t>Tag</t>
  </si>
  <si>
    <t>PDL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</si>
</sst>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5C364-1995-C14C-8451-6216241FDA5D}">
  <sheetPr codeName="Sheet1"/>
  <dimension ref="A1:H2157"/>
  <sheetViews>
    <sheetView tabSelected="1" workbookViewId="0">
      <selection activeCell="L19" sqref="L19"/>
    </sheetView>
  </sheetViews>
  <sheetFormatPr baseColWidth="10" defaultRowHeight="16" x14ac:dyDescent="0.2"/>
  <cols>
    <col min="1" max="1" width="58.83203125" bestFit="1" customWidth="1"/>
    <col min="2" max="2" width="58.83203125" customWidth="1"/>
    <col min="4" max="4" width="60.33203125" bestFit="1" customWidth="1"/>
    <col min="5" max="5" width="57.1640625" bestFit="1" customWidth="1"/>
    <col min="6" max="6" width="12.6640625" bestFit="1" customWidth="1"/>
    <col min="7" max="7" width="13" style="1" bestFit="1" customWidth="1"/>
    <col min="8" max="8" width="11.83203125" bestFit="1" customWidth="1"/>
  </cols>
  <sheetData>
    <row r="1" spans="1:8" x14ac:dyDescent="0.2">
      <c r="A1" t="s">
        <v>0</v>
      </c>
      <c r="B1" t="s">
        <v>2983</v>
      </c>
      <c r="D1" t="s">
        <v>2982</v>
      </c>
      <c r="E1" t="s">
        <v>2984</v>
      </c>
      <c r="F1" t="s">
        <v>2985</v>
      </c>
      <c r="G1" s="1" t="s">
        <v>2986</v>
      </c>
      <c r="H1" t="s">
        <v>2990</v>
      </c>
    </row>
    <row r="2" spans="1:8" x14ac:dyDescent="0.2">
      <c r="A2" t="s">
        <v>2</v>
      </c>
      <c r="B2" t="s">
        <v>0</v>
      </c>
      <c r="D2" t="s">
        <v>2118</v>
      </c>
      <c r="E2" t="str" cm="1">
        <f t="array" ref="E2">IF(COUNTIF(A:A, "*" &amp; LEFT(D2, FIND(" ", D2 &amp; " ") - 1) &amp; "*") &gt; 0,INDEX(A:A,FuzzyVLookup(D2,A:A,0,,,3)),"Non-PDL")</f>
        <v>ABILIFY (aripiprazole)</v>
      </c>
      <c r="F2" t="str">
        <f>_xlfn.IFNA(_xlfn.XLOOKUP(E2,A:A,B:B),"Non-PDL")</f>
        <v>Non-Preferred</v>
      </c>
      <c r="G2" s="1" cm="1">
        <f t="array" ref="G2">FuzzyPercent(D2,E2,3)</f>
        <v>0.35555556416511536</v>
      </c>
      <c r="H2" t="str">
        <f>IF(F2="Non-PDL","",IF(G2&lt;0.3,"CHECK",""))</f>
        <v/>
      </c>
    </row>
    <row r="3" spans="1:8" x14ac:dyDescent="0.2">
      <c r="A3" t="s">
        <v>4</v>
      </c>
      <c r="B3" t="s">
        <v>0</v>
      </c>
      <c r="D3" t="s">
        <v>2119</v>
      </c>
      <c r="E3" t="str" cm="1">
        <f t="array" ref="E3">IF(COUNTIF(A:A, "*" &amp; LEFT(D3, FIND(" ", D3 &amp; " ") - 1) &amp; "*") &gt; 0,INDEX(A:A,FuzzyVLookup(D3,A:A,0,,,3)),"Non-PDL")</f>
        <v>ABILIFY MYCITE (aripiprazole)</v>
      </c>
      <c r="F3" t="str">
        <f t="shared" ref="F3:F66" si="0">_xlfn.IFNA(_xlfn.XLOOKUP(E3,A:A,B:B),"Non-PDL")</f>
        <v>Non-Preferred</v>
      </c>
      <c r="G3" s="1" cm="1">
        <f t="array" ref="G3">FuzzyPercent(D3,E3,3)</f>
        <v>0.56944441795349121</v>
      </c>
      <c r="H3" t="str">
        <f t="shared" ref="H3:H66" si="1">IF(F3="Non-PDL","",IF(G3&lt;0.3,"CHECK",""))</f>
        <v/>
      </c>
    </row>
    <row r="4" spans="1:8" x14ac:dyDescent="0.2">
      <c r="A4" t="s">
        <v>6</v>
      </c>
      <c r="B4" t="s">
        <v>0</v>
      </c>
      <c r="D4" t="s">
        <v>2120</v>
      </c>
      <c r="E4" t="str" cm="1">
        <f t="array" ref="E4">IF(COUNTIF(A:A, "*" &amp; LEFT(D4, FIND(" ", D4 &amp; " ") - 1) &amp; "*") &gt; 0,INDEX(A:A,FuzzyVLookup(D4,A:A,0,,,3)),"Non-PDL")</f>
        <v>ABILIFY ASIMTUFII (aripiprazole)</v>
      </c>
      <c r="F4" t="str">
        <f t="shared" si="0"/>
        <v>Preferred</v>
      </c>
      <c r="G4" s="1" cm="1">
        <f t="array" ref="G4">FuzzyPercent(D4,E4,3)</f>
        <v>0.60818713903427124</v>
      </c>
      <c r="H4" t="str">
        <f t="shared" si="1"/>
        <v/>
      </c>
    </row>
    <row r="5" spans="1:8" x14ac:dyDescent="0.2">
      <c r="A5" t="s">
        <v>8</v>
      </c>
      <c r="B5" t="s">
        <v>0</v>
      </c>
      <c r="D5" t="s">
        <v>2121</v>
      </c>
      <c r="E5" t="str" cm="1">
        <f t="array" ref="E5">IF(COUNTIF(A:A, "*" &amp; LEFT(D5, FIND(" ", D5 &amp; " ") - 1) &amp; "*") &gt; 0,INDEX(A:A,FuzzyVLookup(D5,A:A,0,,,3)),"Non-PDL")</f>
        <v>ABILIFY MAINTENA (aripiprazole)</v>
      </c>
      <c r="F5" t="str">
        <f t="shared" si="0"/>
        <v>Preferred</v>
      </c>
      <c r="G5" s="1" cm="1">
        <f t="array" ref="G5">FuzzyPercent(D5,E5,3)</f>
        <v>0.61349695920944214</v>
      </c>
      <c r="H5" t="str">
        <f t="shared" si="1"/>
        <v/>
      </c>
    </row>
    <row r="6" spans="1:8" x14ac:dyDescent="0.2">
      <c r="A6" t="s">
        <v>10</v>
      </c>
      <c r="B6" t="s">
        <v>0</v>
      </c>
      <c r="D6" t="s">
        <v>2122</v>
      </c>
      <c r="E6" t="str" cm="1">
        <f t="array" ref="E6">IF(COUNTIF(A:A, "*" &amp; LEFT(D6, FIND(" ", D6 &amp; " ") - 1) &amp; "*") &gt; 0,INDEX(A:A,FuzzyVLookup(D6,A:A,0,,,3)),"Non-PDL")</f>
        <v>Non-PDL</v>
      </c>
      <c r="F6" t="str">
        <f t="shared" si="0"/>
        <v>Non-PDL</v>
      </c>
      <c r="G6" s="1" cm="1">
        <f t="array" ref="G6">FuzzyPercent(D6,E6,3)</f>
        <v>5.000000074505806E-2</v>
      </c>
      <c r="H6" t="str">
        <f t="shared" si="1"/>
        <v/>
      </c>
    </row>
    <row r="7" spans="1:8" x14ac:dyDescent="0.2">
      <c r="A7" t="s">
        <v>12</v>
      </c>
      <c r="B7" t="s">
        <v>0</v>
      </c>
      <c r="D7" t="s">
        <v>2123</v>
      </c>
      <c r="E7" t="str" cm="1">
        <f t="array" ref="E7">IF(COUNTIF(A:A, "*" &amp; LEFT(D7, FIND(" ", D7 &amp; " ") - 1) &amp; "*") &gt; 0,INDEX(A:A,FuzzyVLookup(D7,A:A,0,,,3)),"Non-PDL")</f>
        <v>Non-PDL</v>
      </c>
      <c r="F7" t="str">
        <f t="shared" si="0"/>
        <v>Non-PDL</v>
      </c>
      <c r="G7" s="1" cm="1">
        <f t="array" ref="G7">FuzzyPercent(D7,E7,3)</f>
        <v>6.25E-2</v>
      </c>
      <c r="H7" t="str">
        <f t="shared" si="1"/>
        <v/>
      </c>
    </row>
    <row r="8" spans="1:8" x14ac:dyDescent="0.2">
      <c r="A8" t="s">
        <v>14</v>
      </c>
      <c r="B8" t="s">
        <v>0</v>
      </c>
      <c r="D8" t="s">
        <v>2124</v>
      </c>
      <c r="E8" t="str" cm="1">
        <f t="array" ref="E8">IF(COUNTIF(A:A, "*" &amp; LEFT(D8, FIND(" ", D8 &amp; " ") - 1) &amp; "*") &gt; 0,INDEX(A:A,FuzzyVLookup(D8,A:A,0,,,3)),"Non-PDL")</f>
        <v>Non-PDL</v>
      </c>
      <c r="F8" t="str">
        <f t="shared" si="0"/>
        <v>Non-PDL</v>
      </c>
      <c r="G8" s="1" cm="1">
        <f t="array" ref="G8">FuzzyPercent(D8,E8,3)</f>
        <v>0</v>
      </c>
      <c r="H8" t="str">
        <f t="shared" si="1"/>
        <v/>
      </c>
    </row>
    <row r="9" spans="1:8" x14ac:dyDescent="0.2">
      <c r="A9" t="s">
        <v>16</v>
      </c>
      <c r="B9" t="s">
        <v>0</v>
      </c>
      <c r="D9" t="s">
        <v>2125</v>
      </c>
      <c r="E9" t="str" cm="1">
        <f t="array" ref="E9">IF(COUNTIF(A:A, "*" &amp; LEFT(D9, FIND(" ", D9 &amp; " ") - 1) &amp; "*") &gt; 0,INDEX(A:A,FuzzyVLookup(D9,A:A,0,,,3)),"Non-PDL")</f>
        <v>Non-PDL</v>
      </c>
      <c r="F9" t="str">
        <f t="shared" si="0"/>
        <v>Non-PDL</v>
      </c>
      <c r="G9" s="1" cm="1">
        <f t="array" ref="G9">FuzzyPercent(D9,E9,3)</f>
        <v>0</v>
      </c>
      <c r="H9" t="str">
        <f t="shared" si="1"/>
        <v/>
      </c>
    </row>
    <row r="10" spans="1:8" x14ac:dyDescent="0.2">
      <c r="A10" t="s">
        <v>18</v>
      </c>
      <c r="B10" t="s">
        <v>0</v>
      </c>
      <c r="D10" t="s">
        <v>2126</v>
      </c>
      <c r="E10" t="str" cm="1">
        <f t="array" ref="E10">IF(COUNTIF(A:A, "*" &amp; LEFT(D10, FIND(" ", D10 &amp; " ") - 1) &amp; "*") &gt; 0,INDEX(A:A,FuzzyVLookup(D10,A:A,0,,,3)),"Non-PDL")</f>
        <v>ADAKVEO (crizanlizumab-tmca)</v>
      </c>
      <c r="F10" t="str">
        <f t="shared" si="0"/>
        <v>Non-Preferred</v>
      </c>
      <c r="G10" s="1" cm="1">
        <f t="array" ref="G10">FuzzyPercent(D10,E10,3)</f>
        <v>0.27350428700447083</v>
      </c>
      <c r="H10" t="str">
        <f t="shared" si="1"/>
        <v>CHECK</v>
      </c>
    </row>
    <row r="11" spans="1:8" x14ac:dyDescent="0.2">
      <c r="A11" t="s">
        <v>20</v>
      </c>
      <c r="B11" t="s">
        <v>0</v>
      </c>
      <c r="D11" t="s">
        <v>2127</v>
      </c>
      <c r="E11" t="str" cm="1">
        <f t="array" ref="E11">IF(COUNTIF(A:A, "*" &amp; LEFT(D11, FIND(" ", D11 &amp; " ") - 1) &amp; "*") &gt; 0,INDEX(A:A,FuzzyVLookup(D11,A:A,0,,,3)),"Non-PDL")</f>
        <v>adalimumab-adaz</v>
      </c>
      <c r="F11" t="str">
        <f t="shared" si="0"/>
        <v>Non-Preferred</v>
      </c>
      <c r="G11" s="1" cm="1">
        <f t="array" ref="G11">FuzzyPercent(D11,E11,3)</f>
        <v>1</v>
      </c>
      <c r="H11" t="str">
        <f t="shared" si="1"/>
        <v/>
      </c>
    </row>
    <row r="12" spans="1:8" x14ac:dyDescent="0.2">
      <c r="A12" t="s">
        <v>22</v>
      </c>
      <c r="B12" t="s">
        <v>0</v>
      </c>
      <c r="D12" t="s">
        <v>2128</v>
      </c>
      <c r="E12" t="str" cm="1">
        <f t="array" ref="E12">IF(COUNTIF(A:A, "*" &amp; LEFT(D12, FIND(" ", D12 &amp; " ") - 1) &amp; "*") &gt; 0,INDEX(A:A,FuzzyVLookup(D12,A:A,0,,,3)),"Non-PDL")</f>
        <v>adalimumab-adbm</v>
      </c>
      <c r="F12" t="str">
        <f t="shared" si="0"/>
        <v>Non-Preferred</v>
      </c>
      <c r="G12" s="1" cm="1">
        <f t="array" ref="G12">FuzzyPercent(D12,E12,3)</f>
        <v>0.43689319491386414</v>
      </c>
      <c r="H12" t="str">
        <f t="shared" si="1"/>
        <v/>
      </c>
    </row>
    <row r="13" spans="1:8" x14ac:dyDescent="0.2">
      <c r="A13" t="s">
        <v>24</v>
      </c>
      <c r="B13" t="s">
        <v>0</v>
      </c>
      <c r="D13" t="s">
        <v>2129</v>
      </c>
      <c r="E13" t="str" cm="1">
        <f t="array" ref="E13">IF(COUNTIF(A:A, "*" &amp; LEFT(D13, FIND(" ", D13 &amp; " ") - 1) &amp; "*") &gt; 0,INDEX(A:A,FuzzyVLookup(D13,A:A,0,,,3)),"Non-PDL")</f>
        <v>adalimumab-adbm</v>
      </c>
      <c r="F13" t="str">
        <f t="shared" si="0"/>
        <v>Non-Preferred</v>
      </c>
      <c r="G13" s="1" cm="1">
        <f t="array" ref="G13">FuzzyPercent(D13,E13,3)</f>
        <v>0.36585366725921631</v>
      </c>
      <c r="H13" t="str">
        <f t="shared" si="1"/>
        <v/>
      </c>
    </row>
    <row r="14" spans="1:8" x14ac:dyDescent="0.2">
      <c r="A14" t="s">
        <v>26</v>
      </c>
      <c r="B14" t="s">
        <v>0</v>
      </c>
      <c r="D14" t="s">
        <v>2130</v>
      </c>
      <c r="E14" t="str" cm="1">
        <f t="array" ref="E14">IF(COUNTIF(A:A, "*" &amp; LEFT(D14, FIND(" ", D14 &amp; " ") - 1) &amp; "*") &gt; 0,INDEX(A:A,FuzzyVLookup(D14,A:A,0,,,3)),"Non-PDL")</f>
        <v>adalimumab-fkjp</v>
      </c>
      <c r="F14" t="str">
        <f t="shared" si="0"/>
        <v>Non-Preferred</v>
      </c>
      <c r="G14" s="1" cm="1">
        <f t="array" ref="G14">FuzzyPercent(D14,E14,3)</f>
        <v>0.43689319491386414</v>
      </c>
      <c r="H14" t="str">
        <f t="shared" si="1"/>
        <v/>
      </c>
    </row>
    <row r="15" spans="1:8" x14ac:dyDescent="0.2">
      <c r="A15" t="s">
        <v>28</v>
      </c>
      <c r="B15" t="s">
        <v>0</v>
      </c>
      <c r="D15" t="s">
        <v>2131</v>
      </c>
      <c r="E15" t="str" cm="1">
        <f t="array" ref="E15">IF(COUNTIF(A:A, "*" &amp; LEFT(D15, FIND(" ", D15 &amp; " ") - 1) &amp; "*") &gt; 0,INDEX(A:A,FuzzyVLookup(D15,A:A,0,,,3)),"Non-PDL")</f>
        <v>adalimumab-fkjp</v>
      </c>
      <c r="F15" t="str">
        <f t="shared" si="0"/>
        <v>Non-Preferred</v>
      </c>
      <c r="G15" s="1" cm="1">
        <f t="array" ref="G15">FuzzyPercent(D15,E15,3)</f>
        <v>0.36585366725921631</v>
      </c>
      <c r="H15" t="str">
        <f t="shared" si="1"/>
        <v/>
      </c>
    </row>
    <row r="16" spans="1:8" x14ac:dyDescent="0.2">
      <c r="A16" t="s">
        <v>30</v>
      </c>
      <c r="B16" t="s">
        <v>0</v>
      </c>
      <c r="D16" t="s">
        <v>2132</v>
      </c>
      <c r="E16" t="str" cm="1">
        <f t="array" ref="E16">IF(COUNTIF(A:A, "*" &amp; LEFT(D16, FIND(" ", D16 &amp; " ") - 1) &amp; "*") &gt; 0,INDEX(A:A,FuzzyVLookup(D16,A:A,0,,,3)),"Non-PDL")</f>
        <v>ADVATE</v>
      </c>
      <c r="F16" t="str">
        <f t="shared" si="0"/>
        <v>Preferred</v>
      </c>
      <c r="G16" s="1" cm="1">
        <f t="array" ref="G16">FuzzyPercent(D16,E16,3)</f>
        <v>0.25</v>
      </c>
      <c r="H16" t="str">
        <f t="shared" si="1"/>
        <v>CHECK</v>
      </c>
    </row>
    <row r="17" spans="1:8" x14ac:dyDescent="0.2">
      <c r="A17" t="s">
        <v>32</v>
      </c>
      <c r="B17" t="s">
        <v>0</v>
      </c>
      <c r="D17" t="s">
        <v>2133</v>
      </c>
      <c r="E17" t="str" cm="1">
        <f t="array" ref="E17">IF(COUNTIF(A:A, "*" &amp; LEFT(D17, FIND(" ", D17 &amp; " ") - 1) &amp; "*") &gt; 0,INDEX(A:A,FuzzyVLookup(D17,A:A,0,,,3)),"Non-PDL")</f>
        <v>ADCIRCA (tadalafil)</v>
      </c>
      <c r="F17" t="str">
        <f t="shared" si="0"/>
        <v>Non-Preferred</v>
      </c>
      <c r="G17" s="1" cm="1">
        <f t="array" ref="G17">FuzzyPercent(D17,E17,3)</f>
        <v>0.42105263471603394</v>
      </c>
      <c r="H17" t="str">
        <f t="shared" si="1"/>
        <v/>
      </c>
    </row>
    <row r="18" spans="1:8" x14ac:dyDescent="0.2">
      <c r="A18" t="s">
        <v>34</v>
      </c>
      <c r="B18" t="s">
        <v>0</v>
      </c>
      <c r="D18" t="s">
        <v>2134</v>
      </c>
      <c r="E18" t="str" cm="1">
        <f t="array" ref="E18">IF(COUNTIF(A:A, "*" &amp; LEFT(D18, FIND(" ", D18 &amp; " ") - 1) &amp; "*") &gt; 0,INDEX(A:A,FuzzyVLookup(D18,A:A,0,,,3)),"Non-PDL")</f>
        <v>methylphenidate ER capsule</v>
      </c>
      <c r="F18" t="str">
        <f t="shared" si="0"/>
        <v>Non-Preferred</v>
      </c>
      <c r="G18" s="1" cm="1">
        <f t="array" ref="G18">FuzzyPercent(D18,E18,3)</f>
        <v>0.25454545021057129</v>
      </c>
      <c r="H18" t="str">
        <f t="shared" si="1"/>
        <v>CHECK</v>
      </c>
    </row>
    <row r="19" spans="1:8" x14ac:dyDescent="0.2">
      <c r="A19" t="s">
        <v>36</v>
      </c>
      <c r="B19" t="s">
        <v>0</v>
      </c>
      <c r="D19" t="s">
        <v>2135</v>
      </c>
      <c r="E19" t="str" cm="1">
        <f t="array" ref="E19">IF(COUNTIF(A:A, "*" &amp; LEFT(D19, FIND(" ", D19 &amp; " ") - 1) &amp; "*") &gt; 0,INDEX(A:A,FuzzyVLookup(D19,A:A,0,,,3)),"Non-PDL")</f>
        <v>ADEMPAS (riociguat)</v>
      </c>
      <c r="F19" t="str">
        <f t="shared" si="0"/>
        <v>Non-Preferred</v>
      </c>
      <c r="G19" s="1" cm="1">
        <f t="array" ref="G19">FuzzyPercent(D19,E19,3)</f>
        <v>0.42105263471603394</v>
      </c>
      <c r="H19" t="str">
        <f t="shared" si="1"/>
        <v/>
      </c>
    </row>
    <row r="20" spans="1:8" x14ac:dyDescent="0.2">
      <c r="A20" t="s">
        <v>38</v>
      </c>
      <c r="B20" t="s">
        <v>0</v>
      </c>
      <c r="D20" t="s">
        <v>2136</v>
      </c>
      <c r="E20" t="str" cm="1">
        <f t="array" ref="E20">IF(COUNTIF(A:A, "*" &amp; LEFT(D20, FIND(" ", D20 &amp; " ") - 1) &amp; "*") &gt; 0,INDEX(A:A,FuzzyVLookup(D20,A:A,0,,,3)),"Non-PDL")</f>
        <v>Non-PDL</v>
      </c>
      <c r="F20" t="str">
        <f t="shared" si="0"/>
        <v>Non-PDL</v>
      </c>
      <c r="G20" s="1" cm="1">
        <f t="array" ref="G20">FuzzyPercent(D20,E20,3)</f>
        <v>0</v>
      </c>
      <c r="H20" t="str">
        <f t="shared" si="1"/>
        <v/>
      </c>
    </row>
    <row r="21" spans="1:8" x14ac:dyDescent="0.2">
      <c r="A21" t="s">
        <v>40</v>
      </c>
      <c r="B21" t="s">
        <v>0</v>
      </c>
      <c r="D21" t="s">
        <v>2137</v>
      </c>
      <c r="E21" t="str" cm="1">
        <f t="array" ref="E21">IF(COUNTIF(A:A, "*" &amp; LEFT(D21, FIND(" ", D21 &amp; " ") - 1) &amp; "*") &gt; 0,INDEX(A:A,FuzzyVLookup(D21,A:A,0,,,3)),"Non-PDL")</f>
        <v>ADMELOG (insulin lispro)</v>
      </c>
      <c r="F21" t="str">
        <f t="shared" si="0"/>
        <v>Non-Preferred</v>
      </c>
      <c r="G21" s="1" cm="1">
        <f t="array" ref="G21">FuzzyPercent(D21,E21,3)</f>
        <v>0.31999999284744263</v>
      </c>
      <c r="H21" t="str">
        <f t="shared" si="1"/>
        <v/>
      </c>
    </row>
    <row r="22" spans="1:8" x14ac:dyDescent="0.2">
      <c r="A22" t="s">
        <v>42</v>
      </c>
      <c r="B22" t="s">
        <v>0</v>
      </c>
      <c r="D22" t="s">
        <v>2138</v>
      </c>
      <c r="E22" t="str" cm="1">
        <f t="array" ref="E22">IF(COUNTIF(A:A, "*" &amp; LEFT(D22, FIND(" ", D22 &amp; " ") - 1) &amp; "*") &gt; 0,INDEX(A:A,FuzzyVLookup(D22,A:A,0,,,3)),"Non-PDL")</f>
        <v>ADMELOG (insulin lispro)</v>
      </c>
      <c r="F22" t="str">
        <f t="shared" si="0"/>
        <v>Non-Preferred</v>
      </c>
      <c r="G22" s="1" cm="1">
        <f t="array" ref="G22">FuzzyPercent(D22,E22,3)</f>
        <v>0.32835820317268372</v>
      </c>
      <c r="H22" t="str">
        <f t="shared" si="1"/>
        <v/>
      </c>
    </row>
    <row r="23" spans="1:8" x14ac:dyDescent="0.2">
      <c r="A23" t="s">
        <v>44</v>
      </c>
      <c r="B23" t="s">
        <v>0</v>
      </c>
      <c r="D23" t="s">
        <v>2139</v>
      </c>
      <c r="E23" t="str" cm="1">
        <f t="array" ref="E23">IF(COUNTIF(A:A, "*" &amp; LEFT(D23, FIND(" ", D23 &amp; " ") - 1) &amp; "*") &gt; 0,INDEX(A:A,FuzzyVLookup(D23,A:A,0,,,3)),"Non-PDL")</f>
        <v>Non-PDL</v>
      </c>
      <c r="F23" t="str">
        <f t="shared" si="0"/>
        <v>Non-PDL</v>
      </c>
      <c r="G23" s="1" cm="1">
        <f t="array" ref="G23">FuzzyPercent(D23,E23,3)</f>
        <v>3.4482758492231369E-2</v>
      </c>
      <c r="H23" t="str">
        <f t="shared" si="1"/>
        <v/>
      </c>
    </row>
    <row r="24" spans="1:8" x14ac:dyDescent="0.2">
      <c r="A24" t="s">
        <v>46</v>
      </c>
      <c r="B24" t="s">
        <v>0</v>
      </c>
      <c r="D24" t="s">
        <v>2140</v>
      </c>
      <c r="E24" t="str" cm="1">
        <f t="array" ref="E24">IF(COUNTIF(A:A, "*" &amp; LEFT(D24, FIND(" ", D24 &amp; " ") - 1) &amp; "*") &gt; 0,INDEX(A:A,FuzzyVLookup(D24,A:A,0,,,3)),"Non-PDL")</f>
        <v>Non-PDL</v>
      </c>
      <c r="F24" t="str">
        <f t="shared" si="0"/>
        <v>Non-PDL</v>
      </c>
      <c r="G24" s="1" cm="1">
        <f t="array" ref="G24">FuzzyPercent(D24,E24,3)</f>
        <v>0</v>
      </c>
      <c r="H24" t="str">
        <f t="shared" si="1"/>
        <v/>
      </c>
    </row>
    <row r="25" spans="1:8" x14ac:dyDescent="0.2">
      <c r="A25" t="s">
        <v>48</v>
      </c>
      <c r="B25" t="s">
        <v>0</v>
      </c>
      <c r="D25" t="s">
        <v>2141</v>
      </c>
      <c r="E25" t="str" cm="1">
        <f t="array" ref="E25">IF(COUNTIF(A:A, "*" &amp; LEFT(D25, FIND(" ", D25 &amp; " ") - 1) &amp; "*") &gt; 0,INDEX(A:A,FuzzyVLookup(D25,A:A,0,,,3)),"Non-PDL")</f>
        <v>fluticasone diskus</v>
      </c>
      <c r="F25" t="str">
        <f t="shared" si="0"/>
        <v>Non-Preferred</v>
      </c>
      <c r="G25" s="1" cm="1">
        <f t="array" ref="G25">FuzzyPercent(D25,E25,3)</f>
        <v>0.25263157486915588</v>
      </c>
      <c r="H25" t="str">
        <f t="shared" si="1"/>
        <v>CHECK</v>
      </c>
    </row>
    <row r="26" spans="1:8" x14ac:dyDescent="0.2">
      <c r="A26" t="s">
        <v>50</v>
      </c>
      <c r="B26" t="s">
        <v>0</v>
      </c>
      <c r="D26" t="s">
        <v>2142</v>
      </c>
      <c r="E26" t="str" cm="1">
        <f t="array" ref="E26">IF(COUNTIF(A:A, "*" &amp; LEFT(D26, FIND(" ", D26 &amp; " ") - 1) &amp; "*") &gt; 0,INDEX(A:A,FuzzyVLookup(D26,A:A,0,,,3)),"Non-PDL")</f>
        <v>ADVAIR HFA (fluticasone/salmeterol)</v>
      </c>
      <c r="F26" t="str">
        <f t="shared" si="0"/>
        <v>Preferred</v>
      </c>
      <c r="G26" s="1" cm="1">
        <f t="array" ref="G26">FuzzyPercent(D26,E26,3)</f>
        <v>0.34177213907241821</v>
      </c>
      <c r="H26" t="str">
        <f t="shared" si="1"/>
        <v/>
      </c>
    </row>
    <row r="27" spans="1:8" x14ac:dyDescent="0.2">
      <c r="A27" t="s">
        <v>52</v>
      </c>
      <c r="B27" t="s">
        <v>0</v>
      </c>
      <c r="D27" t="s">
        <v>2143</v>
      </c>
      <c r="E27" t="str" cm="1">
        <f t="array" ref="E27">IF(COUNTIF(A:A, "*" &amp; LEFT(D27, FIND(" ", D27 &amp; " ") - 1) &amp; "*") &gt; 0,INDEX(A:A,FuzzyVLookup(D27,A:A,0,,,3)),"Non-PDL")</f>
        <v>ADVATE</v>
      </c>
      <c r="F27" t="str">
        <f t="shared" si="0"/>
        <v>Preferred</v>
      </c>
      <c r="G27" s="1" cm="1">
        <f t="array" ref="G27">FuzzyPercent(D27,E27,3)</f>
        <v>1</v>
      </c>
      <c r="H27" t="str">
        <f t="shared" si="1"/>
        <v/>
      </c>
    </row>
    <row r="28" spans="1:8" x14ac:dyDescent="0.2">
      <c r="A28" t="s">
        <v>54</v>
      </c>
      <c r="B28" t="s">
        <v>0</v>
      </c>
      <c r="D28" t="s">
        <v>2144</v>
      </c>
      <c r="E28" t="str" cm="1">
        <f t="array" ref="E28">IF(COUNTIF(A:A, "*" &amp; LEFT(D28, FIND(" ", D28 &amp; " ") - 1) &amp; "*") &gt; 0,INDEX(A:A,FuzzyVLookup(D28,A:A,0,,,3)),"Non-PDL")</f>
        <v>ADYNOVATE</v>
      </c>
      <c r="F28" t="str">
        <f t="shared" si="0"/>
        <v>Non-Preferred</v>
      </c>
      <c r="G28" s="1" cm="1">
        <f t="array" ref="G28">FuzzyPercent(D28,E28,3)</f>
        <v>1</v>
      </c>
      <c r="H28" t="str">
        <f t="shared" si="1"/>
        <v/>
      </c>
    </row>
    <row r="29" spans="1:8" x14ac:dyDescent="0.2">
      <c r="A29" t="s">
        <v>56</v>
      </c>
      <c r="B29" t="s">
        <v>0</v>
      </c>
      <c r="D29" t="s">
        <v>2145</v>
      </c>
      <c r="E29" t="str" cm="1">
        <f t="array" ref="E29">IF(COUNTIF(A:A, "*" &amp; LEFT(D29, FIND(" ", D29 &amp; " ") - 1) &amp; "*") &gt; 0,INDEX(A:A,FuzzyVLookup(D29,A:A,0,,,3)),"Non-PDL")</f>
        <v>AFSTYLA</v>
      </c>
      <c r="F29" t="str">
        <f t="shared" si="0"/>
        <v>Preferred</v>
      </c>
      <c r="G29" s="1" cm="1">
        <f t="array" ref="G29">FuzzyPercent(D29,E29,3)</f>
        <v>1</v>
      </c>
      <c r="H29" t="str">
        <f t="shared" si="1"/>
        <v/>
      </c>
    </row>
    <row r="30" spans="1:8" x14ac:dyDescent="0.2">
      <c r="A30" t="s">
        <v>58</v>
      </c>
      <c r="B30" t="s">
        <v>0</v>
      </c>
      <c r="D30" t="s">
        <v>2146</v>
      </c>
      <c r="E30" t="str" cm="1">
        <f t="array" ref="E30">IF(COUNTIF(A:A, "*" &amp; LEFT(D30, FIND(" ", D30 &amp; " ") - 1) &amp; "*") &gt; 0,INDEX(A:A,FuzzyVLookup(D30,A:A,0,,,3)),"Non-PDL")</f>
        <v>Non-PDL</v>
      </c>
      <c r="F30" t="str">
        <f t="shared" si="0"/>
        <v>Non-PDL</v>
      </c>
      <c r="G30" s="1" cm="1">
        <f t="array" ref="G30">FuzzyPercent(D30,E30,3)</f>
        <v>0</v>
      </c>
      <c r="H30" t="str">
        <f t="shared" si="1"/>
        <v/>
      </c>
    </row>
    <row r="31" spans="1:8" x14ac:dyDescent="0.2">
      <c r="A31" t="s">
        <v>60</v>
      </c>
      <c r="B31" t="s">
        <v>0</v>
      </c>
      <c r="D31" t="s">
        <v>2147</v>
      </c>
      <c r="E31" t="str" cm="1">
        <f t="array" ref="E31">IF(COUNTIF(A:A, "*" &amp; LEFT(D31, FIND(" ", D31 &amp; " ") - 1) &amp; "*") &gt; 0,INDEX(A:A,FuzzyVLookup(D31,A:A,0,,,3)),"Non-PDL")</f>
        <v>AIRDUO DIGIHALER (fluticasone/salmeterol)</v>
      </c>
      <c r="F31" t="str">
        <f t="shared" si="0"/>
        <v>Non-Preferred</v>
      </c>
      <c r="G31" s="1" cm="1">
        <f t="array" ref="G31">FuzzyPercent(D31,E31,3)</f>
        <v>0.4761904776096344</v>
      </c>
      <c r="H31" t="str">
        <f t="shared" si="1"/>
        <v/>
      </c>
    </row>
    <row r="32" spans="1:8" x14ac:dyDescent="0.2">
      <c r="A32" t="s">
        <v>62</v>
      </c>
      <c r="B32" t="s">
        <v>0</v>
      </c>
      <c r="D32" t="s">
        <v>2148</v>
      </c>
      <c r="E32" t="str" cm="1">
        <f t="array" ref="E32">IF(COUNTIF(A:A, "*" &amp; LEFT(D32, FIND(" ", D32 &amp; " ") - 1) &amp; "*") &gt; 0,INDEX(A:A,FuzzyVLookup(D32,A:A,0,,,3)),"Non-PDL")</f>
        <v>AIRDUO DIGIHALER (fluticasone/salmeterol)</v>
      </c>
      <c r="F32" t="str">
        <f t="shared" si="0"/>
        <v>Non-Preferred</v>
      </c>
      <c r="G32" s="1" cm="1">
        <f t="array" ref="G32">FuzzyPercent(D32,E32,3)</f>
        <v>0.17452830076217651</v>
      </c>
      <c r="H32" t="str">
        <f t="shared" si="1"/>
        <v>CHECK</v>
      </c>
    </row>
    <row r="33" spans="1:8" x14ac:dyDescent="0.2">
      <c r="A33" t="s">
        <v>64</v>
      </c>
      <c r="B33" t="s">
        <v>0</v>
      </c>
      <c r="D33" t="s">
        <v>2149</v>
      </c>
      <c r="E33" t="str" cm="1">
        <f t="array" ref="E33">IF(COUNTIF(A:A, "*" &amp; LEFT(D33, FIND(" ", D33 &amp; " ") - 1) &amp; "*") &gt; 0,INDEX(A:A,FuzzyVLookup(D33,A:A,0,,,3)),"Non-PDL")</f>
        <v>AIRSUPRA (albuterol/budesonide)</v>
      </c>
      <c r="F33" t="str">
        <f t="shared" si="0"/>
        <v>Non-Preferred</v>
      </c>
      <c r="G33" s="1" cm="1">
        <f t="array" ref="G33">FuzzyPercent(D33,E33,3)</f>
        <v>0.31756755709648132</v>
      </c>
      <c r="H33" t="str">
        <f t="shared" si="1"/>
        <v/>
      </c>
    </row>
    <row r="34" spans="1:8" x14ac:dyDescent="0.2">
      <c r="A34" t="s">
        <v>66</v>
      </c>
      <c r="B34" t="s">
        <v>0</v>
      </c>
      <c r="D34" t="s">
        <v>2150</v>
      </c>
      <c r="E34" t="str" cm="1">
        <f t="array" ref="E34">IF(COUNTIF(A:A, "*" &amp; LEFT(D34, FIND(" ", D34 &amp; " ") - 1) &amp; "*") &gt; 0,INDEX(A:A,FuzzyVLookup(D34,A:A,0,,,3)),"Non-PDL")</f>
        <v>ADYNOVATE</v>
      </c>
      <c r="F34" t="str">
        <f t="shared" si="0"/>
        <v>Non-Preferred</v>
      </c>
      <c r="G34" s="1" cm="1">
        <f t="array" ref="G34">FuzzyPercent(D34,E34,3)</f>
        <v>0.21212121844291687</v>
      </c>
      <c r="H34" t="str">
        <f t="shared" si="1"/>
        <v>CHECK</v>
      </c>
    </row>
    <row r="35" spans="1:8" x14ac:dyDescent="0.2">
      <c r="A35" t="s">
        <v>68</v>
      </c>
      <c r="B35" t="s">
        <v>0</v>
      </c>
      <c r="D35" t="s">
        <v>2151</v>
      </c>
      <c r="E35" t="str" cm="1">
        <f t="array" ref="E35">IF(COUNTIF(A:A, "*" &amp; LEFT(D35, FIND(" ", D35 &amp; " ") - 1) &amp; "*") &gt; 0,INDEX(A:A,FuzzyVLookup(D35,A:A,0,,,3)),"Non-PDL")</f>
        <v>albuterol HFA</v>
      </c>
      <c r="F35" t="str">
        <f t="shared" si="0"/>
        <v>Preferred</v>
      </c>
      <c r="G35" s="1" cm="1">
        <f t="array" ref="G35">FuzzyPercent(D35,E35,3)</f>
        <v>0.3663366436958313</v>
      </c>
      <c r="H35" t="str">
        <f t="shared" si="1"/>
        <v/>
      </c>
    </row>
    <row r="36" spans="1:8" x14ac:dyDescent="0.2">
      <c r="A36" t="s">
        <v>70</v>
      </c>
      <c r="B36" t="s">
        <v>0</v>
      </c>
      <c r="D36" t="s">
        <v>2152</v>
      </c>
      <c r="E36" t="str" cm="1">
        <f t="array" ref="E36">IF(COUNTIF(A:A, "*" &amp; LEFT(D36, FIND(" ", D36 &amp; " ") - 1) &amp; "*") &gt; 0,INDEX(A:A,FuzzyVLookup(D36,A:A,0,,,3)),"Non-PDL")</f>
        <v>Non-PDL</v>
      </c>
      <c r="F36" t="str">
        <f t="shared" si="0"/>
        <v>Non-PDL</v>
      </c>
      <c r="G36" s="1" cm="1">
        <f t="array" ref="G36">FuzzyPercent(D36,E36,3)</f>
        <v>3.7037037312984467E-2</v>
      </c>
      <c r="H36" t="str">
        <f t="shared" si="1"/>
        <v/>
      </c>
    </row>
    <row r="37" spans="1:8" x14ac:dyDescent="0.2">
      <c r="A37" t="s">
        <v>72</v>
      </c>
      <c r="B37" t="s">
        <v>0</v>
      </c>
      <c r="D37" t="s">
        <v>2153</v>
      </c>
      <c r="E37" t="str" cm="1">
        <f t="array" ref="E37">IF(COUNTIF(A:A, "*" &amp; LEFT(D37, FIND(" ", D37 &amp; " ") - 1) &amp; "*") &gt; 0,INDEX(A:A,FuzzyVLookup(D37,A:A,0,,,3)),"Non-PDL")</f>
        <v>ALECENSA (alectinib)</v>
      </c>
      <c r="F37" t="str">
        <f t="shared" si="0"/>
        <v>Non-Preferred</v>
      </c>
      <c r="G37" s="1" cm="1">
        <f t="array" ref="G37">FuzzyPercent(D37,E37,3)</f>
        <v>0.46511629223823547</v>
      </c>
      <c r="H37" t="str">
        <f t="shared" si="1"/>
        <v/>
      </c>
    </row>
    <row r="38" spans="1:8" x14ac:dyDescent="0.2">
      <c r="A38" t="s">
        <v>74</v>
      </c>
      <c r="B38" t="s">
        <v>0</v>
      </c>
      <c r="D38" t="s">
        <v>2154</v>
      </c>
      <c r="E38" t="str" cm="1">
        <f t="array" ref="E38">IF(COUNTIF(A:A, "*" &amp; LEFT(D38, FIND(" ", D38 &amp; " ") - 1) &amp; "*") &gt; 0,INDEX(A:A,FuzzyVLookup(D38,A:A,0,,,3)),"Non-PDL")</f>
        <v>Non-PDL</v>
      </c>
      <c r="F38" t="str">
        <f t="shared" si="0"/>
        <v>Non-PDL</v>
      </c>
      <c r="G38" s="1" cm="1">
        <f t="array" ref="G38">FuzzyPercent(D38,E38,3)</f>
        <v>1.9999999552965164E-2</v>
      </c>
      <c r="H38" t="str">
        <f t="shared" si="1"/>
        <v/>
      </c>
    </row>
    <row r="39" spans="1:8" x14ac:dyDescent="0.2">
      <c r="A39" t="s">
        <v>76</v>
      </c>
      <c r="B39" t="s">
        <v>0</v>
      </c>
      <c r="D39" t="s">
        <v>2155</v>
      </c>
      <c r="E39" t="str" cm="1">
        <f t="array" ref="E39">IF(COUNTIF(A:A, "*" &amp; LEFT(D39, FIND(" ", D39 &amp; " ") - 1) &amp; "*") &gt; 0,INDEX(A:A,FuzzyVLookup(D39,A:A,0,,,3)),"Non-PDL")</f>
        <v>ALPROLIX</v>
      </c>
      <c r="F39" t="str">
        <f t="shared" si="0"/>
        <v>Preferred</v>
      </c>
      <c r="G39" s="1" cm="1">
        <f t="array" ref="G39">FuzzyPercent(D39,E39,3)</f>
        <v>1</v>
      </c>
      <c r="H39" t="str">
        <f t="shared" si="1"/>
        <v/>
      </c>
    </row>
    <row r="40" spans="1:8" x14ac:dyDescent="0.2">
      <c r="A40" t="s">
        <v>78</v>
      </c>
      <c r="B40" t="s">
        <v>0</v>
      </c>
      <c r="D40" t="s">
        <v>2156</v>
      </c>
      <c r="E40" t="str" cm="1">
        <f t="array" ref="E40">IF(COUNTIF(A:A, "*" &amp; LEFT(D40, FIND(" ", D40 &amp; " ") - 1) &amp; "*") &gt; 0,INDEX(A:A,FuzzyVLookup(D40,A:A,0,,,3)),"Non-PDL")</f>
        <v>ALTUVIIIO</v>
      </c>
      <c r="F40" t="str">
        <f t="shared" si="0"/>
        <v>Preferred</v>
      </c>
      <c r="G40" s="1" cm="1">
        <f t="array" ref="G40">FuzzyPercent(D40,E40,3)</f>
        <v>1</v>
      </c>
      <c r="H40" t="str">
        <f t="shared" si="1"/>
        <v/>
      </c>
    </row>
    <row r="41" spans="1:8" x14ac:dyDescent="0.2">
      <c r="A41" t="s">
        <v>80</v>
      </c>
      <c r="B41" t="s">
        <v>0</v>
      </c>
      <c r="D41" t="s">
        <v>2157</v>
      </c>
      <c r="E41" t="str" cm="1">
        <f t="array" ref="E41">IF(COUNTIF(A:A, "*" &amp; LEFT(D41, FIND(" ", D41 &amp; " ") - 1) &amp; "*") &gt; 0,INDEX(A:A,FuzzyVLookup(D41,A:A,0,,,3)),"Non-PDL")</f>
        <v>ALUNBRIG (brigatinib)</v>
      </c>
      <c r="F41" t="str">
        <f t="shared" si="0"/>
        <v>Non-Preferred</v>
      </c>
      <c r="G41" s="1" cm="1">
        <f t="array" ref="G41">FuzzyPercent(D41,E41,3)</f>
        <v>0.4444444477558136</v>
      </c>
      <c r="H41" t="str">
        <f t="shared" si="1"/>
        <v/>
      </c>
    </row>
    <row r="42" spans="1:8" x14ac:dyDescent="0.2">
      <c r="A42" t="s">
        <v>82</v>
      </c>
      <c r="B42" t="s">
        <v>0</v>
      </c>
      <c r="D42" t="s">
        <v>2158</v>
      </c>
      <c r="E42" t="str" cm="1">
        <f t="array" ref="E42">IF(COUNTIF(A:A, "*" &amp; LEFT(D42, FIND(" ", D42 &amp; " ") - 1) &amp; "*") &gt; 0,INDEX(A:A,FuzzyVLookup(D42,A:A,0,,,3)),"Non-PDL")</f>
        <v>ALVESCO (ciclesonide)</v>
      </c>
      <c r="F42" t="str">
        <f t="shared" si="0"/>
        <v>Non-Preferred</v>
      </c>
      <c r="G42" s="1" cm="1">
        <f t="array" ref="G42">FuzzyPercent(D42,E42,3)</f>
        <v>0.37209302186965942</v>
      </c>
      <c r="H42" t="str">
        <f t="shared" si="1"/>
        <v/>
      </c>
    </row>
    <row r="43" spans="1:8" x14ac:dyDescent="0.2">
      <c r="A43" t="s">
        <v>84</v>
      </c>
      <c r="B43" t="s">
        <v>0</v>
      </c>
      <c r="D43" t="s">
        <v>2159</v>
      </c>
      <c r="E43" t="str" cm="1">
        <f t="array" ref="E43">IF(COUNTIF(A:A, "*" &amp; LEFT(D43, FIND(" ", D43 &amp; " ") - 1) &amp; "*") &gt; 0,INDEX(A:A,FuzzyVLookup(D43,A:A,0,,,3)),"Non-PDL")</f>
        <v>ALYGLO</v>
      </c>
      <c r="F43" t="str">
        <f t="shared" si="0"/>
        <v>Non-Preferred</v>
      </c>
      <c r="G43" s="1" cm="1">
        <f t="array" ref="G43">FuzzyPercent(D43,E43,3)</f>
        <v>0.45454546809196472</v>
      </c>
      <c r="H43" t="str">
        <f t="shared" si="1"/>
        <v/>
      </c>
    </row>
    <row r="44" spans="1:8" x14ac:dyDescent="0.2">
      <c r="A44" t="s">
        <v>86</v>
      </c>
      <c r="B44" t="s">
        <v>0</v>
      </c>
      <c r="D44" t="s">
        <v>2160</v>
      </c>
      <c r="E44" t="str" cm="1">
        <f t="array" ref="E44">IF(COUNTIF(A:A, "*" &amp; LEFT(D44, FIND(" ", D44 &amp; " ") - 1) &amp; "*") &gt; 0,INDEX(A:A,FuzzyVLookup(D44,A:A,0,,,3)),"Non-PDL")</f>
        <v>AMBIEN (zolpidem)</v>
      </c>
      <c r="F44" t="str">
        <f t="shared" si="0"/>
        <v>Non-Preferred</v>
      </c>
      <c r="G44" s="1" cm="1">
        <f t="array" ref="G44">FuzzyPercent(D44,E44,3)</f>
        <v>0.42424243688583374</v>
      </c>
      <c r="H44" t="str">
        <f t="shared" si="1"/>
        <v/>
      </c>
    </row>
    <row r="45" spans="1:8" x14ac:dyDescent="0.2">
      <c r="A45" t="s">
        <v>88</v>
      </c>
      <c r="B45" t="s">
        <v>0</v>
      </c>
      <c r="D45" t="s">
        <v>2161</v>
      </c>
      <c r="E45" t="str" cm="1">
        <f t="array" ref="E45">IF(COUNTIF(A:A, "*" &amp; LEFT(D45, FIND(" ", D45 &amp; " ") - 1) &amp; "*") &gt; 0,INDEX(A:A,FuzzyVLookup(D45,A:A,0,,,3)),"Non-PDL")</f>
        <v>AMBIEN CR (zolpidem)</v>
      </c>
      <c r="F45" t="str">
        <f t="shared" si="0"/>
        <v>Non-Preferred</v>
      </c>
      <c r="G45" s="1" cm="1">
        <f t="array" ref="G45">FuzzyPercent(D45,E45,3)</f>
        <v>0.516853928565979</v>
      </c>
      <c r="H45" t="str">
        <f t="shared" si="1"/>
        <v/>
      </c>
    </row>
    <row r="46" spans="1:8" x14ac:dyDescent="0.2">
      <c r="A46" t="s">
        <v>90</v>
      </c>
      <c r="B46" t="s">
        <v>0</v>
      </c>
      <c r="D46" t="s">
        <v>2162</v>
      </c>
      <c r="E46" t="str" cm="1">
        <f t="array" ref="E46">IF(COUNTIF(A:A, "*" &amp; LEFT(D46, FIND(" ", D46 &amp; " ") - 1) &amp; "*") &gt; 0,INDEX(A:A,FuzzyVLookup(D46,A:A,0,,,3)),"Non-PDL")</f>
        <v>ambrisentan</v>
      </c>
      <c r="F46" t="str">
        <f t="shared" si="0"/>
        <v>Preferred</v>
      </c>
      <c r="G46" s="1" cm="1">
        <f t="array" ref="G46">FuzzyPercent(D46,E46,3)</f>
        <v>1</v>
      </c>
      <c r="H46" t="str">
        <f t="shared" si="1"/>
        <v/>
      </c>
    </row>
    <row r="47" spans="1:8" x14ac:dyDescent="0.2">
      <c r="A47" t="s">
        <v>92</v>
      </c>
      <c r="B47" t="s">
        <v>0</v>
      </c>
      <c r="D47" t="s">
        <v>2163</v>
      </c>
      <c r="E47" t="str" cm="1">
        <f t="array" ref="E47">IF(COUNTIF(A:A, "*" &amp; LEFT(D47, FIND(" ", D47 &amp; " ") - 1) &amp; "*") &gt; 0,INDEX(A:A,FuzzyVLookup(D47,A:A,0,,,3)),"Non-PDL")</f>
        <v>AMJEVITA (adalimuab-atto)</v>
      </c>
      <c r="F47" t="str">
        <f t="shared" si="0"/>
        <v>Non-Preferred</v>
      </c>
      <c r="G47" s="1" cm="1">
        <f t="array" ref="G47">FuzzyPercent(D47,E47,3)</f>
        <v>0.37383177876472473</v>
      </c>
      <c r="H47" t="str">
        <f t="shared" si="1"/>
        <v/>
      </c>
    </row>
    <row r="48" spans="1:8" x14ac:dyDescent="0.2">
      <c r="A48" t="s">
        <v>94</v>
      </c>
      <c r="B48" t="s">
        <v>0</v>
      </c>
      <c r="D48" t="s">
        <v>2164</v>
      </c>
      <c r="E48" t="str" cm="1">
        <f t="array" ref="E48">IF(COUNTIF(A:A, "*" &amp; LEFT(D48, FIND(" ", D48 &amp; " ") - 1) &amp; "*") &gt; 0,INDEX(A:A,FuzzyVLookup(D48,A:A,0,,,3)),"Non-PDL")</f>
        <v>AMJEVITA (adalimuab-atto)</v>
      </c>
      <c r="F48" t="str">
        <f t="shared" si="0"/>
        <v>Non-Preferred</v>
      </c>
      <c r="G48" s="1" cm="1">
        <f t="array" ref="G48">FuzzyPercent(D48,E48,3)</f>
        <v>0.37096774578094482</v>
      </c>
      <c r="H48" t="str">
        <f t="shared" si="1"/>
        <v/>
      </c>
    </row>
    <row r="49" spans="1:8" x14ac:dyDescent="0.2">
      <c r="A49" t="s">
        <v>96</v>
      </c>
      <c r="B49" t="s">
        <v>0</v>
      </c>
      <c r="D49" t="s">
        <v>2165</v>
      </c>
      <c r="E49" t="str" cm="1">
        <f t="array" ref="E49">IF(COUNTIF(A:A, "*" &amp; LEFT(D49, FIND(" ", D49 &amp; " ") - 1) &amp; "*") &gt; 0,INDEX(A:A,FuzzyVLookup(D49,A:A,0,,,3)),"Non-PDL")</f>
        <v>AMJEVITA (adalimuab-atto)</v>
      </c>
      <c r="F49" t="str">
        <f t="shared" si="0"/>
        <v>Non-Preferred</v>
      </c>
      <c r="G49" s="1" cm="1">
        <f t="array" ref="G49">FuzzyPercent(D49,E49,3)</f>
        <v>0.37704917788505554</v>
      </c>
      <c r="H49" t="str">
        <f t="shared" si="1"/>
        <v/>
      </c>
    </row>
    <row r="50" spans="1:8" x14ac:dyDescent="0.2">
      <c r="A50" t="s">
        <v>98</v>
      </c>
      <c r="B50" t="s">
        <v>0</v>
      </c>
      <c r="D50" t="s">
        <v>2166</v>
      </c>
      <c r="E50" t="str" cm="1">
        <f t="array" ref="E50">IF(COUNTIF(A:A, "*" &amp; LEFT(D50, FIND(" ", D50 &amp; " ") - 1) &amp; "*") &gt; 0,INDEX(A:A,FuzzyVLookup(D50,A:A,0,,,3)),"Non-PDL")</f>
        <v>amlodipine/atorvastatin</v>
      </c>
      <c r="F50" t="str">
        <f t="shared" si="0"/>
        <v>Non-Preferred</v>
      </c>
      <c r="G50" s="1" cm="1">
        <f t="array" ref="G50">FuzzyPercent(D50,E50,3)</f>
        <v>0.34065935015678406</v>
      </c>
      <c r="H50" t="str">
        <f t="shared" si="1"/>
        <v/>
      </c>
    </row>
    <row r="51" spans="1:8" x14ac:dyDescent="0.2">
      <c r="A51" t="s">
        <v>100</v>
      </c>
      <c r="B51" t="s">
        <v>0</v>
      </c>
      <c r="D51" t="s">
        <v>2167</v>
      </c>
      <c r="E51" t="str" cm="1">
        <f t="array" ref="E51">IF(COUNTIF(A:A, "*" &amp; LEFT(D51, FIND(" ", D51 &amp; " ") - 1) &amp; "*") &gt; 0,INDEX(A:A,FuzzyVLookup(D51,A:A,0,,,3)),"Non-PDL")</f>
        <v>AMONDYS-45 (casimersen)</v>
      </c>
      <c r="F51" t="str">
        <f t="shared" si="0"/>
        <v>Non-Preferred</v>
      </c>
      <c r="G51" s="1" cm="1">
        <f t="array" ref="G51">FuzzyPercent(D51,E51,3)</f>
        <v>0.35922330617904663</v>
      </c>
      <c r="H51" t="str">
        <f t="shared" si="1"/>
        <v/>
      </c>
    </row>
    <row r="52" spans="1:8" x14ac:dyDescent="0.2">
      <c r="A52" t="s">
        <v>102</v>
      </c>
      <c r="B52" t="s">
        <v>0</v>
      </c>
      <c r="D52" t="s">
        <v>2168</v>
      </c>
      <c r="E52" t="str" cm="1">
        <f t="array" ref="E52">IF(COUNTIF(A:A, "*" &amp; LEFT(D52, FIND(" ", D52 &amp; " ") - 1) &amp; "*") &gt; 0,INDEX(A:A,FuzzyVLookup(D52,A:A,0,,,3)),"Non-PDL")</f>
        <v>ramipril</v>
      </c>
      <c r="F52" t="str">
        <f t="shared" si="0"/>
        <v>Preferred</v>
      </c>
      <c r="G52" s="1" cm="1">
        <f t="array" ref="G52">FuzzyPercent(D52,E52,3)</f>
        <v>0.23333333432674408</v>
      </c>
      <c r="H52" t="str">
        <f t="shared" si="1"/>
        <v>CHECK</v>
      </c>
    </row>
    <row r="53" spans="1:8" x14ac:dyDescent="0.2">
      <c r="A53" t="s">
        <v>104</v>
      </c>
      <c r="B53" t="s">
        <v>0</v>
      </c>
      <c r="D53" t="s">
        <v>2169</v>
      </c>
      <c r="E53" t="str" cm="1">
        <f t="array" ref="E53">IF(COUNTIF(A:A, "*" &amp; LEFT(D53, FIND(" ", D53 &amp; " ") - 1) &amp; "*") &gt; 0,INDEX(A:A,FuzzyVLookup(D53,A:A,0,,,3)),"Non-PDL")</f>
        <v>Non-PDL</v>
      </c>
      <c r="F53" t="str">
        <f t="shared" si="0"/>
        <v>Non-PDL</v>
      </c>
      <c r="G53" s="1" cm="1">
        <f t="array" ref="G53">FuzzyPercent(D53,E53,3)</f>
        <v>0</v>
      </c>
      <c r="H53" t="str">
        <f t="shared" si="1"/>
        <v/>
      </c>
    </row>
    <row r="54" spans="1:8" x14ac:dyDescent="0.2">
      <c r="A54" t="s">
        <v>106</v>
      </c>
      <c r="B54" t="s">
        <v>0</v>
      </c>
      <c r="D54" t="s">
        <v>2170</v>
      </c>
      <c r="E54" t="str" cm="1">
        <f t="array" ref="E54">IF(COUNTIF(A:A, "*" &amp; LEFT(D54, FIND(" ", D54 &amp; " ") - 1) &amp; "*") &gt; 0,INDEX(A:A,FuzzyVLookup(D54,A:A,0,,,3)),"Non-PDL")</f>
        <v>Non-PDL</v>
      </c>
      <c r="F54" t="str">
        <f t="shared" si="0"/>
        <v>Non-PDL</v>
      </c>
      <c r="G54" s="1" cm="1">
        <f t="array" ref="G54">FuzzyPercent(D54,E54,3)</f>
        <v>0.10000000149011612</v>
      </c>
      <c r="H54" t="str">
        <f t="shared" si="1"/>
        <v/>
      </c>
    </row>
    <row r="55" spans="1:8" x14ac:dyDescent="0.2">
      <c r="A55" t="s">
        <v>108</v>
      </c>
      <c r="B55" t="s">
        <v>0</v>
      </c>
      <c r="D55" t="s">
        <v>2171</v>
      </c>
      <c r="E55" t="str" cm="1">
        <f t="array" ref="E55">IF(COUNTIF(A:A, "*" &amp; LEFT(D55, FIND(" ", D55 &amp; " ") - 1) &amp; "*") &gt; 0,INDEX(A:A,FuzzyVLookup(D55,A:A,0,,,3)),"Non-PDL")</f>
        <v>ANORO ELLIPTA (umeclidinium/vilanterol)</v>
      </c>
      <c r="F55" t="str">
        <f t="shared" si="0"/>
        <v>Preferred</v>
      </c>
      <c r="G55" s="1" cm="1">
        <f t="array" ref="G55">FuzzyPercent(D55,E55,3)</f>
        <v>0.3957219123840332</v>
      </c>
      <c r="H55" t="str">
        <f t="shared" si="1"/>
        <v/>
      </c>
    </row>
    <row r="56" spans="1:8" x14ac:dyDescent="0.2">
      <c r="A56" t="s">
        <v>110</v>
      </c>
      <c r="B56" t="s">
        <v>0</v>
      </c>
      <c r="D56" t="s">
        <v>2172</v>
      </c>
      <c r="E56" t="str" cm="1">
        <f t="array" ref="E56">IF(COUNTIF(A:A, "*" &amp; LEFT(D56, FIND(" ", D56 &amp; " ") - 1) &amp; "*") &gt; 0,INDEX(A:A,FuzzyVLookup(D56,A:A,0,,,3)),"Non-PDL")</f>
        <v>APIDRA (insulin glulisine)</v>
      </c>
      <c r="F56" t="str">
        <f t="shared" si="0"/>
        <v>Non-Preferred</v>
      </c>
      <c r="G56" s="1" cm="1">
        <f t="array" ref="G56">FuzzyPercent(D56,E56,3)</f>
        <v>0.26666668057441711</v>
      </c>
      <c r="H56" t="str">
        <f t="shared" si="1"/>
        <v>CHECK</v>
      </c>
    </row>
    <row r="57" spans="1:8" x14ac:dyDescent="0.2">
      <c r="A57" t="s">
        <v>112</v>
      </c>
      <c r="B57" t="s">
        <v>0</v>
      </c>
      <c r="D57" t="s">
        <v>2173</v>
      </c>
      <c r="E57" t="str" cm="1">
        <f t="array" ref="E57">IF(COUNTIF(A:A, "*" &amp; LEFT(D57, FIND(" ", D57 &amp; " ") - 1) &amp; "*") &gt; 0,INDEX(A:A,FuzzyVLookup(D57,A:A,0,,,3)),"Non-PDL")</f>
        <v>APIDRA (insulin glulisine)</v>
      </c>
      <c r="F57" t="str">
        <f t="shared" si="0"/>
        <v>Non-Preferred</v>
      </c>
      <c r="G57" s="1" cm="1">
        <f t="array" ref="G57">FuzzyPercent(D57,E57,3)</f>
        <v>0.25735294818878174</v>
      </c>
      <c r="H57" t="str">
        <f t="shared" si="1"/>
        <v>CHECK</v>
      </c>
    </row>
    <row r="58" spans="1:8" x14ac:dyDescent="0.2">
      <c r="A58" t="s">
        <v>114</v>
      </c>
      <c r="B58" t="s">
        <v>0</v>
      </c>
      <c r="D58" t="s">
        <v>2174</v>
      </c>
      <c r="E58" t="str" cm="1">
        <f t="array" ref="E58">IF(COUNTIF(A:A, "*" &amp; LEFT(D58, FIND(" ", D58 &amp; " ") - 1) &amp; "*") &gt; 0,INDEX(A:A,FuzzyVLookup(D58,A:A,0,,,3)),"Non-PDL")</f>
        <v>APLENZIN (bupropion)</v>
      </c>
      <c r="F58" t="str">
        <f t="shared" si="0"/>
        <v>Non-Preferred</v>
      </c>
      <c r="G58" s="1" cm="1">
        <f t="array" ref="G58">FuzzyPercent(D58,E58,3)</f>
        <v>0.46511629223823547</v>
      </c>
      <c r="H58" t="str">
        <f t="shared" si="1"/>
        <v/>
      </c>
    </row>
    <row r="59" spans="1:8" x14ac:dyDescent="0.2">
      <c r="A59" t="s">
        <v>116</v>
      </c>
      <c r="B59" t="s">
        <v>0</v>
      </c>
      <c r="D59" t="s">
        <v>2175</v>
      </c>
      <c r="E59" t="str" cm="1">
        <f t="array" ref="E59">IF(COUNTIF(A:A, "*" &amp; LEFT(D59, FIND(" ", D59 &amp; " ") - 1) &amp; "*") &gt; 0,INDEX(A:A,FuzzyVLookup(D59,A:A,0,,,3)),"Non-PDL")</f>
        <v>APTIOM (eslicarbazine)</v>
      </c>
      <c r="F59" t="str">
        <f t="shared" si="0"/>
        <v>Non-Preferred</v>
      </c>
      <c r="G59" s="1" cm="1">
        <f t="array" ref="G59">FuzzyPercent(D59,E59,3)</f>
        <v>0.31818181276321411</v>
      </c>
      <c r="H59" t="str">
        <f t="shared" si="1"/>
        <v/>
      </c>
    </row>
    <row r="60" spans="1:8" x14ac:dyDescent="0.2">
      <c r="A60" t="s">
        <v>118</v>
      </c>
      <c r="B60" t="s">
        <v>0</v>
      </c>
      <c r="D60" t="s">
        <v>2176</v>
      </c>
      <c r="E60" t="str" cm="1">
        <f t="array" ref="E60">IF(COUNTIF(A:A, "*" &amp; LEFT(D60, FIND(" ", D60 &amp; " ") - 1) &amp; "*") &gt; 0,INDEX(A:A,FuzzyVLookup(D60,A:A,0,,,3)),"Non-PDL")</f>
        <v>Non-PDL</v>
      </c>
      <c r="F60" t="str">
        <f t="shared" si="0"/>
        <v>Non-PDL</v>
      </c>
      <c r="G60" s="1" cm="1">
        <f t="array" ref="G60">FuzzyPercent(D60,E60,3)</f>
        <v>2.380952425301075E-2</v>
      </c>
      <c r="H60" t="str">
        <f t="shared" si="1"/>
        <v/>
      </c>
    </row>
    <row r="61" spans="1:8" x14ac:dyDescent="0.2">
      <c r="A61" t="s">
        <v>120</v>
      </c>
      <c r="B61" t="s">
        <v>0</v>
      </c>
      <c r="D61" t="s">
        <v>2177</v>
      </c>
      <c r="E61" t="str" cm="1">
        <f t="array" ref="E61">IF(COUNTIF(A:A, "*" &amp; LEFT(D61, FIND(" ", D61 &amp; " ") - 1) &amp; "*") &gt; 0,INDEX(A:A,FuzzyVLookup(D61,A:A,0,,,3)),"Non-PDL")</f>
        <v>ARCALYST (rilonacept)</v>
      </c>
      <c r="F61" t="str">
        <f t="shared" si="0"/>
        <v>Non-Preferred</v>
      </c>
      <c r="G61" s="1" cm="1">
        <f t="array" ref="G61">FuzzyPercent(D61,E61,3)</f>
        <v>0.4444444477558136</v>
      </c>
      <c r="H61" t="str">
        <f t="shared" si="1"/>
        <v/>
      </c>
    </row>
    <row r="62" spans="1:8" x14ac:dyDescent="0.2">
      <c r="A62" t="s">
        <v>122</v>
      </c>
      <c r="B62" t="s">
        <v>0</v>
      </c>
      <c r="D62" t="s">
        <v>2178</v>
      </c>
      <c r="E62" t="str" cm="1">
        <f t="array" ref="E62">IF(COUNTIF(A:A, "*" &amp; LEFT(D62, FIND(" ", D62 &amp; " ") - 1) &amp; "*") &gt; 0,INDEX(A:A,FuzzyVLookup(D62,A:A,0,,,3)),"Non-PDL")</f>
        <v>ARICEPT (donepezil)</v>
      </c>
      <c r="F62" t="str">
        <f t="shared" si="0"/>
        <v>Non-Preferred</v>
      </c>
      <c r="G62" s="1" cm="1">
        <f t="array" ref="G62">FuzzyPercent(D62,E62,3)</f>
        <v>0.42105263471603394</v>
      </c>
      <c r="H62" t="str">
        <f t="shared" si="1"/>
        <v/>
      </c>
    </row>
    <row r="63" spans="1:8" x14ac:dyDescent="0.2">
      <c r="A63" t="s">
        <v>124</v>
      </c>
      <c r="B63" t="s">
        <v>0</v>
      </c>
      <c r="D63" t="s">
        <v>2179</v>
      </c>
      <c r="E63" t="str" cm="1">
        <f t="array" ref="E63">IF(COUNTIF(A:A, "*" &amp; LEFT(D63, FIND(" ", D63 &amp; " ") - 1) &amp; "*") &gt; 0,INDEX(A:A,FuzzyVLookup(D63,A:A,0,,,3)),"Non-PDL")</f>
        <v>Non-PDL</v>
      </c>
      <c r="F63" t="str">
        <f t="shared" si="0"/>
        <v>Non-PDL</v>
      </c>
      <c r="G63" s="1" cm="1">
        <f t="array" ref="G63">FuzzyPercent(D63,E63,3)</f>
        <v>0</v>
      </c>
      <c r="H63" t="str">
        <f t="shared" si="1"/>
        <v/>
      </c>
    </row>
    <row r="64" spans="1:8" x14ac:dyDescent="0.2">
      <c r="A64" t="s">
        <v>126</v>
      </c>
      <c r="B64" t="s">
        <v>0</v>
      </c>
      <c r="D64" t="s">
        <v>2180</v>
      </c>
      <c r="E64" t="str" cm="1">
        <f t="array" ref="E64">IF(COUNTIF(A:A, "*" &amp; LEFT(D64, FIND(" ", D64 &amp; " ") - 1) &amp; "*") &gt; 0,INDEX(A:A,FuzzyVLookup(D64,A:A,0,,,3)),"Non-PDL")</f>
        <v>aripiprazole ODT, solution</v>
      </c>
      <c r="F64" t="str">
        <f t="shared" si="0"/>
        <v>Non-Preferred</v>
      </c>
      <c r="G64" s="1" cm="1">
        <f t="array" ref="G64">FuzzyPercent(D64,E64,3)</f>
        <v>0.70921987295150757</v>
      </c>
      <c r="H64" t="str">
        <f t="shared" si="1"/>
        <v/>
      </c>
    </row>
    <row r="65" spans="1:8" x14ac:dyDescent="0.2">
      <c r="A65" t="s">
        <v>128</v>
      </c>
      <c r="B65" t="s">
        <v>0</v>
      </c>
      <c r="D65" t="s">
        <v>2181</v>
      </c>
      <c r="E65" t="str" cm="1">
        <f t="array" ref="E65">IF(COUNTIF(A:A, "*" &amp; LEFT(D65, FIND(" ", D65 &amp; " ") - 1) &amp; "*") &gt; 0,INDEX(A:A,FuzzyVLookup(D65,A:A,0,,,3)),"Non-PDL")</f>
        <v>aripiprazole ODT, solution</v>
      </c>
      <c r="F65" t="str">
        <f t="shared" si="0"/>
        <v>Non-Preferred</v>
      </c>
      <c r="G65" s="1" cm="1">
        <f t="array" ref="G65">FuzzyPercent(D65,E65,3)</f>
        <v>0.64835166931152344</v>
      </c>
      <c r="H65" t="str">
        <f t="shared" si="1"/>
        <v/>
      </c>
    </row>
    <row r="66" spans="1:8" x14ac:dyDescent="0.2">
      <c r="A66" t="s">
        <v>130</v>
      </c>
      <c r="B66" t="s">
        <v>0</v>
      </c>
      <c r="D66" t="s">
        <v>2182</v>
      </c>
      <c r="E66" t="str" cm="1">
        <f t="array" ref="E66">IF(COUNTIF(A:A, "*" &amp; LEFT(D66, FIND(" ", D66 &amp; " ") - 1) &amp; "*") &gt; 0,INDEX(A:A,FuzzyVLookup(D66,A:A,0,,,3)),"Non-PDL")</f>
        <v>aripiprazole ODT, solution</v>
      </c>
      <c r="F66" t="str">
        <f t="shared" si="0"/>
        <v>Non-Preferred</v>
      </c>
      <c r="G66" s="1" cm="1">
        <f t="array" ref="G66">FuzzyPercent(D66,E66,3)</f>
        <v>0.5165562629699707</v>
      </c>
      <c r="H66" t="str">
        <f t="shared" si="1"/>
        <v/>
      </c>
    </row>
    <row r="67" spans="1:8" x14ac:dyDescent="0.2">
      <c r="A67" t="s">
        <v>132</v>
      </c>
      <c r="B67" t="s">
        <v>0</v>
      </c>
      <c r="D67" t="s">
        <v>2183</v>
      </c>
      <c r="E67" t="str" cm="1">
        <f t="array" ref="E67">IF(COUNTIF(A:A, "*" &amp; LEFT(D67, FIND(" ", D67 &amp; " ") - 1) &amp; "*") &gt; 0,INDEX(A:A,FuzzyVLookup(D67,A:A,0,,,3)),"Non-PDL")</f>
        <v>orlistat</v>
      </c>
      <c r="F67" t="str">
        <f t="shared" ref="F67:F130" si="2">_xlfn.IFNA(_xlfn.XLOOKUP(E67,A:A,B:B),"Non-PDL")</f>
        <v>Preferred</v>
      </c>
      <c r="G67" s="1" cm="1">
        <f t="array" ref="G67">FuzzyPercent(D67,E67,3)</f>
        <v>0.40000000596046448</v>
      </c>
      <c r="H67" t="str">
        <f t="shared" ref="H67:H130" si="3">IF(F67="Non-PDL","",IF(G67&lt;0.3,"CHECK",""))</f>
        <v/>
      </c>
    </row>
    <row r="68" spans="1:8" x14ac:dyDescent="0.2">
      <c r="A68" t="s">
        <v>134</v>
      </c>
      <c r="B68" t="s">
        <v>0</v>
      </c>
      <c r="D68" t="s">
        <v>2184</v>
      </c>
      <c r="E68" t="str" cm="1">
        <f t="array" ref="E68">IF(COUNTIF(A:A, "*" &amp; LEFT(D68, FIND(" ", D68 &amp; " ") - 1) &amp; "*") &gt; 0,INDEX(A:A,FuzzyVLookup(D68,A:A,0,,,3)),"Non-PDL")</f>
        <v>ARISTADA INITIO (aripiprazole lauroxil)</v>
      </c>
      <c r="F68" t="str">
        <f t="shared" si="2"/>
        <v>Preferred</v>
      </c>
      <c r="G68" s="1" cm="1">
        <f t="array" ref="G68">FuzzyPercent(D68,E68,3)</f>
        <v>0.46153846383094788</v>
      </c>
      <c r="H68" t="str">
        <f t="shared" si="3"/>
        <v/>
      </c>
    </row>
    <row r="69" spans="1:8" x14ac:dyDescent="0.2">
      <c r="A69" t="s">
        <v>136</v>
      </c>
      <c r="B69" t="s">
        <v>0</v>
      </c>
      <c r="D69" t="s">
        <v>2185</v>
      </c>
      <c r="E69" t="str" cm="1">
        <f t="array" ref="E69">IF(COUNTIF(A:A, "*" &amp; LEFT(D69, FIND(" ", D69 &amp; " ") - 1) &amp; "*") &gt; 0,INDEX(A:A,FuzzyVLookup(D69,A:A,0,,,3)),"Non-PDL")</f>
        <v>ARMONAIR DIGIHALER (fluticasone)</v>
      </c>
      <c r="F69" t="str">
        <f t="shared" si="2"/>
        <v>Non-Preferred</v>
      </c>
      <c r="G69" s="1" cm="1">
        <f t="array" ref="G69">FuzzyPercent(D69,E69,3)</f>
        <v>0.65536725521087646</v>
      </c>
      <c r="H69" t="str">
        <f t="shared" si="3"/>
        <v/>
      </c>
    </row>
    <row r="70" spans="1:8" x14ac:dyDescent="0.2">
      <c r="A70" t="s">
        <v>138</v>
      </c>
      <c r="B70" t="s">
        <v>0</v>
      </c>
      <c r="D70" t="s">
        <v>2186</v>
      </c>
      <c r="E70" t="str" cm="1">
        <f t="array" ref="E70">IF(COUNTIF(A:A, "*" &amp; LEFT(D70, FIND(" ", D70 &amp; " ") - 1) &amp; "*") &gt; 0,INDEX(A:A,FuzzyVLookup(D70,A:A,0,,,3)),"Non-PDL")</f>
        <v>Non-PDL</v>
      </c>
      <c r="F70" t="str">
        <f t="shared" si="2"/>
        <v>Non-PDL</v>
      </c>
      <c r="G70" s="1" cm="1">
        <f t="array" ref="G70">FuzzyPercent(D70,E70,3)</f>
        <v>0</v>
      </c>
      <c r="H70" t="str">
        <f t="shared" si="3"/>
        <v/>
      </c>
    </row>
    <row r="71" spans="1:8" x14ac:dyDescent="0.2">
      <c r="A71" t="s">
        <v>140</v>
      </c>
      <c r="B71" t="s">
        <v>0</v>
      </c>
      <c r="D71" t="s">
        <v>2187</v>
      </c>
      <c r="E71" t="str" cm="1">
        <f t="array" ref="E71">IF(COUNTIF(A:A, "*" &amp; LEFT(D71, FIND(" ", D71 &amp; " ") - 1) &amp; "*") &gt; 0,INDEX(A:A,FuzzyVLookup(D71,A:A,0,,,3)),"Non-PDL")</f>
        <v>ARNUITY ELLIPTA (fluticasone)</v>
      </c>
      <c r="F71" t="str">
        <f t="shared" si="2"/>
        <v>Non-Preferred</v>
      </c>
      <c r="G71" s="1" cm="1">
        <f t="array" ref="G71">FuzzyPercent(D71,E71,3)</f>
        <v>0.60810810327529907</v>
      </c>
      <c r="H71" t="str">
        <f t="shared" si="3"/>
        <v/>
      </c>
    </row>
    <row r="72" spans="1:8" x14ac:dyDescent="0.2">
      <c r="A72" t="s">
        <v>142</v>
      </c>
      <c r="B72" t="s">
        <v>0</v>
      </c>
      <c r="D72" t="s">
        <v>2188</v>
      </c>
      <c r="E72" t="str" cm="1">
        <f t="array" ref="E72">IF(COUNTIF(A:A, "*" &amp; LEFT(D72, FIND(" ", D72 &amp; " ") - 1) &amp; "*") &gt; 0,INDEX(A:A,FuzzyVLookup(D72,A:A,0,,,3)),"Non-PDL")</f>
        <v>Non-PDL</v>
      </c>
      <c r="F72" t="str">
        <f t="shared" si="2"/>
        <v>Non-PDL</v>
      </c>
      <c r="G72" s="1" cm="1">
        <f t="array" ref="G72">FuzzyPercent(D72,E72,3)</f>
        <v>4.3478261679410934E-2</v>
      </c>
      <c r="H72" t="str">
        <f t="shared" si="3"/>
        <v/>
      </c>
    </row>
    <row r="73" spans="1:8" x14ac:dyDescent="0.2">
      <c r="A73" t="s">
        <v>144</v>
      </c>
      <c r="B73" t="s">
        <v>0</v>
      </c>
      <c r="D73" t="s">
        <v>2189</v>
      </c>
      <c r="E73" t="str" cm="1">
        <f t="array" ref="E73">IF(COUNTIF(A:A, "*" &amp; LEFT(D73, FIND(" ", D73 &amp; " ") - 1) &amp; "*") &gt; 0,INDEX(A:A,FuzzyVLookup(D73,A:A,0,,,3)),"Non-PDL")</f>
        <v>asenapine</v>
      </c>
      <c r="F73" t="str">
        <f t="shared" si="2"/>
        <v>Preferred</v>
      </c>
      <c r="G73" s="1" cm="1">
        <f t="array" ref="G73">FuzzyPercent(D73,E73,3)</f>
        <v>1</v>
      </c>
      <c r="H73" t="str">
        <f t="shared" si="3"/>
        <v/>
      </c>
    </row>
    <row r="74" spans="1:8" x14ac:dyDescent="0.2">
      <c r="A74" t="s">
        <v>146</v>
      </c>
      <c r="B74" t="s">
        <v>0</v>
      </c>
      <c r="D74" t="s">
        <v>2190</v>
      </c>
      <c r="E74" t="str" cm="1">
        <f t="array" ref="E74">IF(COUNTIF(A:A, "*" &amp; LEFT(D74, FIND(" ", D74 &amp; " ") - 1) &amp; "*") &gt; 0,INDEX(A:A,FuzzyVLookup(D74,A:A,0,,,3)),"Non-PDL")</f>
        <v>ASMANEX HFA (mometasone)</v>
      </c>
      <c r="F74" t="str">
        <f t="shared" si="2"/>
        <v>Non-Preferred</v>
      </c>
      <c r="G74" s="1" cm="1">
        <f t="array" ref="G74">FuzzyPercent(D74,E74,3)</f>
        <v>0.51327431201934814</v>
      </c>
      <c r="H74" t="str">
        <f t="shared" si="3"/>
        <v/>
      </c>
    </row>
    <row r="75" spans="1:8" x14ac:dyDescent="0.2">
      <c r="A75" t="s">
        <v>148</v>
      </c>
      <c r="B75" t="s">
        <v>0</v>
      </c>
      <c r="D75" t="s">
        <v>2191</v>
      </c>
      <c r="E75" t="str" cm="1">
        <f t="array" ref="E75">IF(COUNTIF(A:A, "*" &amp; LEFT(D75, FIND(" ", D75 &amp; " ") - 1) &amp; "*") &gt; 0,INDEX(A:A,FuzzyVLookup(D75,A:A,0,,,3)),"Non-PDL")</f>
        <v>ASMANEX (mometasone)</v>
      </c>
      <c r="F75" t="str">
        <f t="shared" si="2"/>
        <v>Preferred</v>
      </c>
      <c r="G75" s="1" cm="1">
        <f t="array" ref="G75">FuzzyPercent(D75,E75,3)</f>
        <v>0.34677419066429138</v>
      </c>
      <c r="H75" t="str">
        <f t="shared" si="3"/>
        <v/>
      </c>
    </row>
    <row r="76" spans="1:8" x14ac:dyDescent="0.2">
      <c r="A76" t="s">
        <v>150</v>
      </c>
      <c r="B76" t="s">
        <v>0</v>
      </c>
      <c r="D76" t="s">
        <v>2192</v>
      </c>
      <c r="E76" t="str" cm="1">
        <f t="array" ref="E76">IF(COUNTIF(A:A, "*" &amp; LEFT(D76, FIND(" ", D76 &amp; " ") - 1) &amp; "*") &gt; 0,INDEX(A:A,FuzzyVLookup(D76,A:A,0,,,3)),"Non-PDL")</f>
        <v>naratriptan</v>
      </c>
      <c r="F76" t="str">
        <f t="shared" si="2"/>
        <v>Preferred</v>
      </c>
      <c r="G76" s="1" cm="1">
        <f t="array" ref="G76">FuzzyPercent(D76,E76,3)</f>
        <v>0.37777778506278992</v>
      </c>
      <c r="H76" t="str">
        <f t="shared" si="3"/>
        <v/>
      </c>
    </row>
    <row r="77" spans="1:8" x14ac:dyDescent="0.2">
      <c r="A77" t="s">
        <v>152</v>
      </c>
      <c r="B77" t="s">
        <v>0</v>
      </c>
      <c r="D77" t="s">
        <v>2193</v>
      </c>
      <c r="E77" t="str" cm="1">
        <f t="array" ref="E77">IF(COUNTIF(A:A, "*" &amp; LEFT(D77, FIND(" ", D77 &amp; " ") - 1) &amp; "*") &gt; 0,INDEX(A:A,FuzzyVLookup(D77,A:A,0,,,3)),"Non-PDL")</f>
        <v>Non-PDL</v>
      </c>
      <c r="F77" t="str">
        <f t="shared" si="2"/>
        <v>Non-PDL</v>
      </c>
      <c r="G77" s="1" cm="1">
        <f t="array" ref="G77">FuzzyPercent(D77,E77,3)</f>
        <v>0</v>
      </c>
      <c r="H77" t="str">
        <f t="shared" si="3"/>
        <v/>
      </c>
    </row>
    <row r="78" spans="1:8" x14ac:dyDescent="0.2">
      <c r="A78" t="s">
        <v>154</v>
      </c>
      <c r="B78" t="s">
        <v>0</v>
      </c>
      <c r="D78" t="s">
        <v>2194</v>
      </c>
      <c r="E78" t="str" cm="1">
        <f t="array" ref="E78">IF(COUNTIF(A:A, "*" &amp; LEFT(D78, FIND(" ", D78 &amp; " ") - 1) &amp; "*") &gt; 0,INDEX(A:A,FuzzyVLookup(D78,A:A,0,,,3)),"Non-PDL")</f>
        <v>AUBAGIO (teriflunomide)</v>
      </c>
      <c r="F78" t="str">
        <f t="shared" si="2"/>
        <v>Non-Preferred</v>
      </c>
      <c r="G78" s="1" cm="1">
        <f t="array" ref="G78">FuzzyPercent(D78,E78,3)</f>
        <v>0.36752137541770935</v>
      </c>
      <c r="H78" t="str">
        <f t="shared" si="3"/>
        <v/>
      </c>
    </row>
    <row r="79" spans="1:8" x14ac:dyDescent="0.2">
      <c r="A79" t="s">
        <v>156</v>
      </c>
      <c r="B79" t="s">
        <v>0</v>
      </c>
      <c r="D79" t="s">
        <v>2195</v>
      </c>
      <c r="E79" t="str" cm="1">
        <f t="array" ref="E79">IF(COUNTIF(A:A, "*" &amp; LEFT(D79, FIND(" ", D79 &amp; " ") - 1) &amp; "*") &gt; 0,INDEX(A:A,FuzzyVLookup(D79,A:A,0,,,3)),"Non-PDL")</f>
        <v>AUGTYRO (repotrectinib)</v>
      </c>
      <c r="F79" t="str">
        <f t="shared" si="2"/>
        <v>Non-Preferred</v>
      </c>
      <c r="G79" s="1" cm="1">
        <f t="array" ref="G79">FuzzyPercent(D79,E79,3)</f>
        <v>0.34710744023323059</v>
      </c>
      <c r="H79" t="str">
        <f t="shared" si="3"/>
        <v/>
      </c>
    </row>
    <row r="80" spans="1:8" x14ac:dyDescent="0.2">
      <c r="A80" t="s">
        <v>158</v>
      </c>
      <c r="B80" t="s">
        <v>0</v>
      </c>
      <c r="D80" t="s">
        <v>2196</v>
      </c>
      <c r="E80" t="str" cm="1">
        <f t="array" ref="E80">IF(COUNTIF(A:A, "*" &amp; LEFT(D80, FIND(" ", D80 &amp; " ") - 1) &amp; "*") &gt; 0,INDEX(A:A,FuzzyVLookup(D80,A:A,0,,,3)),"Non-PDL")</f>
        <v>AURYXIA (ferric citrate)</v>
      </c>
      <c r="F80" t="str">
        <f t="shared" si="2"/>
        <v>Non-Preferred</v>
      </c>
      <c r="G80" s="1" cm="1">
        <f t="array" ref="G80">FuzzyPercent(D80,E80,3)</f>
        <v>0.31999999284744263</v>
      </c>
      <c r="H80" t="str">
        <f t="shared" si="3"/>
        <v/>
      </c>
    </row>
    <row r="81" spans="1:8" x14ac:dyDescent="0.2">
      <c r="A81" t="s">
        <v>160</v>
      </c>
      <c r="B81" t="s">
        <v>0</v>
      </c>
      <c r="D81" t="s">
        <v>2197</v>
      </c>
      <c r="E81" t="str" cm="1">
        <f t="array" ref="E81">IF(COUNTIF(A:A, "*" &amp; LEFT(D81, FIND(" ", D81 &amp; " ") - 1) &amp; "*") &gt; 0,INDEX(A:A,FuzzyVLookup(D81,A:A,0,,,3)),"Non-PDL")</f>
        <v>Non-PDL</v>
      </c>
      <c r="F81" t="str">
        <f t="shared" si="2"/>
        <v>Non-PDL</v>
      </c>
      <c r="G81" s="1" cm="1">
        <f t="array" ref="G81">FuzzyPercent(D81,E81,3)</f>
        <v>6.25E-2</v>
      </c>
      <c r="H81" t="str">
        <f t="shared" si="3"/>
        <v/>
      </c>
    </row>
    <row r="82" spans="1:8" x14ac:dyDescent="0.2">
      <c r="A82" t="s">
        <v>162</v>
      </c>
      <c r="B82" t="s">
        <v>0</v>
      </c>
      <c r="D82" t="s">
        <v>2198</v>
      </c>
      <c r="E82" t="str" cm="1">
        <f t="array" ref="E82">IF(COUNTIF(A:A, "*" &amp; LEFT(D82, FIND(" ", D82 &amp; " ") - 1) &amp; "*") &gt; 0,INDEX(A:A,FuzzyVLookup(D82,A:A,0,,,3)),"Non-PDL")</f>
        <v>Non-PDL</v>
      </c>
      <c r="F82" t="str">
        <f t="shared" si="2"/>
        <v>Non-PDL</v>
      </c>
      <c r="G82" s="1" cm="1">
        <f t="array" ref="G82">FuzzyPercent(D82,E82,3)</f>
        <v>3.7037037312984467E-2</v>
      </c>
      <c r="H82" t="str">
        <f t="shared" si="3"/>
        <v/>
      </c>
    </row>
    <row r="83" spans="1:8" x14ac:dyDescent="0.2">
      <c r="A83" t="s">
        <v>164</v>
      </c>
      <c r="B83" t="s">
        <v>0</v>
      </c>
      <c r="D83" t="s">
        <v>2199</v>
      </c>
      <c r="E83" t="str" cm="1">
        <f t="array" ref="E83">IF(COUNTIF(A:A, "*" &amp; LEFT(D83, FIND(" ", D83 &amp; " ") - 1) &amp; "*") &gt; 0,INDEX(A:A,FuzzyVLookup(D83,A:A,0,,,3)),"Non-PDL")</f>
        <v>Non-PDL</v>
      </c>
      <c r="F83" t="str">
        <f t="shared" si="2"/>
        <v>Non-PDL</v>
      </c>
      <c r="G83" s="1" cm="1">
        <f t="array" ref="G83">FuzzyPercent(D83,E83,3)</f>
        <v>2.2988505661487579E-2</v>
      </c>
      <c r="H83" t="str">
        <f t="shared" si="3"/>
        <v/>
      </c>
    </row>
    <row r="84" spans="1:8" x14ac:dyDescent="0.2">
      <c r="A84" t="s">
        <v>166</v>
      </c>
      <c r="B84" t="s">
        <v>0</v>
      </c>
      <c r="D84" t="s">
        <v>2200</v>
      </c>
      <c r="E84" t="str" cm="1">
        <f t="array" ref="E84">IF(COUNTIF(A:A, "*" &amp; LEFT(D84, FIND(" ", D84 &amp; " ") - 1) &amp; "*") &gt; 0,INDEX(A:A,FuzzyVLookup(D84,A:A,0,,,3)),"Non-PDL")</f>
        <v>AUVELITY (bupropion/dextromethorphan)</v>
      </c>
      <c r="F84" t="str">
        <f t="shared" si="2"/>
        <v>Non-Preferred</v>
      </c>
      <c r="G84" s="1" cm="1">
        <f t="array" ref="G84">FuzzyPercent(D84,E84,3)</f>
        <v>0.24691358208656311</v>
      </c>
      <c r="H84" t="str">
        <f t="shared" si="3"/>
        <v>CHECK</v>
      </c>
    </row>
    <row r="85" spans="1:8" x14ac:dyDescent="0.2">
      <c r="A85" t="s">
        <v>168</v>
      </c>
      <c r="B85" t="s">
        <v>0</v>
      </c>
      <c r="D85" t="s">
        <v>2201</v>
      </c>
      <c r="E85" t="str" cm="1">
        <f t="array" ref="E85">IF(COUNTIF(A:A, "*" &amp; LEFT(D85, FIND(" ", D85 &amp; " ") - 1) &amp; "*") &gt; 0,INDEX(A:A,FuzzyVLookup(D85,A:A,0,,,3)),"Non-PDL")</f>
        <v>AUVI-Q (epinephrine)</v>
      </c>
      <c r="F85" t="str">
        <f t="shared" si="2"/>
        <v>Non-Preferred</v>
      </c>
      <c r="G85" s="1" cm="1">
        <f t="array" ref="G85">FuzzyPercent(D85,E85,3)</f>
        <v>0.29906541109085083</v>
      </c>
      <c r="H85" t="str">
        <f t="shared" si="3"/>
        <v>CHECK</v>
      </c>
    </row>
    <row r="86" spans="1:8" x14ac:dyDescent="0.2">
      <c r="A86" t="s">
        <v>170</v>
      </c>
      <c r="B86" t="s">
        <v>0</v>
      </c>
      <c r="D86" t="s">
        <v>2202</v>
      </c>
      <c r="E86" t="str" cm="1">
        <f t="array" ref="E86">IF(COUNTIF(A:A, "*" &amp; LEFT(D86, FIND(" ", D86 &amp; " ") - 1) &amp; "*") &gt; 0,INDEX(A:A,FuzzyVLookup(D86,A:A,0,,,3)),"Non-PDL")</f>
        <v>AUVI-Q (epinephrine)</v>
      </c>
      <c r="F86" t="str">
        <f t="shared" si="2"/>
        <v>Non-Preferred</v>
      </c>
      <c r="G86" s="1" cm="1">
        <f t="array" ref="G86">FuzzyPercent(D86,E86,3)</f>
        <v>0.31067961454391479</v>
      </c>
      <c r="H86" t="str">
        <f t="shared" si="3"/>
        <v/>
      </c>
    </row>
    <row r="87" spans="1:8" x14ac:dyDescent="0.2">
      <c r="A87" t="s">
        <v>172</v>
      </c>
      <c r="B87" t="s">
        <v>0</v>
      </c>
      <c r="D87" t="s">
        <v>2203</v>
      </c>
      <c r="E87" t="str" cm="1">
        <f t="array" ref="E87">IF(COUNTIF(A:A, "*" &amp; LEFT(D87, FIND(" ", D87 &amp; " ") - 1) &amp; "*") &gt; 0,INDEX(A:A,FuzzyVLookup(D87,A:A,0,,,3)),"Non-PDL")</f>
        <v>AUVI-Q (epinephrine)</v>
      </c>
      <c r="F87" t="str">
        <f t="shared" si="2"/>
        <v>Non-Preferred</v>
      </c>
      <c r="G87" s="1" cm="1">
        <f t="array" ref="G87">FuzzyPercent(D87,E87,3)</f>
        <v>0.31067961454391479</v>
      </c>
      <c r="H87" t="str">
        <f t="shared" si="3"/>
        <v/>
      </c>
    </row>
    <row r="88" spans="1:8" x14ac:dyDescent="0.2">
      <c r="A88" t="s">
        <v>174</v>
      </c>
      <c r="B88" t="s">
        <v>0</v>
      </c>
      <c r="D88" t="s">
        <v>2204</v>
      </c>
      <c r="E88" t="str" cm="1">
        <f t="array" ref="E88">IF(COUNTIF(A:A, "*" &amp; LEFT(D88, FIND(" ", D88 &amp; " ") - 1) &amp; "*") &gt; 0,INDEX(A:A,FuzzyVLookup(D88,A:A,0,,,3)),"Non-PDL")</f>
        <v>Non-PDL</v>
      </c>
      <c r="F88" t="str">
        <f t="shared" si="2"/>
        <v>Non-PDL</v>
      </c>
      <c r="G88" s="1" cm="1">
        <f t="array" ref="G88">FuzzyPercent(D88,E88,3)</f>
        <v>0</v>
      </c>
      <c r="H88" t="str">
        <f t="shared" si="3"/>
        <v/>
      </c>
    </row>
    <row r="89" spans="1:8" x14ac:dyDescent="0.2">
      <c r="A89" t="s">
        <v>176</v>
      </c>
      <c r="B89" t="s">
        <v>0</v>
      </c>
      <c r="D89" t="s">
        <v>2205</v>
      </c>
      <c r="E89" t="str" cm="1">
        <f t="array" ref="E89">IF(COUNTIF(A:A, "*" &amp; LEFT(D89, FIND(" ", D89 &amp; " ") - 1) &amp; "*") &gt; 0,INDEX(A:A,FuzzyVLookup(D89,A:A,0,,,3)),"Non-PDL")</f>
        <v>AVONEX (interferon beta-1a)</v>
      </c>
      <c r="F89" t="str">
        <f t="shared" si="2"/>
        <v>Non-Preferred</v>
      </c>
      <c r="G89" s="1" cm="1">
        <f t="array" ref="G89">FuzzyPercent(D89,E89,3)</f>
        <v>0.24223601818084717</v>
      </c>
      <c r="H89" t="str">
        <f t="shared" si="3"/>
        <v>CHECK</v>
      </c>
    </row>
    <row r="90" spans="1:8" x14ac:dyDescent="0.2">
      <c r="A90" t="s">
        <v>178</v>
      </c>
      <c r="B90" t="s">
        <v>0</v>
      </c>
      <c r="D90" t="s">
        <v>2206</v>
      </c>
      <c r="E90" t="str" cm="1">
        <f t="array" ref="E90">IF(COUNTIF(A:A, "*" &amp; LEFT(D90, FIND(" ", D90 &amp; " ") - 1) &amp; "*") &gt; 0,INDEX(A:A,FuzzyVLookup(D90,A:A,0,,,3)),"Non-PDL")</f>
        <v>AVONEX (interferon beta-1a)</v>
      </c>
      <c r="F90" t="str">
        <f t="shared" si="2"/>
        <v>Non-Preferred</v>
      </c>
      <c r="G90" s="1" cm="1">
        <f t="array" ref="G90">FuzzyPercent(D90,E90,3)</f>
        <v>0.22905027866363525</v>
      </c>
      <c r="H90" t="str">
        <f t="shared" si="3"/>
        <v>CHECK</v>
      </c>
    </row>
    <row r="91" spans="1:8" x14ac:dyDescent="0.2">
      <c r="A91" t="s">
        <v>180</v>
      </c>
      <c r="B91" t="s">
        <v>0</v>
      </c>
      <c r="D91" t="s">
        <v>2207</v>
      </c>
      <c r="E91" t="str" cm="1">
        <f t="array" ref="E91">IF(COUNTIF(A:A, "*" &amp; LEFT(D91, FIND(" ", D91 &amp; " ") - 1) &amp; "*") &gt; 0,INDEX(A:A,FuzzyVLookup(D91,A:A,0,,,3)),"Non-PDL")</f>
        <v>ONUREG (azacitidine)</v>
      </c>
      <c r="F91" t="str">
        <f t="shared" si="2"/>
        <v>Non-Preferred</v>
      </c>
      <c r="G91" s="1" cm="1">
        <f t="array" ref="G91">FuzzyPercent(D91,E91,3)</f>
        <v>0.29310345649719238</v>
      </c>
      <c r="H91" t="str">
        <f t="shared" si="3"/>
        <v>CHECK</v>
      </c>
    </row>
    <row r="92" spans="1:8" x14ac:dyDescent="0.2">
      <c r="A92" t="s">
        <v>182</v>
      </c>
      <c r="B92" t="s">
        <v>0</v>
      </c>
      <c r="D92" t="s">
        <v>2208</v>
      </c>
      <c r="E92" t="str" cm="1">
        <f t="array" ref="E92">IF(COUNTIF(A:A, "*" &amp; LEFT(D92, FIND(" ", D92 &amp; " ") - 1) &amp; "*") &gt; 0,INDEX(A:A,FuzzyVLookup(D92,A:A,0,,,3)),"Non-PDL")</f>
        <v>irbesartan</v>
      </c>
      <c r="F92" t="str">
        <f t="shared" si="2"/>
        <v>Preferred</v>
      </c>
      <c r="G92" s="1" cm="1">
        <f t="array" ref="G92">FuzzyPercent(D92,E92,3)</f>
        <v>0.4444444477558136</v>
      </c>
      <c r="H92" t="str">
        <f t="shared" si="3"/>
        <v/>
      </c>
    </row>
    <row r="93" spans="1:8" x14ac:dyDescent="0.2">
      <c r="A93" t="s">
        <v>184</v>
      </c>
      <c r="B93" t="s">
        <v>0</v>
      </c>
      <c r="D93" t="s">
        <v>2209</v>
      </c>
      <c r="E93" t="str" cm="1">
        <f t="array" ref="E93">IF(COUNTIF(A:A, "*" &amp; LEFT(D93, FIND(" ", D93 &amp; " ") - 1) &amp; "*") &gt; 0,INDEX(A:A,FuzzyVLookup(D93,A:A,0,,,3)),"Non-PDL")</f>
        <v>AFSTYLA</v>
      </c>
      <c r="F93" t="str">
        <f t="shared" si="2"/>
        <v>Preferred</v>
      </c>
      <c r="G93" s="1" cm="1">
        <f t="array" ref="G93">FuzzyPercent(D93,E93,3)</f>
        <v>0.25</v>
      </c>
      <c r="H93" t="str">
        <f t="shared" si="3"/>
        <v>CHECK</v>
      </c>
    </row>
    <row r="94" spans="1:8" x14ac:dyDescent="0.2">
      <c r="A94" t="s">
        <v>186</v>
      </c>
      <c r="B94" t="s">
        <v>0</v>
      </c>
      <c r="D94" t="s">
        <v>2210</v>
      </c>
      <c r="E94" t="str" cm="1">
        <f t="array" ref="E94">IF(COUNTIF(A:A, "*" &amp; LEFT(D94, FIND(" ", D94 &amp; " ") - 1) &amp; "*") &gt; 0,INDEX(A:A,FuzzyVLookup(D94,A:A,0,,,3)),"Non-PDL")</f>
        <v>baclofen suspension</v>
      </c>
      <c r="F94" t="str">
        <f t="shared" si="2"/>
        <v>Non-Preferred</v>
      </c>
      <c r="G94" s="1" cm="1">
        <f t="array" ref="G94">FuzzyPercent(D94,E94,3)</f>
        <v>0.5446428656578064</v>
      </c>
      <c r="H94" t="str">
        <f t="shared" si="3"/>
        <v/>
      </c>
    </row>
    <row r="95" spans="1:8" x14ac:dyDescent="0.2">
      <c r="A95" t="s">
        <v>188</v>
      </c>
      <c r="B95" t="s">
        <v>0</v>
      </c>
      <c r="D95" t="s">
        <v>2211</v>
      </c>
      <c r="E95" t="str" cm="1">
        <f t="array" ref="E95">IF(COUNTIF(A:A, "*" &amp; LEFT(D95, FIND(" ", D95 &amp; " ") - 1) &amp; "*") &gt; 0,INDEX(A:A,FuzzyVLookup(D95,A:A,0,,,3)),"Non-PDL")</f>
        <v>baclofen 15 mg tablet</v>
      </c>
      <c r="F95" t="str">
        <f t="shared" si="2"/>
        <v>Non-Preferred</v>
      </c>
      <c r="G95" s="1" cm="1">
        <f t="array" ref="G95">FuzzyPercent(D95,E95,3)</f>
        <v>0.53913044929504395</v>
      </c>
      <c r="H95" t="str">
        <f t="shared" si="3"/>
        <v/>
      </c>
    </row>
    <row r="96" spans="1:8" x14ac:dyDescent="0.2">
      <c r="A96" t="s">
        <v>190</v>
      </c>
      <c r="B96" t="s">
        <v>0</v>
      </c>
      <c r="D96" t="s">
        <v>2212</v>
      </c>
      <c r="E96" t="str" cm="1">
        <f t="array" ref="E96">IF(COUNTIF(A:A, "*" &amp; LEFT(D96, FIND(" ", D96 &amp; " ") - 1) &amp; "*") &gt; 0,INDEX(A:A,FuzzyVLookup(D96,A:A,0,,,3)),"Non-PDL")</f>
        <v>BAFIERTAM (monomethyl fumarate)</v>
      </c>
      <c r="F96" t="str">
        <f t="shared" si="2"/>
        <v>Non-Preferred</v>
      </c>
      <c r="G96" s="1" cm="1">
        <f t="array" ref="G96">FuzzyPercent(D96,E96,3)</f>
        <v>0.3382352888584137</v>
      </c>
      <c r="H96" t="str">
        <f t="shared" si="3"/>
        <v/>
      </c>
    </row>
    <row r="97" spans="1:8" x14ac:dyDescent="0.2">
      <c r="A97" t="s">
        <v>192</v>
      </c>
      <c r="B97" t="s">
        <v>0</v>
      </c>
      <c r="D97" t="s">
        <v>2213</v>
      </c>
      <c r="E97" t="str" cm="1">
        <f t="array" ref="E97">IF(COUNTIF(A:A, "*" &amp; LEFT(D97, FIND(" ", D97 &amp; " ") - 1) &amp; "*") &gt; 0,INDEX(A:A,FuzzyVLookup(D97,A:A,0,,,3)),"Non-PDL")</f>
        <v>nitrofurantoin suspension</v>
      </c>
      <c r="F97" t="str">
        <f t="shared" si="2"/>
        <v>Preferred</v>
      </c>
      <c r="G97" s="1" cm="1">
        <f t="array" ref="G97">FuzzyPercent(D97,E97,3)</f>
        <v>0.29192546010017395</v>
      </c>
      <c r="H97" t="str">
        <f t="shared" si="3"/>
        <v>CHECK</v>
      </c>
    </row>
    <row r="98" spans="1:8" x14ac:dyDescent="0.2">
      <c r="A98" t="s">
        <v>194</v>
      </c>
      <c r="B98" t="s">
        <v>0</v>
      </c>
      <c r="D98" t="s">
        <v>2214</v>
      </c>
      <c r="E98" t="str" cm="1">
        <f t="array" ref="E98">IF(COUNTIF(A:A, "*" &amp; LEFT(D98, FIND(" ", D98 &amp; " ") - 1) &amp; "*") &gt; 0,INDEX(A:A,FuzzyVLookup(D98,A:A,0,,,3)),"Non-PDL")</f>
        <v>BANZEL (rufinamide)</v>
      </c>
      <c r="F98" t="str">
        <f t="shared" si="2"/>
        <v>Non-Preferred</v>
      </c>
      <c r="G98" s="1" cm="1">
        <f t="array" ref="G98">FuzzyPercent(D98,E98,3)</f>
        <v>0.32989689707756042</v>
      </c>
      <c r="H98" t="str">
        <f t="shared" si="3"/>
        <v/>
      </c>
    </row>
    <row r="99" spans="1:8" x14ac:dyDescent="0.2">
      <c r="A99" t="s">
        <v>196</v>
      </c>
      <c r="B99" t="s">
        <v>0</v>
      </c>
      <c r="D99" t="s">
        <v>2215</v>
      </c>
      <c r="E99" t="str" cm="1">
        <f t="array" ref="E99">IF(COUNTIF(A:A, "*" &amp; LEFT(D99, FIND(" ", D99 &amp; " ") - 1) &amp; "*") &gt; 0,INDEX(A:A,FuzzyVLookup(D99,A:A,0,,,3)),"Non-PDL")</f>
        <v>BARACLUDE (entecavir)</v>
      </c>
      <c r="F99" t="str">
        <f t="shared" si="2"/>
        <v>Non-Preferred</v>
      </c>
      <c r="G99" s="1" cm="1">
        <f t="array" ref="G99">FuzzyPercent(D99,E99,3)</f>
        <v>0.49462366104125977</v>
      </c>
      <c r="H99" t="str">
        <f t="shared" si="3"/>
        <v/>
      </c>
    </row>
    <row r="100" spans="1:8" x14ac:dyDescent="0.2">
      <c r="A100" t="s">
        <v>198</v>
      </c>
      <c r="B100" t="s">
        <v>0</v>
      </c>
      <c r="D100" t="s">
        <v>2216</v>
      </c>
      <c r="E100" t="str" cm="1">
        <f t="array" ref="E100">IF(COUNTIF(A:A, "*" &amp; LEFT(D100, FIND(" ", D100 &amp; " ") - 1) &amp; "*") &gt; 0,INDEX(A:A,FuzzyVLookup(D100,A:A,0,,,3)),"Non-PDL")</f>
        <v>BASAGLAR (insulin glargine)</v>
      </c>
      <c r="F100" t="str">
        <f t="shared" si="2"/>
        <v>Non-Preferred</v>
      </c>
      <c r="G100" s="1" cm="1">
        <f t="array" ref="G100">FuzzyPercent(D100,E100,3)</f>
        <v>0.33793103694915771</v>
      </c>
      <c r="H100" t="str">
        <f t="shared" si="3"/>
        <v/>
      </c>
    </row>
    <row r="101" spans="1:8" x14ac:dyDescent="0.2">
      <c r="A101" t="s">
        <v>200</v>
      </c>
      <c r="B101" t="s">
        <v>0</v>
      </c>
      <c r="D101" t="s">
        <v>2217</v>
      </c>
      <c r="E101" t="str" cm="1">
        <f t="array" ref="E101">IF(COUNTIF(A:A, "*" &amp; LEFT(D101, FIND(" ", D101 &amp; " ") - 1) &amp; "*") &gt; 0,INDEX(A:A,FuzzyVLookup(D101,A:A,0,,,3)),"Non-PDL")</f>
        <v>Non-PDL</v>
      </c>
      <c r="F101" t="str">
        <f t="shared" si="2"/>
        <v>Non-PDL</v>
      </c>
      <c r="G101" s="1" cm="1">
        <f t="array" ref="G101">FuzzyPercent(D101,E101,3)</f>
        <v>0</v>
      </c>
      <c r="H101" t="str">
        <f t="shared" si="3"/>
        <v/>
      </c>
    </row>
    <row r="102" spans="1:8" x14ac:dyDescent="0.2">
      <c r="A102" t="s">
        <v>202</v>
      </c>
      <c r="B102" t="s">
        <v>0</v>
      </c>
      <c r="D102" t="s">
        <v>2218</v>
      </c>
      <c r="E102" t="str" cm="1">
        <f t="array" ref="E102">IF(COUNTIF(A:A, "*" &amp; LEFT(D102, FIND(" ", D102 &amp; " ") - 1) &amp; "*") &gt; 0,INDEX(A:A,FuzzyVLookup(D102,A:A,0,,,3)),"Non-PDL")</f>
        <v>benazepril</v>
      </c>
      <c r="F102" t="str">
        <f t="shared" si="2"/>
        <v>Preferred</v>
      </c>
      <c r="G102" s="1" cm="1">
        <f t="array" ref="G102">FuzzyPercent(D102,E102,3)</f>
        <v>1</v>
      </c>
      <c r="H102" t="str">
        <f t="shared" si="3"/>
        <v/>
      </c>
    </row>
    <row r="103" spans="1:8" x14ac:dyDescent="0.2">
      <c r="A103" t="s">
        <v>204</v>
      </c>
      <c r="B103" t="s">
        <v>0</v>
      </c>
      <c r="D103" t="s">
        <v>2219</v>
      </c>
      <c r="E103" t="str" cm="1">
        <f t="array" ref="E103">IF(COUNTIF(A:A, "*" &amp; LEFT(D103, FIND(" ", D103 &amp; " ") - 1) &amp; "*") &gt; 0,INDEX(A:A,FuzzyVLookup(D103,A:A,0,,,3)),"Non-PDL")</f>
        <v>BENEFIX</v>
      </c>
      <c r="F103" t="str">
        <f t="shared" si="2"/>
        <v>Preferred</v>
      </c>
      <c r="G103" s="1" cm="1">
        <f t="array" ref="G103">FuzzyPercent(D103,E103,3)</f>
        <v>1</v>
      </c>
      <c r="H103" t="str">
        <f t="shared" si="3"/>
        <v/>
      </c>
    </row>
    <row r="104" spans="1:8" x14ac:dyDescent="0.2">
      <c r="A104" t="s">
        <v>206</v>
      </c>
      <c r="B104" t="s">
        <v>0</v>
      </c>
      <c r="D104" t="s">
        <v>2220</v>
      </c>
      <c r="E104" t="str" cm="1">
        <f t="array" ref="E104">IF(COUNTIF(A:A, "*" &amp; LEFT(D104, FIND(" ", D104 &amp; " ") - 1) &amp; "*") &gt; 0,INDEX(A:A,FuzzyVLookup(D104,A:A,0,,,3)),"Non-PDL")</f>
        <v>Non-PDL</v>
      </c>
      <c r="F104" t="str">
        <f t="shared" si="2"/>
        <v>Non-PDL</v>
      </c>
      <c r="G104" s="1" cm="1">
        <f t="array" ref="G104">FuzzyPercent(D104,E104,3)</f>
        <v>0.10000000149011612</v>
      </c>
      <c r="H104" t="str">
        <f t="shared" si="3"/>
        <v/>
      </c>
    </row>
    <row r="105" spans="1:8" x14ac:dyDescent="0.2">
      <c r="A105" t="s">
        <v>208</v>
      </c>
      <c r="B105" t="s">
        <v>0</v>
      </c>
      <c r="D105" t="s">
        <v>2221</v>
      </c>
      <c r="E105" t="str" cm="1">
        <f t="array" ref="E105">IF(COUNTIF(A:A, "*" &amp; LEFT(D105, FIND(" ", D105 &amp; " ") - 1) &amp; "*") &gt; 0,INDEX(A:A,FuzzyVLookup(D105,A:A,0,,,3)),"Non-PDL")</f>
        <v>Non-PDL</v>
      </c>
      <c r="F105" t="str">
        <f t="shared" si="2"/>
        <v>Non-PDL</v>
      </c>
      <c r="G105" s="1" cm="1">
        <f t="array" ref="G105">FuzzyPercent(D105,E105,3)</f>
        <v>3.8461539894342422E-2</v>
      </c>
      <c r="H105" t="str">
        <f t="shared" si="3"/>
        <v/>
      </c>
    </row>
    <row r="106" spans="1:8" x14ac:dyDescent="0.2">
      <c r="A106" t="s">
        <v>210</v>
      </c>
      <c r="B106" t="s">
        <v>0</v>
      </c>
      <c r="D106" t="s">
        <v>2222</v>
      </c>
      <c r="E106" t="str" cm="1">
        <f t="array" ref="E106">IF(COUNTIF(A:A, "*" &amp; LEFT(D106, FIND(" ", D106 &amp; " ") - 1) &amp; "*") &gt; 0,INDEX(A:A,FuzzyVLookup(D106,A:A,0,,,3)),"Non-PDL")</f>
        <v>BETAPACE (sotalol)</v>
      </c>
      <c r="F106" t="str">
        <f t="shared" si="2"/>
        <v>Non-Preferred</v>
      </c>
      <c r="G106" s="1" cm="1">
        <f t="array" ref="G106">FuzzyPercent(D106,E106,3)</f>
        <v>0.5128205418586731</v>
      </c>
      <c r="H106" t="str">
        <f t="shared" si="3"/>
        <v/>
      </c>
    </row>
    <row r="107" spans="1:8" x14ac:dyDescent="0.2">
      <c r="A107" t="s">
        <v>212</v>
      </c>
      <c r="B107" t="s">
        <v>0</v>
      </c>
      <c r="D107" t="s">
        <v>2223</v>
      </c>
      <c r="E107" t="str" cm="1">
        <f t="array" ref="E107">IF(COUNTIF(A:A, "*" &amp; LEFT(D107, FIND(" ", D107 &amp; " ") - 1) &amp; "*") &gt; 0,INDEX(A:A,FuzzyVLookup(D107,A:A,0,,,3)),"Non-PDL")</f>
        <v>BETAPACE AF (sotalol)</v>
      </c>
      <c r="F107" t="str">
        <f t="shared" si="2"/>
        <v>Non-Preferred</v>
      </c>
      <c r="G107" s="1" cm="1">
        <f t="array" ref="G107">FuzzyPercent(D107,E107,3)</f>
        <v>0.58585858345031738</v>
      </c>
      <c r="H107" t="str">
        <f t="shared" si="3"/>
        <v/>
      </c>
    </row>
    <row r="108" spans="1:8" x14ac:dyDescent="0.2">
      <c r="A108" t="s">
        <v>214</v>
      </c>
      <c r="B108" t="s">
        <v>0</v>
      </c>
      <c r="D108" t="s">
        <v>2224</v>
      </c>
      <c r="E108" t="str" cm="1">
        <f t="array" ref="E108">IF(COUNTIF(A:A, "*" &amp; LEFT(D108, FIND(" ", D108 &amp; " ") - 1) &amp; "*") &gt; 0,INDEX(A:A,FuzzyVLookup(D108,A:A,0,,,3)),"Non-PDL")</f>
        <v>betaxolol</v>
      </c>
      <c r="F108" t="str">
        <f t="shared" si="2"/>
        <v>Non-Preferred</v>
      </c>
      <c r="G108" s="1" cm="1">
        <f t="array" ref="G108">FuzzyPercent(D108,E108,3)</f>
        <v>0.25641027092933655</v>
      </c>
      <c r="H108" t="str">
        <f t="shared" si="3"/>
        <v>CHECK</v>
      </c>
    </row>
    <row r="109" spans="1:8" x14ac:dyDescent="0.2">
      <c r="A109" t="s">
        <v>216</v>
      </c>
      <c r="B109" t="s">
        <v>0</v>
      </c>
      <c r="D109" t="s">
        <v>2225</v>
      </c>
      <c r="E109" t="str" cm="1">
        <f t="array" ref="E109">IF(COUNTIF(A:A, "*" &amp; LEFT(D109, FIND(" ", D109 &amp; " ") - 1) &amp; "*") &gt; 0,INDEX(A:A,FuzzyVLookup(D109,A:A,0,,,3)),"Non-PDL")</f>
        <v>BEVESPI AEROSPHERE (glycopyrrolate/formoterol)</v>
      </c>
      <c r="F109" t="str">
        <f t="shared" si="2"/>
        <v>Non-Preferred</v>
      </c>
      <c r="G109" s="1" cm="1">
        <f t="array" ref="G109">FuzzyPercent(D109,E109,3)</f>
        <v>0.47540983557701111</v>
      </c>
      <c r="H109" t="str">
        <f t="shared" si="3"/>
        <v/>
      </c>
    </row>
    <row r="110" spans="1:8" x14ac:dyDescent="0.2">
      <c r="A110" t="s">
        <v>218</v>
      </c>
      <c r="B110" t="s">
        <v>0</v>
      </c>
      <c r="D110" t="s">
        <v>2226</v>
      </c>
      <c r="E110" t="str" cm="1">
        <f t="array" ref="E110">IF(COUNTIF(A:A, "*" &amp; LEFT(D110, FIND(" ", D110 &amp; " ") - 1) &amp; "*") &gt; 0,INDEX(A:A,FuzzyVLookup(D110,A:A,0,,,3)),"Non-PDL")</f>
        <v>BIVIGAM</v>
      </c>
      <c r="F110" t="str">
        <f t="shared" si="2"/>
        <v>Preferred</v>
      </c>
      <c r="G110" s="1" cm="1">
        <f t="array" ref="G110">FuzzyPercent(D110,E110,3)</f>
        <v>0.20000000298023224</v>
      </c>
      <c r="H110" t="str">
        <f t="shared" si="3"/>
        <v>CHECK</v>
      </c>
    </row>
    <row r="111" spans="1:8" x14ac:dyDescent="0.2">
      <c r="A111" t="s">
        <v>220</v>
      </c>
      <c r="B111" t="s">
        <v>0</v>
      </c>
      <c r="D111" t="s">
        <v>2227</v>
      </c>
      <c r="E111" t="str" cm="1">
        <f t="array" ref="E111">IF(COUNTIF(A:A, "*" &amp; LEFT(D111, FIND(" ", D111 &amp; " ") - 1) &amp; "*") &gt; 0,INDEX(A:A,FuzzyVLookup(D111,A:A,0,,,3)),"Non-PDL")</f>
        <v>BIMZELX (bimekizumab-bkzx)</v>
      </c>
      <c r="F111" t="str">
        <f t="shared" si="2"/>
        <v>Non-Preferred</v>
      </c>
      <c r="G111" s="1" cm="1">
        <f t="array" ref="G111">FuzzyPercent(D111,E111,3)</f>
        <v>0.29906541109085083</v>
      </c>
      <c r="H111" t="str">
        <f t="shared" si="3"/>
        <v>CHECK</v>
      </c>
    </row>
    <row r="112" spans="1:8" x14ac:dyDescent="0.2">
      <c r="A112" t="s">
        <v>222</v>
      </c>
      <c r="B112" t="s">
        <v>0</v>
      </c>
      <c r="D112" t="s">
        <v>2228</v>
      </c>
      <c r="E112" t="str" cm="1">
        <f t="array" ref="E112">IF(COUNTIF(A:A, "*" &amp; LEFT(D112, FIND(" ", D112 &amp; " ") - 1) &amp; "*") &gt; 0,INDEX(A:A,FuzzyVLookup(D112,A:A,0,,,3)),"Non-PDL")</f>
        <v>Non-PDL</v>
      </c>
      <c r="F112" t="str">
        <f t="shared" si="2"/>
        <v>Non-PDL</v>
      </c>
      <c r="G112" s="1" cm="1">
        <f t="array" ref="G112">FuzzyPercent(D112,E112,3)</f>
        <v>3.7037037312984467E-2</v>
      </c>
      <c r="H112" t="str">
        <f t="shared" si="3"/>
        <v/>
      </c>
    </row>
    <row r="113" spans="1:8" x14ac:dyDescent="0.2">
      <c r="A113" t="s">
        <v>224</v>
      </c>
      <c r="B113" t="s">
        <v>0</v>
      </c>
      <c r="D113" t="s">
        <v>2229</v>
      </c>
      <c r="E113" t="str" cm="1">
        <f t="array" ref="E113">IF(COUNTIF(A:A, "*" &amp; LEFT(D113, FIND(" ", D113 &amp; " ") - 1) &amp; "*") &gt; 0,INDEX(A:A,FuzzyVLookup(D113,A:A,0,,,3)),"Non-PDL")</f>
        <v>Non-PDL</v>
      </c>
      <c r="F113" t="str">
        <f t="shared" si="2"/>
        <v>Non-PDL</v>
      </c>
      <c r="G113" s="1" cm="1">
        <f t="array" ref="G113">FuzzyPercent(D113,E113,3)</f>
        <v>1.9230769947171211E-2</v>
      </c>
      <c r="H113" t="str">
        <f t="shared" si="3"/>
        <v/>
      </c>
    </row>
    <row r="114" spans="1:8" x14ac:dyDescent="0.2">
      <c r="A114" t="s">
        <v>226</v>
      </c>
      <c r="B114" t="s">
        <v>0</v>
      </c>
      <c r="D114" t="s">
        <v>2230</v>
      </c>
      <c r="E114" t="str" cm="1">
        <f t="array" ref="E114">IF(COUNTIF(A:A, "*" &amp; LEFT(D114, FIND(" ", D114 &amp; " ") - 1) &amp; "*") &gt; 0,INDEX(A:A,FuzzyVLookup(D114,A:A,0,,,3)),"Non-PDL")</f>
        <v>bosentan</v>
      </c>
      <c r="F114" t="str">
        <f t="shared" si="2"/>
        <v>Preferred</v>
      </c>
      <c r="G114" s="1" cm="1">
        <f t="array" ref="G114">FuzzyPercent(D114,E114,3)</f>
        <v>1</v>
      </c>
      <c r="H114" t="str">
        <f t="shared" si="3"/>
        <v/>
      </c>
    </row>
    <row r="115" spans="1:8" x14ac:dyDescent="0.2">
      <c r="A115" t="s">
        <v>228</v>
      </c>
      <c r="B115" t="s">
        <v>0</v>
      </c>
      <c r="D115" t="s">
        <v>2231</v>
      </c>
      <c r="E115" t="str" cm="1">
        <f t="array" ref="E115">IF(COUNTIF(A:A, "*" &amp; LEFT(D115, FIND(" ", D115 &amp; " ") - 1) &amp; "*") &gt; 0,INDEX(A:A,FuzzyVLookup(D115,A:A,0,,,3)),"Non-PDL")</f>
        <v>Non-PDL</v>
      </c>
      <c r="F115" t="str">
        <f t="shared" si="2"/>
        <v>Non-PDL</v>
      </c>
      <c r="G115" s="1" cm="1">
        <f t="array" ref="G115">FuzzyPercent(D115,E115,3)</f>
        <v>7.6923079788684845E-2</v>
      </c>
      <c r="H115" t="str">
        <f t="shared" si="3"/>
        <v/>
      </c>
    </row>
    <row r="116" spans="1:8" x14ac:dyDescent="0.2">
      <c r="A116" t="s">
        <v>230</v>
      </c>
      <c r="B116" t="s">
        <v>0</v>
      </c>
      <c r="D116" t="s">
        <v>2232</v>
      </c>
      <c r="E116" t="str" cm="1">
        <f t="array" ref="E116">IF(COUNTIF(A:A, "*" &amp; LEFT(D116, FIND(" ", D116 &amp; " ") - 1) &amp; "*") &gt; 0,INDEX(A:A,FuzzyVLookup(D116,A:A,0,,,3)),"Non-PDL")</f>
        <v>BREO ELLIPTA (fluticasone/vilanterol)</v>
      </c>
      <c r="F116" t="str">
        <f t="shared" si="2"/>
        <v>Non-Preferred</v>
      </c>
      <c r="G116" s="1" cm="1">
        <f t="array" ref="G116">FuzzyPercent(D116,E116,3)</f>
        <v>0.39548021554946899</v>
      </c>
      <c r="H116" t="str">
        <f t="shared" si="3"/>
        <v/>
      </c>
    </row>
    <row r="117" spans="1:8" x14ac:dyDescent="0.2">
      <c r="A117" t="s">
        <v>232</v>
      </c>
      <c r="B117" t="s">
        <v>0</v>
      </c>
      <c r="D117" t="s">
        <v>2233</v>
      </c>
      <c r="E117" t="str" cm="1">
        <f t="array" ref="E117">IF(COUNTIF(A:A, "*" &amp; LEFT(D117, FIND(" ", D117 &amp; " ") - 1) &amp; "*") &gt; 0,INDEX(A:A,FuzzyVLookup(D117,A:A,0,,,3)),"Non-PDL")</f>
        <v>Non-PDL</v>
      </c>
      <c r="F117" t="str">
        <f t="shared" si="2"/>
        <v>Non-PDL</v>
      </c>
      <c r="G117" s="1" cm="1">
        <f t="array" ref="G117">FuzzyPercent(D117,E117,3)</f>
        <v>0</v>
      </c>
      <c r="H117" t="str">
        <f t="shared" si="3"/>
        <v/>
      </c>
    </row>
    <row r="118" spans="1:8" x14ac:dyDescent="0.2">
      <c r="A118" t="s">
        <v>234</v>
      </c>
      <c r="B118" t="s">
        <v>0</v>
      </c>
      <c r="D118" t="s">
        <v>2234</v>
      </c>
      <c r="E118" t="str" cm="1">
        <f t="array" ref="E118">IF(COUNTIF(A:A, "*" &amp; LEFT(D118, FIND(" ", D118 &amp; " ") - 1) &amp; "*") &gt; 0,INDEX(A:A,FuzzyVLookup(D118,A:A,0,,,3)),"Non-PDL")</f>
        <v>bromfenac</v>
      </c>
      <c r="F118" t="str">
        <f t="shared" si="2"/>
        <v>Non-Preferred</v>
      </c>
      <c r="G118" s="1" cm="1">
        <f t="array" ref="G118">FuzzyPercent(D118,E118,3)</f>
        <v>0.24324324727058411</v>
      </c>
      <c r="H118" t="str">
        <f t="shared" si="3"/>
        <v>CHECK</v>
      </c>
    </row>
    <row r="119" spans="1:8" x14ac:dyDescent="0.2">
      <c r="A119" t="s">
        <v>236</v>
      </c>
      <c r="B119" t="s">
        <v>0</v>
      </c>
      <c r="D119" t="s">
        <v>2235</v>
      </c>
      <c r="E119" t="str" cm="1">
        <f t="array" ref="E119">IF(COUNTIF(A:A, "*" &amp; LEFT(D119, FIND(" ", D119 &amp; " ") - 1) &amp; "*") &gt; 0,INDEX(A:A,FuzzyVLookup(D119,A:A,0,,,3)),"Non-PDL")</f>
        <v>BREZTRI AEROSPHERE_x000D_(budesonide/glycopyrrolate/formoterol) DUR+</v>
      </c>
      <c r="F119" t="str">
        <f t="shared" si="2"/>
        <v>Preferred</v>
      </c>
      <c r="G119" s="1" cm="1">
        <f t="array" ref="G119">FuzzyPercent(D119,E119,3)</f>
        <v>0.35692307353019714</v>
      </c>
      <c r="H119" t="str">
        <f t="shared" si="3"/>
        <v/>
      </c>
    </row>
    <row r="120" spans="1:8" x14ac:dyDescent="0.2">
      <c r="A120" t="s">
        <v>238</v>
      </c>
      <c r="B120" t="s">
        <v>0</v>
      </c>
      <c r="D120" t="s">
        <v>2236</v>
      </c>
      <c r="E120" t="str" cm="1">
        <f t="array" ref="E120">IF(COUNTIF(A:A, "*" &amp; LEFT(D120, FIND(" ", D120 &amp; " ") - 1) &amp; "*") &gt; 0,INDEX(A:A,FuzzyVLookup(D120,A:A,0,,,3)),"Non-PDL")</f>
        <v>BRIUMVI (ublituximab-xiiy)</v>
      </c>
      <c r="F120" t="str">
        <f t="shared" si="2"/>
        <v>Non-Preferred</v>
      </c>
      <c r="G120" s="1" cm="1">
        <f t="array" ref="G120">FuzzyPercent(D120,E120,3)</f>
        <v>0.29906541109085083</v>
      </c>
      <c r="H120" t="str">
        <f t="shared" si="3"/>
        <v>CHECK</v>
      </c>
    </row>
    <row r="121" spans="1:8" x14ac:dyDescent="0.2">
      <c r="A121" t="s">
        <v>240</v>
      </c>
      <c r="B121" t="s">
        <v>0</v>
      </c>
      <c r="D121" t="s">
        <v>2237</v>
      </c>
      <c r="E121" t="str" cm="1">
        <f t="array" ref="E121">IF(COUNTIF(A:A, "*" &amp; LEFT(D121, FIND(" ", D121 &amp; " ") - 1) &amp; "*") &gt; 0,INDEX(A:A,FuzzyVLookup(D121,A:A,0,,,3)),"Non-PDL")</f>
        <v>BRIVIACT (brivaracetam)</v>
      </c>
      <c r="F121" t="str">
        <f t="shared" si="2"/>
        <v>Non-Preferred</v>
      </c>
      <c r="G121" s="1" cm="1">
        <f t="array" ref="G121">FuzzyPercent(D121,E121,3)</f>
        <v>0.4166666567325592</v>
      </c>
      <c r="H121" t="str">
        <f t="shared" si="3"/>
        <v/>
      </c>
    </row>
    <row r="122" spans="1:8" x14ac:dyDescent="0.2">
      <c r="A122" t="s">
        <v>242</v>
      </c>
      <c r="B122" t="s">
        <v>0</v>
      </c>
      <c r="D122" t="s">
        <v>2238</v>
      </c>
      <c r="E122" t="str" cm="1">
        <f t="array" ref="E122">IF(COUNTIF(A:A, "*" &amp; LEFT(D122, FIND(" ", D122 &amp; " ") - 1) &amp; "*") &gt; 0,INDEX(A:A,FuzzyVLookup(D122,A:A,0,,,3)),"Non-PDL")</f>
        <v>BRUKINSA (zanubrutinib)</v>
      </c>
      <c r="F122" t="str">
        <f t="shared" si="2"/>
        <v>Non-Preferred</v>
      </c>
      <c r="G122" s="1" cm="1">
        <f t="array" ref="G122">FuzzyPercent(D122,E122,3)</f>
        <v>0.4166666567325592</v>
      </c>
      <c r="H122" t="str">
        <f t="shared" si="3"/>
        <v/>
      </c>
    </row>
    <row r="123" spans="1:8" x14ac:dyDescent="0.2">
      <c r="A123" t="s">
        <v>244</v>
      </c>
      <c r="B123" t="s">
        <v>0</v>
      </c>
      <c r="D123" t="s">
        <v>2239</v>
      </c>
      <c r="E123" t="str" cm="1">
        <f t="array" ref="E123">IF(COUNTIF(A:A, "*" &amp; LEFT(D123, FIND(" ", D123 &amp; " ") - 1) &amp; "*") &gt; 0,INDEX(A:A,FuzzyVLookup(D123,A:A,0,,,3)),"Non-PDL")</f>
        <v>budesonide 0.25 mg and 0.5 mg</v>
      </c>
      <c r="F123" t="str">
        <f t="shared" si="2"/>
        <v>Preferred</v>
      </c>
      <c r="G123" s="1" cm="1">
        <f t="array" ref="G123">FuzzyPercent(D123,E123,3)</f>
        <v>0.17647059261798859</v>
      </c>
      <c r="H123" t="str">
        <f t="shared" si="3"/>
        <v>CHECK</v>
      </c>
    </row>
    <row r="124" spans="1:8" x14ac:dyDescent="0.2">
      <c r="A124" t="s">
        <v>246</v>
      </c>
      <c r="B124" t="s">
        <v>0</v>
      </c>
      <c r="D124" t="s">
        <v>2240</v>
      </c>
      <c r="E124" t="str" cm="1">
        <f t="array" ref="E124">IF(COUNTIF(A:A, "*" &amp; LEFT(D124, FIND(" ", D124 &amp; " ") - 1) &amp; "*") &gt; 0,INDEX(A:A,FuzzyVLookup(D124,A:A,0,,,3)),"Non-PDL")</f>
        <v>budesonide/formoterol</v>
      </c>
      <c r="F124" t="str">
        <f t="shared" si="2"/>
        <v>Non-Preferred</v>
      </c>
      <c r="G124" s="1" cm="1">
        <f t="array" ref="G124">FuzzyPercent(D124,E124,3)</f>
        <v>0.17511521279811859</v>
      </c>
      <c r="H124" t="str">
        <f t="shared" si="3"/>
        <v>CHECK</v>
      </c>
    </row>
    <row r="125" spans="1:8" x14ac:dyDescent="0.2">
      <c r="A125" t="s">
        <v>248</v>
      </c>
      <c r="B125" t="s">
        <v>0</v>
      </c>
      <c r="D125" t="s">
        <v>2241</v>
      </c>
      <c r="E125" t="str" cm="1">
        <f t="array" ref="E125">IF(COUNTIF(A:A, "*" &amp; LEFT(D125, FIND(" ", D125 &amp; " ") - 1) &amp; "*") &gt; 0,INDEX(A:A,FuzzyVLookup(D125,A:A,0,,,3)),"Non-PDL")</f>
        <v>BUPHENYL (sodium phenylbutyrate)</v>
      </c>
      <c r="F125" t="str">
        <f t="shared" si="2"/>
        <v>Non-Preferred</v>
      </c>
      <c r="G125" s="1" cm="1">
        <f t="array" ref="G125">FuzzyPercent(D125,E125,3)</f>
        <v>0.30487805604934692</v>
      </c>
      <c r="H125" t="str">
        <f t="shared" si="3"/>
        <v/>
      </c>
    </row>
    <row r="126" spans="1:8" x14ac:dyDescent="0.2">
      <c r="A126" t="s">
        <v>250</v>
      </c>
      <c r="B126" t="s">
        <v>0</v>
      </c>
      <c r="D126" t="s">
        <v>2242</v>
      </c>
      <c r="E126" t="str" cm="1">
        <f t="array" ref="E126">IF(COUNTIF(A:A, "*" &amp; LEFT(D126, FIND(" ", D126 &amp; " ") - 1) &amp; "*") &gt; 0,INDEX(A:A,FuzzyVLookup(D126,A:A,0,,,3)),"Non-PDL")</f>
        <v>etodolac tablet</v>
      </c>
      <c r="F126" t="str">
        <f t="shared" si="2"/>
        <v>Preferred</v>
      </c>
      <c r="G126" s="1" cm="1">
        <f t="array" ref="G126">FuzzyPercent(D126,E126,3)</f>
        <v>0.31111112236976624</v>
      </c>
      <c r="H126" t="str">
        <f t="shared" si="3"/>
        <v/>
      </c>
    </row>
    <row r="127" spans="1:8" x14ac:dyDescent="0.2">
      <c r="A127" t="s">
        <v>252</v>
      </c>
      <c r="B127" t="s">
        <v>0</v>
      </c>
      <c r="D127" t="s">
        <v>2243</v>
      </c>
      <c r="E127" t="str" cm="1">
        <f t="array" ref="E127">IF(COUNTIF(A:A, "*" &amp; LEFT(D127, FIND(" ", D127 &amp; " ") - 1) &amp; "*") &gt; 0,INDEX(A:A,FuzzyVLookup(D127,A:A,0,,,3)),"Non-PDL")</f>
        <v>BYDUREON (exenatide)</v>
      </c>
      <c r="F127" t="str">
        <f t="shared" si="2"/>
        <v>Non-Preferred</v>
      </c>
      <c r="G127" s="1" cm="1">
        <f t="array" ref="G127">FuzzyPercent(D127,E127,3)</f>
        <v>0.4392523467540741</v>
      </c>
      <c r="H127" t="str">
        <f t="shared" si="3"/>
        <v/>
      </c>
    </row>
    <row r="128" spans="1:8" x14ac:dyDescent="0.2">
      <c r="A128" t="s">
        <v>254</v>
      </c>
      <c r="B128" t="s">
        <v>0</v>
      </c>
      <c r="D128" t="s">
        <v>2244</v>
      </c>
      <c r="E128" t="str" cm="1">
        <f t="array" ref="E128">IF(COUNTIF(A:A, "*" &amp; LEFT(D128, FIND(" ", D128 &amp; " ") - 1) &amp; "*") &gt; 0,INDEX(A:A,FuzzyVLookup(D128,A:A,0,,,3)),"Non-PDL")</f>
        <v>BYDUREON (exenatide)</v>
      </c>
      <c r="F128" t="str">
        <f t="shared" si="2"/>
        <v>Non-Preferred</v>
      </c>
      <c r="G128" s="1" cm="1">
        <f t="array" ref="G128">FuzzyPercent(D128,E128,3)</f>
        <v>0.50495052337646484</v>
      </c>
      <c r="H128" t="str">
        <f t="shared" si="3"/>
        <v/>
      </c>
    </row>
    <row r="129" spans="1:8" x14ac:dyDescent="0.2">
      <c r="A129" t="s">
        <v>256</v>
      </c>
      <c r="B129" t="s">
        <v>0</v>
      </c>
      <c r="D129" t="s">
        <v>2245</v>
      </c>
      <c r="E129" t="str" cm="1">
        <f t="array" ref="E129">IF(COUNTIF(A:A, "*" &amp; LEFT(D129, FIND(" ", D129 &amp; " ") - 1) &amp; "*") &gt; 0,INDEX(A:A,FuzzyVLookup(D129,A:A,0,,,3)),"Non-PDL")</f>
        <v>BYETTA (exenatide)</v>
      </c>
      <c r="F129" t="str">
        <f t="shared" si="2"/>
        <v>Preferred</v>
      </c>
      <c r="G129" s="1" cm="1">
        <f t="array" ref="G129">FuzzyPercent(D129,E129,3)</f>
        <v>0.3888888955116272</v>
      </c>
      <c r="H129" t="str">
        <f t="shared" si="3"/>
        <v/>
      </c>
    </row>
    <row r="130" spans="1:8" x14ac:dyDescent="0.2">
      <c r="A130" t="s">
        <v>258</v>
      </c>
      <c r="B130" t="s">
        <v>0</v>
      </c>
      <c r="D130" t="s">
        <v>2246</v>
      </c>
      <c r="E130" t="str" cm="1">
        <f t="array" ref="E130">IF(COUNTIF(A:A, "*" &amp; LEFT(D130, FIND(" ", D130 &amp; " ") - 1) &amp; "*") &gt; 0,INDEX(A:A,FuzzyVLookup(D130,A:A,0,,,3)),"Non-PDL")</f>
        <v>BYLVAY (odevixibat)</v>
      </c>
      <c r="F130" t="str">
        <f t="shared" si="2"/>
        <v>Non-Preferred</v>
      </c>
      <c r="G130" s="1" cm="1">
        <f t="array" ref="G130">FuzzyPercent(D130,E130,3)</f>
        <v>0.37837839126586914</v>
      </c>
      <c r="H130" t="str">
        <f t="shared" si="3"/>
        <v/>
      </c>
    </row>
    <row r="131" spans="1:8" x14ac:dyDescent="0.2">
      <c r="A131" t="s">
        <v>260</v>
      </c>
      <c r="B131" t="s">
        <v>0</v>
      </c>
      <c r="D131" t="s">
        <v>2247</v>
      </c>
      <c r="E131" t="str" cm="1">
        <f t="array" ref="E131">IF(COUNTIF(A:A, "*" &amp; LEFT(D131, FIND(" ", D131 &amp; " ") - 1) &amp; "*") &gt; 0,INDEX(A:A,FuzzyVLookup(D131,A:A,0,,,3)),"Non-PDL")</f>
        <v>Non-PDL</v>
      </c>
      <c r="F131" t="str">
        <f t="shared" ref="F131:F194" si="4">_xlfn.IFNA(_xlfn.XLOOKUP(E131,A:A,B:B),"Non-PDL")</f>
        <v>Non-PDL</v>
      </c>
      <c r="G131" s="1" cm="1">
        <f t="array" ref="G131">FuzzyPercent(D131,E131,3)</f>
        <v>0</v>
      </c>
      <c r="H131" t="str">
        <f t="shared" ref="H131:H194" si="5">IF(F131="Non-PDL","",IF(G131&lt;0.3,"CHECK",""))</f>
        <v/>
      </c>
    </row>
    <row r="132" spans="1:8" x14ac:dyDescent="0.2">
      <c r="A132" t="s">
        <v>262</v>
      </c>
      <c r="B132" t="s">
        <v>0</v>
      </c>
      <c r="D132" t="s">
        <v>2248</v>
      </c>
      <c r="E132" t="str" cm="1">
        <f t="array" ref="E132">IF(COUNTIF(A:A, "*" &amp; LEFT(D132, FIND(" ", D132 &amp; " ") - 1) &amp; "*") &gt; 0,INDEX(A:A,FuzzyVLookup(D132,A:A,0,,,3)),"Non-PDL")</f>
        <v>CABLIVI</v>
      </c>
      <c r="F132" t="str">
        <f t="shared" si="4"/>
        <v>Non-Preferred</v>
      </c>
      <c r="G132" s="1" cm="1">
        <f t="array" ref="G132">FuzzyPercent(D132,E132,3)</f>
        <v>1</v>
      </c>
      <c r="H132" t="str">
        <f t="shared" si="5"/>
        <v/>
      </c>
    </row>
    <row r="133" spans="1:8" x14ac:dyDescent="0.2">
      <c r="A133" t="s">
        <v>264</v>
      </c>
      <c r="B133" t="s">
        <v>0</v>
      </c>
      <c r="D133" t="s">
        <v>2249</v>
      </c>
      <c r="E133" t="str" cm="1">
        <f t="array" ref="E133">IF(COUNTIF(A:A, "*" &amp; LEFT(D133, FIND(" ", D133 &amp; " ") - 1) &amp; "*") &gt; 0,INDEX(A:A,FuzzyVLookup(D133,A:A,0,,,3)),"Non-PDL")</f>
        <v>CALQUENCE (acalabrutinib)</v>
      </c>
      <c r="F133" t="str">
        <f t="shared" si="4"/>
        <v>Non-Preferred</v>
      </c>
      <c r="G133" s="1" cm="1">
        <f t="array" ref="G133">FuzzyPercent(D133,E133,3)</f>
        <v>0.41818180680274963</v>
      </c>
      <c r="H133" t="str">
        <f t="shared" si="5"/>
        <v/>
      </c>
    </row>
    <row r="134" spans="1:8" x14ac:dyDescent="0.2">
      <c r="A134" t="s">
        <v>266</v>
      </c>
      <c r="B134" t="s">
        <v>0</v>
      </c>
      <c r="D134" t="s">
        <v>2250</v>
      </c>
      <c r="E134" t="str" cm="1">
        <f t="array" ref="E134">IF(COUNTIF(A:A, "*" &amp; LEFT(D134, FIND(" ", D134 &amp; " ") - 1) &amp; "*") &gt; 0,INDEX(A:A,FuzzyVLookup(D134,A:A,0,,,3)),"Non-PDL")</f>
        <v>CAMZYOS (mavacamten)</v>
      </c>
      <c r="F134" t="str">
        <f t="shared" si="4"/>
        <v>Non-Preferred</v>
      </c>
      <c r="G134" s="1" cm="1">
        <f t="array" ref="G134">FuzzyPercent(D134,E134,3)</f>
        <v>0.39024388790130615</v>
      </c>
      <c r="H134" t="str">
        <f t="shared" si="5"/>
        <v/>
      </c>
    </row>
    <row r="135" spans="1:8" x14ac:dyDescent="0.2">
      <c r="A135" t="s">
        <v>268</v>
      </c>
      <c r="B135" t="s">
        <v>0</v>
      </c>
      <c r="D135" t="s">
        <v>2251</v>
      </c>
      <c r="E135" t="str" cm="1">
        <f t="array" ref="E135">IF(COUNTIF(A:A, "*" &amp; LEFT(D135, FIND(" ", D135 &amp; " ") - 1) &amp; "*") &gt; 0,INDEX(A:A,FuzzyVLookup(D135,A:A,0,,,3)),"Non-PDL")</f>
        <v>candesartan</v>
      </c>
      <c r="F135" t="str">
        <f t="shared" si="4"/>
        <v>Non-Preferred</v>
      </c>
      <c r="G135" s="1" cm="1">
        <f t="array" ref="G135">FuzzyPercent(D135,E135,3)</f>
        <v>1</v>
      </c>
      <c r="H135" t="str">
        <f t="shared" si="5"/>
        <v/>
      </c>
    </row>
    <row r="136" spans="1:8" x14ac:dyDescent="0.2">
      <c r="A136" t="s">
        <v>270</v>
      </c>
      <c r="B136" t="s">
        <v>0</v>
      </c>
      <c r="D136" t="s">
        <v>2252</v>
      </c>
      <c r="E136" t="str" cm="1">
        <f t="array" ref="E136">IF(COUNTIF(A:A, "*" &amp; LEFT(D136, FIND(" ", D136 &amp; " ") - 1) &amp; "*") &gt; 0,INDEX(A:A,FuzzyVLookup(D136,A:A,0,,,3)),"Non-PDL")</f>
        <v>CAPLYTA (lumateperone)</v>
      </c>
      <c r="F136" t="str">
        <f t="shared" si="4"/>
        <v>Non-Preferred</v>
      </c>
      <c r="G136" s="1" cm="1">
        <f t="array" ref="G136">FuzzyPercent(D136,E136,3)</f>
        <v>0.35555556416511536</v>
      </c>
      <c r="H136" t="str">
        <f t="shared" si="5"/>
        <v/>
      </c>
    </row>
    <row r="137" spans="1:8" x14ac:dyDescent="0.2">
      <c r="A137" t="s">
        <v>272</v>
      </c>
      <c r="B137" t="s">
        <v>0</v>
      </c>
      <c r="D137" t="s">
        <v>2253</v>
      </c>
      <c r="E137" t="str" cm="1">
        <f t="array" ref="E137">IF(COUNTIF(A:A, "*" &amp; LEFT(D137, FIND(" ", D137 &amp; " ") - 1) &amp; "*") &gt; 0,INDEX(A:A,FuzzyVLookup(D137,A:A,0,,,3)),"Non-PDL")</f>
        <v>Non-PDL</v>
      </c>
      <c r="F137" t="str">
        <f t="shared" si="4"/>
        <v>Non-PDL</v>
      </c>
      <c r="G137" s="1" cm="1">
        <f t="array" ref="G137">FuzzyPercent(D137,E137,3)</f>
        <v>5.000000074505806E-2</v>
      </c>
      <c r="H137" t="str">
        <f t="shared" si="5"/>
        <v/>
      </c>
    </row>
    <row r="138" spans="1:8" x14ac:dyDescent="0.2">
      <c r="A138" t="s">
        <v>274</v>
      </c>
      <c r="B138" t="s">
        <v>0</v>
      </c>
      <c r="D138" t="s">
        <v>2254</v>
      </c>
      <c r="E138" t="str" cm="1">
        <f t="array" ref="E138">IF(COUNTIF(A:A, "*" &amp; LEFT(D138, FIND(" ", D138 &amp; " ") - 1) &amp; "*") &gt; 0,INDEX(A:A,FuzzyVLookup(D138,A:A,0,,,3)),"Non-PDL")</f>
        <v>captopril</v>
      </c>
      <c r="F138" t="str">
        <f t="shared" si="4"/>
        <v>Preferred</v>
      </c>
      <c r="G138" s="1" cm="1">
        <f t="array" ref="G138">FuzzyPercent(D138,E138,3)</f>
        <v>1</v>
      </c>
      <c r="H138" t="str">
        <f t="shared" si="5"/>
        <v/>
      </c>
    </row>
    <row r="139" spans="1:8" x14ac:dyDescent="0.2">
      <c r="A139" t="s">
        <v>276</v>
      </c>
      <c r="B139" t="s">
        <v>0</v>
      </c>
      <c r="D139" t="s">
        <v>2255</v>
      </c>
      <c r="E139" t="str" cm="1">
        <f t="array" ref="E139">IF(COUNTIF(A:A, "*" &amp; LEFT(D139, FIND(" ", D139 &amp; " ") - 1) &amp; "*") &gt; 0,INDEX(A:A,FuzzyVLookup(D139,A:A,0,,,3)),"Non-PDL")</f>
        <v>CAYSTON (aztreonam)</v>
      </c>
      <c r="F139" t="str">
        <f t="shared" si="4"/>
        <v>Non-Preferred</v>
      </c>
      <c r="G139" s="1" cm="1">
        <f t="array" ref="G139">FuzzyPercent(D139,E139,3)</f>
        <v>0.42105263471603394</v>
      </c>
      <c r="H139" t="str">
        <f t="shared" si="5"/>
        <v/>
      </c>
    </row>
    <row r="140" spans="1:8" x14ac:dyDescent="0.2">
      <c r="A140" t="s">
        <v>278</v>
      </c>
      <c r="B140" t="s">
        <v>0</v>
      </c>
      <c r="D140" t="s">
        <v>2256</v>
      </c>
      <c r="E140" t="str" cm="1">
        <f t="array" ref="E140">IF(COUNTIF(A:A, "*" &amp; LEFT(D140, FIND(" ", D140 &amp; " ") - 1) &amp; "*") &gt; 0,INDEX(A:A,FuzzyVLookup(D140,A:A,0,,,3)),"Non-PDL")</f>
        <v>CEQUA (cyclosporine)</v>
      </c>
      <c r="F140" t="str">
        <f t="shared" si="4"/>
        <v>Non-Preferred</v>
      </c>
      <c r="G140" s="1" cm="1">
        <f t="array" ref="G140">FuzzyPercent(D140,E140,3)</f>
        <v>0.26315790414810181</v>
      </c>
      <c r="H140" t="str">
        <f t="shared" si="5"/>
        <v>CHECK</v>
      </c>
    </row>
    <row r="141" spans="1:8" x14ac:dyDescent="0.2">
      <c r="A141" t="s">
        <v>280</v>
      </c>
      <c r="B141" t="s">
        <v>0</v>
      </c>
      <c r="D141" t="s">
        <v>2257</v>
      </c>
      <c r="E141" t="str" cm="1">
        <f t="array" ref="E141">IF(COUNTIF(A:A, "*" &amp; LEFT(D141, FIND(" ", D141 &amp; " ") - 1) &amp; "*") &gt; 0,INDEX(A:A,FuzzyVLookup(D141,A:A,0,,,3)),"Non-PDL")</f>
        <v>CERDELGA (eliglustat)</v>
      </c>
      <c r="F141" t="str">
        <f t="shared" si="4"/>
        <v>Non-Preferred</v>
      </c>
      <c r="G141" s="1" cm="1">
        <f t="array" ref="G141">FuzzyPercent(D141,E141,3)</f>
        <v>0.4444444477558136</v>
      </c>
      <c r="H141" t="str">
        <f t="shared" si="5"/>
        <v/>
      </c>
    </row>
    <row r="142" spans="1:8" x14ac:dyDescent="0.2">
      <c r="A142" t="s">
        <v>282</v>
      </c>
      <c r="B142" t="s">
        <v>0</v>
      </c>
      <c r="D142" t="s">
        <v>2258</v>
      </c>
      <c r="E142" t="str" cm="1">
        <f t="array" ref="E142">IF(COUNTIF(A:A, "*" &amp; LEFT(D142, FIND(" ", D142 &amp; " ") - 1) &amp; "*") &gt; 0,INDEX(A:A,FuzzyVLookup(D142,A:A,0,,,3)),"Non-PDL")</f>
        <v>CEREZYME (imiglucerase)</v>
      </c>
      <c r="F142" t="str">
        <f t="shared" si="4"/>
        <v>Non-Preferred</v>
      </c>
      <c r="G142" s="1" cm="1">
        <f t="array" ref="G142">FuzzyPercent(D142,E142,3)</f>
        <v>0.36567163467407227</v>
      </c>
      <c r="H142" t="str">
        <f t="shared" si="5"/>
        <v/>
      </c>
    </row>
    <row r="143" spans="1:8" x14ac:dyDescent="0.2">
      <c r="A143" t="s">
        <v>284</v>
      </c>
      <c r="B143" t="s">
        <v>0</v>
      </c>
      <c r="D143" t="s">
        <v>2259</v>
      </c>
      <c r="E143" t="str" cm="1">
        <f t="array" ref="E143">IF(COUNTIF(A:A, "*" &amp; LEFT(D143, FIND(" ", D143 &amp; " ") - 1) &amp; "*") &gt; 0,INDEX(A:A,FuzzyVLookup(D143,A:A,0,,,3)),"Non-PDL")</f>
        <v>CHENODAL (chenodiol)</v>
      </c>
      <c r="F143" t="str">
        <f t="shared" si="4"/>
        <v>Non-Preferred</v>
      </c>
      <c r="G143" s="1" cm="1">
        <f t="array" ref="G143">FuzzyPercent(D143,E143,3)</f>
        <v>0.69473683834075928</v>
      </c>
      <c r="H143" t="str">
        <f t="shared" si="5"/>
        <v/>
      </c>
    </row>
    <row r="144" spans="1:8" x14ac:dyDescent="0.2">
      <c r="A144" t="s">
        <v>286</v>
      </c>
      <c r="B144" t="s">
        <v>0</v>
      </c>
      <c r="D144" t="s">
        <v>2260</v>
      </c>
      <c r="E144" t="str" cm="1">
        <f t="array" ref="E144">IF(COUNTIF(A:A, "*" &amp; LEFT(D144, FIND(" ", D144 &amp; " ") - 1) &amp; "*") &gt; 0,INDEX(A:A,FuzzyVLookup(D144,A:A,0,,,3)),"Non-PDL")</f>
        <v>Non-PDL</v>
      </c>
      <c r="F144" t="str">
        <f t="shared" si="4"/>
        <v>Non-PDL</v>
      </c>
      <c r="G144" s="1" cm="1">
        <f t="array" ref="G144">FuzzyPercent(D144,E144,3)</f>
        <v>9.7087379544973373E-3</v>
      </c>
      <c r="H144" t="str">
        <f t="shared" si="5"/>
        <v/>
      </c>
    </row>
    <row r="145" spans="1:8" x14ac:dyDescent="0.2">
      <c r="A145" t="s">
        <v>288</v>
      </c>
      <c r="B145" t="s">
        <v>0</v>
      </c>
      <c r="D145" t="s">
        <v>2261</v>
      </c>
      <c r="E145" t="str" cm="1">
        <f t="array" ref="E145">IF(COUNTIF(A:A, "*" &amp; LEFT(D145, FIND(" ", D145 &amp; " ") - 1) &amp; "*") &gt; 0,INDEX(A:A,FuzzyVLookup(D145,A:A,0,,,3)),"Non-PDL")</f>
        <v>CIBINQO (abrocitinib)</v>
      </c>
      <c r="F145" t="str">
        <f t="shared" si="4"/>
        <v>Non-Preferred</v>
      </c>
      <c r="G145" s="1" cm="1">
        <f t="array" ref="G145">FuzzyPercent(D145,E145,3)</f>
        <v>0.37209302186965942</v>
      </c>
      <c r="H145" t="str">
        <f t="shared" si="5"/>
        <v/>
      </c>
    </row>
    <row r="146" spans="1:8" x14ac:dyDescent="0.2">
      <c r="A146" t="s">
        <v>290</v>
      </c>
      <c r="B146" t="s">
        <v>0</v>
      </c>
      <c r="D146" t="s">
        <v>2262</v>
      </c>
      <c r="E146" t="str" cm="1">
        <f t="array" ref="E146">IF(COUNTIF(A:A, "*" &amp; LEFT(D146, FIND(" ", D146 &amp; " ") - 1) &amp; "*") &gt; 0,INDEX(A:A,FuzzyVLookup(D146,A:A,0,,,3)),"Non-PDL")</f>
        <v>CIMZIA (certolizumab)</v>
      </c>
      <c r="F146" t="str">
        <f t="shared" si="4"/>
        <v>Non-Preferred</v>
      </c>
      <c r="G146" s="1" cm="1">
        <f t="array" ref="G146">FuzzyPercent(D146,E146,3)</f>
        <v>0.3333333432674408</v>
      </c>
      <c r="H146" t="str">
        <f t="shared" si="5"/>
        <v/>
      </c>
    </row>
    <row r="147" spans="1:8" x14ac:dyDescent="0.2">
      <c r="A147" t="s">
        <v>292</v>
      </c>
      <c r="B147" t="s">
        <v>0</v>
      </c>
      <c r="D147" t="s">
        <v>2263</v>
      </c>
      <c r="E147" t="str" cm="1">
        <f t="array" ref="E147">IF(COUNTIF(A:A, "*" &amp; LEFT(D147, FIND(" ", D147 &amp; " ") - 1) &amp; "*") &gt; 0,INDEX(A:A,FuzzyVLookup(D147,A:A,0,,,3)),"Non-PDL")</f>
        <v>CINQAIR (reslizumab)</v>
      </c>
      <c r="F147" t="str">
        <f t="shared" si="4"/>
        <v>Non-Preferred</v>
      </c>
      <c r="G147" s="1" cm="1">
        <f t="array" ref="G147">FuzzyPercent(D147,E147,3)</f>
        <v>0.39024388790130615</v>
      </c>
      <c r="H147" t="str">
        <f t="shared" si="5"/>
        <v/>
      </c>
    </row>
    <row r="148" spans="1:8" x14ac:dyDescent="0.2">
      <c r="A148" t="s">
        <v>294</v>
      </c>
      <c r="B148" t="s">
        <v>0</v>
      </c>
      <c r="D148" t="s">
        <v>2264</v>
      </c>
      <c r="E148" t="str" cm="1">
        <f t="array" ref="E148">IF(COUNTIF(A:A, "*" &amp; LEFT(D148, FIND(" ", D148 &amp; " ") - 1) &amp; "*") &gt; 0,INDEX(A:A,FuzzyVLookup(D148,A:A,0,,,3)),"Non-PDL")</f>
        <v>CLEOCIN (clindamycin)</v>
      </c>
      <c r="F148" t="str">
        <f t="shared" si="4"/>
        <v>Preferred</v>
      </c>
      <c r="G148" s="1" cm="1">
        <f t="array" ref="G148">FuzzyPercent(D148,E148,3)</f>
        <v>0.375</v>
      </c>
      <c r="H148" t="str">
        <f t="shared" si="5"/>
        <v/>
      </c>
    </row>
    <row r="149" spans="1:8" x14ac:dyDescent="0.2">
      <c r="A149" t="s">
        <v>296</v>
      </c>
      <c r="B149" t="s">
        <v>0</v>
      </c>
      <c r="D149" t="s">
        <v>2265</v>
      </c>
      <c r="E149" t="str" cm="1">
        <f t="array" ref="E149">IF(COUNTIF(A:A, "*" &amp; LEFT(D149, FIND(" ", D149 &amp; " ") - 1) &amp; "*") &gt; 0,INDEX(A:A,FuzzyVLookup(D149,A:A,0,,,3)),"Non-PDL")</f>
        <v>mesalamine suppository</v>
      </c>
      <c r="F149" t="str">
        <f t="shared" si="4"/>
        <v>Preferred</v>
      </c>
      <c r="G149" s="1" cm="1">
        <f t="array" ref="G149">FuzzyPercent(D149,E149,3)</f>
        <v>0.19285714626312256</v>
      </c>
      <c r="H149" t="str">
        <f t="shared" si="5"/>
        <v>CHECK</v>
      </c>
    </row>
    <row r="150" spans="1:8" x14ac:dyDescent="0.2">
      <c r="A150" t="s">
        <v>298</v>
      </c>
      <c r="B150" t="s">
        <v>0</v>
      </c>
      <c r="D150" t="s">
        <v>2266</v>
      </c>
      <c r="E150" t="str" cm="1">
        <f t="array" ref="E150">IF(COUNTIF(A:A, "*" &amp; LEFT(D150, FIND(" ", D150 &amp; " ") - 1) &amp; "*") &gt; 0,INDEX(A:A,FuzzyVLookup(D150,A:A,0,,,3)),"Non-PDL")</f>
        <v>clindamycin foam, gel</v>
      </c>
      <c r="F150" t="str">
        <f t="shared" si="4"/>
        <v>Non-Preferred</v>
      </c>
      <c r="G150" s="1" cm="1">
        <f t="array" ref="G150">FuzzyPercent(D150,E150,3)</f>
        <v>0.53676468133926392</v>
      </c>
      <c r="H150" t="str">
        <f t="shared" si="5"/>
        <v/>
      </c>
    </row>
    <row r="151" spans="1:8" x14ac:dyDescent="0.2">
      <c r="A151" t="s">
        <v>300</v>
      </c>
      <c r="B151" t="s">
        <v>0</v>
      </c>
      <c r="D151" t="s">
        <v>2267</v>
      </c>
      <c r="E151" t="str" cm="1">
        <f t="array" ref="E151">IF(COUNTIF(A:A, "*" &amp; LEFT(D151, FIND(" ", D151 &amp; " ") - 1) &amp; "*") &gt; 0,INDEX(A:A,FuzzyVLookup(D151,A:A,0,,,3)),"Non-PDL")</f>
        <v>CLINDESSE (clindamycin)</v>
      </c>
      <c r="F151" t="str">
        <f t="shared" si="4"/>
        <v>Non-Preferred</v>
      </c>
      <c r="G151" s="1" cm="1">
        <f t="array" ref="G151">FuzzyPercent(D151,E151,3)</f>
        <v>0.19333332777023315</v>
      </c>
      <c r="H151" t="str">
        <f t="shared" si="5"/>
        <v>CHECK</v>
      </c>
    </row>
    <row r="152" spans="1:8" x14ac:dyDescent="0.2">
      <c r="A152" t="s">
        <v>302</v>
      </c>
      <c r="B152" t="s">
        <v>0</v>
      </c>
      <c r="D152" t="s">
        <v>2268</v>
      </c>
      <c r="E152" t="str" cm="1">
        <f t="array" ref="E152">IF(COUNTIF(A:A, "*" &amp; LEFT(D152, FIND(" ", D152 &amp; " ") - 1) &amp; "*") &gt; 0,INDEX(A:A,FuzzyVLookup(D152,A:A,0,,,3)),"Non-PDL")</f>
        <v>oxcarbazepine suspension</v>
      </c>
      <c r="F152" t="str">
        <f t="shared" si="4"/>
        <v>Non-Preferred</v>
      </c>
      <c r="G152" s="1" cm="1">
        <f t="array" ref="G152">FuzzyPercent(D152,E152,3)</f>
        <v>0.26190477609634399</v>
      </c>
      <c r="H152" t="str">
        <f t="shared" si="5"/>
        <v>CHECK</v>
      </c>
    </row>
    <row r="153" spans="1:8" x14ac:dyDescent="0.2">
      <c r="A153" t="s">
        <v>304</v>
      </c>
      <c r="B153" t="s">
        <v>0</v>
      </c>
      <c r="D153" t="s">
        <v>2269</v>
      </c>
      <c r="E153" t="str" cm="1">
        <f t="array" ref="E153">IF(COUNTIF(A:A, "*" &amp; LEFT(D153, FIND(" ", D153 &amp; " ") - 1) &amp; "*") &gt; 0,INDEX(A:A,FuzzyVLookup(D153,A:A,0,,,3)),"Non-PDL")</f>
        <v>clozapine tablet</v>
      </c>
      <c r="F153" t="str">
        <f t="shared" si="4"/>
        <v>Preferred</v>
      </c>
      <c r="G153" s="1" cm="1">
        <f t="array" ref="G153">FuzzyPercent(D153,E153,3)</f>
        <v>0.3684210479259491</v>
      </c>
      <c r="H153" t="str">
        <f t="shared" si="5"/>
        <v/>
      </c>
    </row>
    <row r="154" spans="1:8" x14ac:dyDescent="0.2">
      <c r="A154" t="s">
        <v>306</v>
      </c>
      <c r="B154" t="s">
        <v>0</v>
      </c>
      <c r="D154" t="s">
        <v>2270</v>
      </c>
      <c r="E154" t="str" cm="1">
        <f t="array" ref="E154">IF(COUNTIF(A:A, "*" &amp; LEFT(D154, FIND(" ", D154 &amp; " ") - 1) &amp; "*") &gt; 0,INDEX(A:A,FuzzyVLookup(D154,A:A,0,,,3)),"Non-PDL")</f>
        <v>clozapine ODT</v>
      </c>
      <c r="F154" t="str">
        <f t="shared" si="4"/>
        <v>Non-Preferred</v>
      </c>
      <c r="G154" s="1" cm="1">
        <f t="array" ref="G154">FuzzyPercent(D154,E154,3)</f>
        <v>1</v>
      </c>
      <c r="H154" t="str">
        <f t="shared" si="5"/>
        <v/>
      </c>
    </row>
    <row r="155" spans="1:8" x14ac:dyDescent="0.2">
      <c r="A155" t="s">
        <v>308</v>
      </c>
      <c r="B155" t="s">
        <v>0</v>
      </c>
      <c r="D155" t="s">
        <v>2271</v>
      </c>
      <c r="E155" t="str" cm="1">
        <f t="array" ref="E155">IF(COUNTIF(A:A, "*" &amp; LEFT(D155, FIND(" ", D155 &amp; " ") - 1) &amp; "*") &gt; 0,INDEX(A:A,FuzzyVLookup(D155,A:A,0,,,3)),"Non-PDL")</f>
        <v>clozapine tablet</v>
      </c>
      <c r="F155" t="str">
        <f t="shared" si="4"/>
        <v>Preferred</v>
      </c>
      <c r="G155" s="1" cm="1">
        <f t="array" ref="G155">FuzzyPercent(D155,E155,3)</f>
        <v>1</v>
      </c>
      <c r="H155" t="str">
        <f t="shared" si="5"/>
        <v/>
      </c>
    </row>
    <row r="156" spans="1:8" x14ac:dyDescent="0.2">
      <c r="A156" t="s">
        <v>310</v>
      </c>
      <c r="B156" t="s">
        <v>0</v>
      </c>
      <c r="D156" t="s">
        <v>2272</v>
      </c>
      <c r="E156" t="str" cm="1">
        <f t="array" ref="E156">IF(COUNTIF(A:A, "*" &amp; LEFT(D156, FIND(" ", D156 &amp; " ") - 1) &amp; "*") &gt; 0,INDEX(A:A,FuzzyVLookup(D156,A:A,0,,,3)),"Non-PDL")</f>
        <v>CLOZARIL (clozapine)</v>
      </c>
      <c r="F156" t="str">
        <f t="shared" si="4"/>
        <v>Non-Preferred</v>
      </c>
      <c r="G156" s="1" cm="1">
        <f t="array" ref="G156">FuzzyPercent(D156,E156,3)</f>
        <v>0.46511629223823547</v>
      </c>
      <c r="H156" t="str">
        <f t="shared" si="5"/>
        <v/>
      </c>
    </row>
    <row r="157" spans="1:8" x14ac:dyDescent="0.2">
      <c r="A157" t="s">
        <v>312</v>
      </c>
      <c r="B157" t="s">
        <v>0</v>
      </c>
      <c r="D157" t="s">
        <v>2273</v>
      </c>
      <c r="E157" t="str" cm="1">
        <f t="array" ref="E157">IF(COUNTIF(A:A, "*" &amp; LEFT(D157, FIND(" ", D157 &amp; " ") - 1) &amp; "*") &gt; 0,INDEX(A:A,FuzzyVLookup(D157,A:A,0,,,3)),"Non-PDL")</f>
        <v>colchicine capsule</v>
      </c>
      <c r="F157" t="str">
        <f t="shared" si="4"/>
        <v>Non-Preferred</v>
      </c>
      <c r="G157" s="1" cm="1">
        <f t="array" ref="G157">FuzzyPercent(D157,E157,3)</f>
        <v>0.32038834691047668</v>
      </c>
      <c r="H157" t="str">
        <f t="shared" si="5"/>
        <v/>
      </c>
    </row>
    <row r="158" spans="1:8" x14ac:dyDescent="0.2">
      <c r="A158" t="s">
        <v>314</v>
      </c>
      <c r="B158" t="s">
        <v>0</v>
      </c>
      <c r="D158" t="s">
        <v>2274</v>
      </c>
      <c r="E158" t="str" cm="1">
        <f t="array" ref="E158">IF(COUNTIF(A:A, "*" &amp; LEFT(D158, FIND(" ", D158 &amp; " ") - 1) &amp; "*") &gt; 0,INDEX(A:A,FuzzyVLookup(D158,A:A,0,,,3)),"Non-PDL")</f>
        <v>RECOMBINATE</v>
      </c>
      <c r="F158" t="str">
        <f t="shared" si="4"/>
        <v>Preferred</v>
      </c>
      <c r="G158" s="1" cm="1">
        <f t="array" ref="G158">FuzzyPercent(D158,E158,3)</f>
        <v>0.30612245202064514</v>
      </c>
      <c r="H158" t="str">
        <f t="shared" si="5"/>
        <v/>
      </c>
    </row>
    <row r="159" spans="1:8" x14ac:dyDescent="0.2">
      <c r="A159" t="s">
        <v>316</v>
      </c>
      <c r="B159" t="s">
        <v>0</v>
      </c>
      <c r="D159" t="s">
        <v>2275</v>
      </c>
      <c r="E159" t="str" cm="1">
        <f t="array" ref="E159">IF(COUNTIF(A:A, "*" &amp; LEFT(D159, FIND(" ", D159 &amp; " ") - 1) &amp; "*") &gt; 0,INDEX(A:A,FuzzyVLookup(D159,A:A,0,,,3)),"Non-PDL")</f>
        <v>COMBIVENT RESPIMAT (ipratropium/albuterol)</v>
      </c>
      <c r="F159" t="str">
        <f t="shared" si="4"/>
        <v>Preferred</v>
      </c>
      <c r="G159" s="1" cm="1">
        <f t="array" ref="G159">FuzzyPercent(D159,E159,3)</f>
        <v>0.53846156597137451</v>
      </c>
      <c r="H159" t="str">
        <f t="shared" si="5"/>
        <v/>
      </c>
    </row>
    <row r="160" spans="1:8" x14ac:dyDescent="0.2">
      <c r="A160" t="s">
        <v>318</v>
      </c>
      <c r="B160" t="s">
        <v>0</v>
      </c>
      <c r="D160" t="s">
        <v>2276</v>
      </c>
      <c r="E160" t="str" cm="1">
        <f t="array" ref="E160">IF(COUNTIF(A:A, "*" &amp; LEFT(D160, FIND(" ", D160 &amp; " ") - 1) &amp; "*") &gt; 0,INDEX(A:A,FuzzyVLookup(D160,A:A,0,,,3)),"Non-PDL")</f>
        <v>COMPLETENATE</v>
      </c>
      <c r="F160" t="str">
        <f t="shared" si="4"/>
        <v>Preferred</v>
      </c>
      <c r="G160" s="1" cm="1">
        <f t="array" ref="G160">FuzzyPercent(D160,E160,3)</f>
        <v>0.52727270126342773</v>
      </c>
      <c r="H160" t="str">
        <f t="shared" si="5"/>
        <v/>
      </c>
    </row>
    <row r="161" spans="1:8" x14ac:dyDescent="0.2">
      <c r="A161" t="s">
        <v>320</v>
      </c>
      <c r="B161" t="s">
        <v>0</v>
      </c>
      <c r="D161" t="s">
        <v>2277</v>
      </c>
      <c r="E161" t="str" cm="1">
        <f t="array" ref="E161">IF(COUNTIF(A:A, "*" &amp; LEFT(D161, FIND(" ", D161 &amp; " ") - 1) &amp; "*") &gt; 0,INDEX(A:A,FuzzyVLookup(D161,A:A,0,,,3)),"Non-PDL")</f>
        <v>COPAXONE (glatiramer) 20 mg</v>
      </c>
      <c r="F161" t="str">
        <f t="shared" si="4"/>
        <v>Preferred</v>
      </c>
      <c r="G161" s="1" cm="1">
        <f t="array" ref="G161">FuzzyPercent(D161,E161,3)</f>
        <v>0.56488549709320068</v>
      </c>
      <c r="H161" t="str">
        <f t="shared" si="5"/>
        <v/>
      </c>
    </row>
    <row r="162" spans="1:8" x14ac:dyDescent="0.2">
      <c r="A162" t="s">
        <v>322</v>
      </c>
      <c r="B162" t="s">
        <v>0</v>
      </c>
      <c r="D162" t="s">
        <v>2278</v>
      </c>
      <c r="E162" t="str" cm="1">
        <f t="array" ref="E162">IF(COUNTIF(A:A, "*" &amp; LEFT(D162, FIND(" ", D162 &amp; " ") - 1) &amp; "*") &gt; 0,INDEX(A:A,FuzzyVLookup(D162,A:A,0,,,3)),"Non-PDL")</f>
        <v>COPAXONE (glatiramer) 40 mg</v>
      </c>
      <c r="F162" t="str">
        <f t="shared" si="4"/>
        <v>Non-Preferred</v>
      </c>
      <c r="G162" s="1" cm="1">
        <f t="array" ref="G162">FuzzyPercent(D162,E162,3)</f>
        <v>0.56488549709320068</v>
      </c>
      <c r="H162" t="str">
        <f t="shared" si="5"/>
        <v/>
      </c>
    </row>
    <row r="163" spans="1:8" x14ac:dyDescent="0.2">
      <c r="A163" t="s">
        <v>324</v>
      </c>
      <c r="B163" t="s">
        <v>0</v>
      </c>
      <c r="D163" t="s">
        <v>2279</v>
      </c>
      <c r="E163" t="str" cm="1">
        <f t="array" ref="E163">IF(COUNTIF(A:A, "*" &amp; LEFT(D163, FIND(" ", D163 &amp; " ") - 1) &amp; "*") &gt; 0,INDEX(A:A,FuzzyVLookup(D163,A:A,0,,,3)),"Non-PDL")</f>
        <v>COSENTYX (secukinumab)</v>
      </c>
      <c r="F163" t="str">
        <f t="shared" si="4"/>
        <v>Non-Preferred</v>
      </c>
      <c r="G163" s="1" cm="1">
        <f t="array" ref="G163">FuzzyPercent(D163,E163,3)</f>
        <v>0.42553192377090454</v>
      </c>
      <c r="H163" t="str">
        <f t="shared" si="5"/>
        <v/>
      </c>
    </row>
    <row r="164" spans="1:8" x14ac:dyDescent="0.2">
      <c r="A164" t="s">
        <v>326</v>
      </c>
      <c r="B164" t="s">
        <v>0</v>
      </c>
      <c r="D164" t="s">
        <v>2280</v>
      </c>
      <c r="E164" t="str" cm="1">
        <f t="array" ref="E164">IF(COUNTIF(A:A, "*" &amp; LEFT(D164, FIND(" ", D164 &amp; " ") - 1) &amp; "*") &gt; 0,INDEX(A:A,FuzzyVLookup(D164,A:A,0,,,3)),"Non-PDL")</f>
        <v>CRENESSITY (crinecerfont)NR</v>
      </c>
      <c r="F164" t="str">
        <f t="shared" si="4"/>
        <v>Non-Preferred</v>
      </c>
      <c r="G164" s="1" cm="1">
        <f t="array" ref="G164">FuzzyPercent(D164,E164,3)</f>
        <v>0.39869281649589539</v>
      </c>
      <c r="H164" t="str">
        <f t="shared" si="5"/>
        <v/>
      </c>
    </row>
    <row r="165" spans="1:8" x14ac:dyDescent="0.2">
      <c r="A165" t="s">
        <v>328</v>
      </c>
      <c r="B165" t="s">
        <v>0</v>
      </c>
      <c r="D165" t="s">
        <v>2281</v>
      </c>
      <c r="E165" t="str" cm="1">
        <f t="array" ref="E165">IF(COUNTIF(A:A, "*" &amp; LEFT(D165, FIND(" ", D165 &amp; " ") - 1) &amp; "*") &gt; 0,INDEX(A:A,FuzzyVLookup(D165,A:A,0,,,3)),"Non-PDL")</f>
        <v>CRENESSITY (crinecerfont)NR</v>
      </c>
      <c r="F165" t="str">
        <f t="shared" si="4"/>
        <v>Non-Preferred</v>
      </c>
      <c r="G165" s="1" cm="1">
        <f t="array" ref="G165">FuzzyPercent(D165,E165,3)</f>
        <v>0.35195529460906982</v>
      </c>
      <c r="H165" t="str">
        <f t="shared" si="5"/>
        <v/>
      </c>
    </row>
    <row r="166" spans="1:8" x14ac:dyDescent="0.2">
      <c r="A166" t="s">
        <v>330</v>
      </c>
      <c r="B166" t="s">
        <v>0</v>
      </c>
      <c r="D166" t="s">
        <v>2282</v>
      </c>
      <c r="E166" t="str" cm="1">
        <f t="array" ref="E166">IF(COUNTIF(A:A, "*" &amp; LEFT(D166, FIND(" ", D166 &amp; " ") - 1) &amp; "*") &gt; 0,INDEX(A:A,FuzzyVLookup(D166,A:A,0,,,3)),"Non-PDL")</f>
        <v>Non-PDL</v>
      </c>
      <c r="F166" t="str">
        <f t="shared" si="4"/>
        <v>Non-PDL</v>
      </c>
      <c r="G166" s="1" cm="1">
        <f t="array" ref="G166">FuzzyPercent(D166,E166,3)</f>
        <v>7.6923079788684845E-2</v>
      </c>
      <c r="H166" t="str">
        <f t="shared" si="5"/>
        <v/>
      </c>
    </row>
    <row r="167" spans="1:8" x14ac:dyDescent="0.2">
      <c r="A167" t="s">
        <v>332</v>
      </c>
      <c r="B167" t="s">
        <v>0</v>
      </c>
      <c r="D167" t="s">
        <v>2283</v>
      </c>
      <c r="E167" t="str" cm="1">
        <f t="array" ref="E167">IF(COUNTIF(A:A, "*" &amp; LEFT(D167, FIND(" ", D167 &amp; " ") - 1) &amp; "*") &gt; 0,INDEX(A:A,FuzzyVLookup(D167,A:A,0,,,3)),"Non-PDL")</f>
        <v>Non-PDL</v>
      </c>
      <c r="F167" t="str">
        <f t="shared" si="4"/>
        <v>Non-PDL</v>
      </c>
      <c r="G167" s="1" cm="1">
        <f t="array" ref="G167">FuzzyPercent(D167,E167,3)</f>
        <v>0</v>
      </c>
      <c r="H167" t="str">
        <f t="shared" si="5"/>
        <v/>
      </c>
    </row>
    <row r="168" spans="1:8" x14ac:dyDescent="0.2">
      <c r="A168" t="s">
        <v>334</v>
      </c>
      <c r="B168" t="s">
        <v>0</v>
      </c>
      <c r="D168" t="s">
        <v>2284</v>
      </c>
      <c r="E168" t="str" cm="1">
        <f t="array" ref="E168">IF(COUNTIF(A:A, "*" &amp; LEFT(D168, FIND(" ", D168 &amp; " ") - 1) &amp; "*") &gt; 0,INDEX(A:A,FuzzyVLookup(D168,A:A,0,,,3)),"Non-PDL")</f>
        <v>CYLTEZO (adalimuab-adbm)</v>
      </c>
      <c r="F168" t="str">
        <f t="shared" si="4"/>
        <v>Non-Preferred</v>
      </c>
      <c r="G168" s="1" cm="1">
        <f t="array" ref="G168">FuzzyPercent(D168,E168,3)</f>
        <v>0.31999999284744263</v>
      </c>
      <c r="H168" t="str">
        <f t="shared" si="5"/>
        <v/>
      </c>
    </row>
    <row r="169" spans="1:8" x14ac:dyDescent="0.2">
      <c r="A169" t="s">
        <v>336</v>
      </c>
      <c r="B169" t="s">
        <v>0</v>
      </c>
      <c r="D169" t="s">
        <v>2285</v>
      </c>
      <c r="E169" t="str" cm="1">
        <f t="array" ref="E169">IF(COUNTIF(A:A, "*" &amp; LEFT(D169, FIND(" ", D169 &amp; " ") - 1) &amp; "*") &gt; 0,INDEX(A:A,FuzzyVLookup(D169,A:A,0,,,3)),"Non-PDL")</f>
        <v>Non-PDL</v>
      </c>
      <c r="F169" t="str">
        <f t="shared" si="4"/>
        <v>Non-PDL</v>
      </c>
      <c r="G169" s="1" cm="1">
        <f t="array" ref="G169">FuzzyPercent(D169,E169,3)</f>
        <v>4.3478261679410934E-2</v>
      </c>
      <c r="H169" t="str">
        <f t="shared" si="5"/>
        <v/>
      </c>
    </row>
    <row r="170" spans="1:8" x14ac:dyDescent="0.2">
      <c r="A170" t="s">
        <v>338</v>
      </c>
      <c r="B170" t="s">
        <v>0</v>
      </c>
      <c r="D170" t="s">
        <v>2286</v>
      </c>
      <c r="E170" t="str" cm="1">
        <f t="array" ref="E170">IF(COUNTIF(A:A, "*" &amp; LEFT(D170, FIND(" ", D170 &amp; " ") - 1) &amp; "*") &gt; 0,INDEX(A:A,FuzzyVLookup(D170,A:A,0,,,3)),"Non-PDL")</f>
        <v>DANTRIUM (dantrolene)</v>
      </c>
      <c r="F170" t="str">
        <f t="shared" si="4"/>
        <v>Non-Preferred</v>
      </c>
      <c r="G170" s="1" cm="1">
        <f t="array" ref="G170">FuzzyPercent(D170,E170,3)</f>
        <v>0.4444444477558136</v>
      </c>
      <c r="H170" t="str">
        <f t="shared" si="5"/>
        <v/>
      </c>
    </row>
    <row r="171" spans="1:8" x14ac:dyDescent="0.2">
      <c r="A171" t="s">
        <v>340</v>
      </c>
      <c r="B171" t="s">
        <v>0</v>
      </c>
      <c r="D171" t="s">
        <v>2287</v>
      </c>
      <c r="E171" t="str" cm="1">
        <f t="array" ref="E171">IF(COUNTIF(A:A, "*" &amp; LEFT(D171, FIND(" ", D171 &amp; " ") - 1) &amp; "*") &gt; 0,INDEX(A:A,FuzzyVLookup(D171,A:A,0,,,3)),"Non-PDL")</f>
        <v>dapagliflozin</v>
      </c>
      <c r="F171" t="str">
        <f t="shared" si="4"/>
        <v>Non-Preferred</v>
      </c>
      <c r="G171" s="1" cm="1">
        <f t="array" ref="G171">FuzzyPercent(D171,E171,3)</f>
        <v>1</v>
      </c>
      <c r="H171" t="str">
        <f t="shared" si="5"/>
        <v/>
      </c>
    </row>
    <row r="172" spans="1:8" x14ac:dyDescent="0.2">
      <c r="A172" t="s">
        <v>342</v>
      </c>
      <c r="B172" t="s">
        <v>0</v>
      </c>
      <c r="D172" t="s">
        <v>2288</v>
      </c>
      <c r="E172" t="str" cm="1">
        <f t="array" ref="E172">IF(COUNTIF(A:A, "*" &amp; LEFT(D172, FIND(" ", D172 &amp; " ") - 1) &amp; "*") &gt; 0,INDEX(A:A,FuzzyVLookup(D172,A:A,0,,,3)),"Non-PDL")</f>
        <v>Non-PDL</v>
      </c>
      <c r="F172" t="str">
        <f t="shared" si="4"/>
        <v>Non-PDL</v>
      </c>
      <c r="G172" s="1" cm="1">
        <f t="array" ref="G172">FuzzyPercent(D172,E172,3)</f>
        <v>5.000000074505806E-2</v>
      </c>
      <c r="H172" t="str">
        <f t="shared" si="5"/>
        <v/>
      </c>
    </row>
    <row r="173" spans="1:8" x14ac:dyDescent="0.2">
      <c r="A173" t="s">
        <v>344</v>
      </c>
      <c r="B173" t="s">
        <v>0</v>
      </c>
      <c r="D173" t="s">
        <v>2289</v>
      </c>
      <c r="E173" t="str" cm="1">
        <f t="array" ref="E173">IF(COUNTIF(A:A, "*" &amp; LEFT(D173, FIND(" ", D173 &amp; " ") - 1) &amp; "*") &gt; 0,INDEX(A:A,FuzzyVLookup(D173,A:A,0,,,3)),"Non-PDL")</f>
        <v>Non-PDL</v>
      </c>
      <c r="F173" t="str">
        <f t="shared" si="4"/>
        <v>Non-PDL</v>
      </c>
      <c r="G173" s="1" cm="1">
        <f t="array" ref="G173">FuzzyPercent(D173,E173,3)</f>
        <v>2.222222276031971E-2</v>
      </c>
      <c r="H173" t="str">
        <f t="shared" si="5"/>
        <v/>
      </c>
    </row>
    <row r="174" spans="1:8" x14ac:dyDescent="0.2">
      <c r="A174" t="s">
        <v>346</v>
      </c>
      <c r="B174" t="s">
        <v>0</v>
      </c>
      <c r="D174" t="s">
        <v>2290</v>
      </c>
      <c r="E174" t="str" cm="1">
        <f t="array" ref="E174">IF(COUNTIF(A:A, "*" &amp; LEFT(D174, FIND(" ", D174 &amp; " ") - 1) &amp; "*") &gt; 0,INDEX(A:A,FuzzyVLookup(D174,A:A,0,,,3)),"Non-PDL")</f>
        <v>Non-PDL</v>
      </c>
      <c r="F174" t="str">
        <f t="shared" si="4"/>
        <v>Non-PDL</v>
      </c>
      <c r="G174" s="1" cm="1">
        <f t="array" ref="G174">FuzzyPercent(D174,E174,3)</f>
        <v>0</v>
      </c>
      <c r="H174" t="str">
        <f t="shared" si="5"/>
        <v/>
      </c>
    </row>
    <row r="175" spans="1:8" x14ac:dyDescent="0.2">
      <c r="A175" t="s">
        <v>348</v>
      </c>
      <c r="B175" t="s">
        <v>0</v>
      </c>
      <c r="D175" t="s">
        <v>2291</v>
      </c>
      <c r="E175" t="str" cm="1">
        <f t="array" ref="E175">IF(COUNTIF(A:A, "*" &amp; LEFT(D175, FIND(" ", D175 &amp; " ") - 1) &amp; "*") &gt; 0,INDEX(A:A,FuzzyVLookup(D175,A:A,0,,,3)),"Non-PDL")</f>
        <v>Non-PDL</v>
      </c>
      <c r="F175" t="str">
        <f t="shared" si="4"/>
        <v>Non-PDL</v>
      </c>
      <c r="G175" s="1" cm="1">
        <f t="array" ref="G175">FuzzyPercent(D175,E175,3)</f>
        <v>1.5151515603065491E-2</v>
      </c>
      <c r="H175" t="str">
        <f t="shared" si="5"/>
        <v/>
      </c>
    </row>
    <row r="176" spans="1:8" x14ac:dyDescent="0.2">
      <c r="A176" t="s">
        <v>350</v>
      </c>
      <c r="B176" t="s">
        <v>0</v>
      </c>
      <c r="D176" t="s">
        <v>2292</v>
      </c>
      <c r="E176" t="str" cm="1">
        <f t="array" ref="E176">IF(COUNTIF(A:A, "*" &amp; LEFT(D176, FIND(" ", D176 &amp; " ") - 1) &amp; "*") &gt; 0,INDEX(A:A,FuzzyVLookup(D176,A:A,0,,,3)),"Non-PDL")</f>
        <v>DEPAKOTE (divalproex)</v>
      </c>
      <c r="F176" t="str">
        <f t="shared" si="4"/>
        <v>Non-Preferred</v>
      </c>
      <c r="G176" s="1" cm="1">
        <f t="array" ref="G176">FuzzyPercent(D176,E176,3)</f>
        <v>0.4444444477558136</v>
      </c>
      <c r="H176" t="str">
        <f t="shared" si="5"/>
        <v/>
      </c>
    </row>
    <row r="177" spans="1:8" x14ac:dyDescent="0.2">
      <c r="A177" t="s">
        <v>351</v>
      </c>
      <c r="B177" t="s">
        <v>0</v>
      </c>
      <c r="D177" t="s">
        <v>2293</v>
      </c>
      <c r="E177" t="str" cm="1">
        <f t="array" ref="E177">IF(COUNTIF(A:A, "*" &amp; LEFT(D177, FIND(" ", D177 &amp; " ") - 1) &amp; "*") &gt; 0,INDEX(A:A,FuzzyVLookup(D177,A:A,0,,,3)),"Non-PDL")</f>
        <v>Non-PDL</v>
      </c>
      <c r="F177" t="str">
        <f t="shared" si="4"/>
        <v>Non-PDL</v>
      </c>
      <c r="G177" s="1" cm="1">
        <f t="array" ref="G177">FuzzyPercent(D177,E177,3)</f>
        <v>0</v>
      </c>
      <c r="H177" t="str">
        <f t="shared" si="5"/>
        <v/>
      </c>
    </row>
    <row r="178" spans="1:8" x14ac:dyDescent="0.2">
      <c r="A178" t="s">
        <v>353</v>
      </c>
      <c r="B178" t="s">
        <v>0</v>
      </c>
      <c r="D178" t="s">
        <v>2294</v>
      </c>
      <c r="E178" t="str" cm="1">
        <f t="array" ref="E178">IF(COUNTIF(A:A, "*" &amp; LEFT(D178, FIND(" ", D178 &amp; " ") - 1) &amp; "*") &gt; 0,INDEX(A:A,FuzzyVLookup(D178,A:A,0,,,3)),"Non-PDL")</f>
        <v>Non-PDL</v>
      </c>
      <c r="F178" t="str">
        <f t="shared" si="4"/>
        <v>Non-PDL</v>
      </c>
      <c r="G178" s="1" cm="1">
        <f t="array" ref="G178">FuzzyPercent(D178,E178,3)</f>
        <v>0</v>
      </c>
      <c r="H178" t="str">
        <f t="shared" si="5"/>
        <v/>
      </c>
    </row>
    <row r="179" spans="1:8" x14ac:dyDescent="0.2">
      <c r="A179" t="s">
        <v>355</v>
      </c>
      <c r="B179" t="s">
        <v>0</v>
      </c>
      <c r="D179" t="s">
        <v>2295</v>
      </c>
      <c r="E179" t="str" cm="1">
        <f t="array" ref="E179">IF(COUNTIF(A:A, "*" &amp; LEFT(D179, FIND(" ", D179 &amp; " ") - 1) &amp; "*") &gt; 0,INDEX(A:A,FuzzyVLookup(D179,A:A,0,,,3)),"Non-PDL")</f>
        <v>Non-PDL</v>
      </c>
      <c r="F179" t="str">
        <f t="shared" si="4"/>
        <v>Non-PDL</v>
      </c>
      <c r="G179" s="1" cm="1">
        <f t="array" ref="G179">FuzzyPercent(D179,E179,3)</f>
        <v>0</v>
      </c>
      <c r="H179" t="str">
        <f t="shared" si="5"/>
        <v/>
      </c>
    </row>
    <row r="180" spans="1:8" x14ac:dyDescent="0.2">
      <c r="A180" t="s">
        <v>357</v>
      </c>
      <c r="B180" t="s">
        <v>0</v>
      </c>
      <c r="D180" t="s">
        <v>2296</v>
      </c>
      <c r="E180" t="str" cm="1">
        <f t="array" ref="E180">IF(COUNTIF(A:A, "*" &amp; LEFT(D180, FIND(" ", D180 &amp; " ") - 1) &amp; "*") &gt; 0,INDEX(A:A,FuzzyVLookup(D180,A:A,0,,,3)),"Non-PDL")</f>
        <v>Non-PDL</v>
      </c>
      <c r="F180" t="str">
        <f t="shared" si="4"/>
        <v>Non-PDL</v>
      </c>
      <c r="G180" s="1" cm="1">
        <f t="array" ref="G180">FuzzyPercent(D180,E180,3)</f>
        <v>0</v>
      </c>
      <c r="H180" t="str">
        <f t="shared" si="5"/>
        <v/>
      </c>
    </row>
    <row r="181" spans="1:8" x14ac:dyDescent="0.2">
      <c r="A181" t="s">
        <v>359</v>
      </c>
      <c r="B181" t="s">
        <v>0</v>
      </c>
      <c r="D181" t="s">
        <v>2297</v>
      </c>
      <c r="E181" t="str" cm="1">
        <f t="array" ref="E181">IF(COUNTIF(A:A, "*" &amp; LEFT(D181, FIND(" ", D181 &amp; " ") - 1) &amp; "*") &gt; 0,INDEX(A:A,FuzzyVLookup(D181,A:A,0,,,3)),"Non-PDL")</f>
        <v>Non-PDL</v>
      </c>
      <c r="F181" t="str">
        <f t="shared" si="4"/>
        <v>Non-PDL</v>
      </c>
      <c r="G181" s="1" cm="1">
        <f t="array" ref="G181">FuzzyPercent(D181,E181,3)</f>
        <v>0</v>
      </c>
      <c r="H181" t="str">
        <f t="shared" si="5"/>
        <v/>
      </c>
    </row>
    <row r="182" spans="1:8" x14ac:dyDescent="0.2">
      <c r="A182" t="s">
        <v>361</v>
      </c>
      <c r="B182" t="s">
        <v>0</v>
      </c>
      <c r="D182" t="s">
        <v>2298</v>
      </c>
      <c r="E182" t="str" cm="1">
        <f t="array" ref="E182">IF(COUNTIF(A:A, "*" &amp; LEFT(D182, FIND(" ", D182 &amp; " ") - 1) &amp; "*") &gt; 0,INDEX(A:A,FuzzyVLookup(D182,A:A,0,,,3)),"Non-PDL")</f>
        <v>DIACOMIT (stiripentol)</v>
      </c>
      <c r="F182" t="str">
        <f t="shared" si="4"/>
        <v>Non-Preferred</v>
      </c>
      <c r="G182" s="1" cm="1">
        <f t="array" ref="G182">FuzzyPercent(D182,E182,3)</f>
        <v>0.38709676265716553</v>
      </c>
      <c r="H182" t="str">
        <f t="shared" si="5"/>
        <v/>
      </c>
    </row>
    <row r="183" spans="1:8" x14ac:dyDescent="0.2">
      <c r="A183" t="s">
        <v>357</v>
      </c>
      <c r="B183" t="s">
        <v>0</v>
      </c>
      <c r="D183" t="s">
        <v>2299</v>
      </c>
      <c r="E183" t="str" cm="1">
        <f t="array" ref="E183">IF(COUNTIF(A:A, "*" &amp; LEFT(D183, FIND(" ", D183 &amp; " ") - 1) &amp; "*") &gt; 0,INDEX(A:A,FuzzyVLookup(D183,A:A,0,,,3)),"Non-PDL")</f>
        <v>DIACOMIT (stiripentol)</v>
      </c>
      <c r="F183" t="str">
        <f t="shared" si="4"/>
        <v>Non-Preferred</v>
      </c>
      <c r="G183" s="1" cm="1">
        <f t="array" ref="G183">FuzzyPercent(D183,E183,3)</f>
        <v>0.19847328960895538</v>
      </c>
      <c r="H183" t="str">
        <f t="shared" si="5"/>
        <v>CHECK</v>
      </c>
    </row>
    <row r="184" spans="1:8" x14ac:dyDescent="0.2">
      <c r="A184" t="s">
        <v>364</v>
      </c>
      <c r="B184" t="s">
        <v>0</v>
      </c>
      <c r="D184" t="s">
        <v>2300</v>
      </c>
      <c r="E184" t="str" cm="1">
        <f t="array" ref="E184">IF(COUNTIF(A:A, "*" &amp; LEFT(D184, FIND(" ", D184 &amp; " ") - 1) &amp; "*") &gt; 0,INDEX(A:A,FuzzyVLookup(D184,A:A,0,,,3)),"Non-PDL")</f>
        <v>dimethyl fumarate</v>
      </c>
      <c r="F184" t="str">
        <f t="shared" si="4"/>
        <v>Preferred</v>
      </c>
      <c r="G184" s="1" cm="1">
        <f t="array" ref="G184">FuzzyPercent(D184,E184,3)</f>
        <v>1</v>
      </c>
      <c r="H184" t="str">
        <f t="shared" si="5"/>
        <v/>
      </c>
    </row>
    <row r="185" spans="1:8" x14ac:dyDescent="0.2">
      <c r="A185" t="s">
        <v>366</v>
      </c>
      <c r="B185" t="s">
        <v>0</v>
      </c>
      <c r="D185" t="s">
        <v>2301</v>
      </c>
      <c r="E185" t="str" cm="1">
        <f t="array" ref="E185">IF(COUNTIF(A:A, "*" &amp; LEFT(D185, FIND(" ", D185 &amp; " ") - 1) &amp; "*") &gt; 0,INDEX(A:A,FuzzyVLookup(D185,A:A,0,,,3)),"Non-PDL")</f>
        <v>Non-PDL</v>
      </c>
      <c r="F185" t="str">
        <f t="shared" si="4"/>
        <v>Non-PDL</v>
      </c>
      <c r="G185" s="1" cm="1">
        <f t="array" ref="G185">FuzzyPercent(D185,E185,3)</f>
        <v>0.125</v>
      </c>
      <c r="H185" t="str">
        <f t="shared" si="5"/>
        <v/>
      </c>
    </row>
    <row r="186" spans="1:8" x14ac:dyDescent="0.2">
      <c r="A186" t="s">
        <v>368</v>
      </c>
      <c r="B186" t="s">
        <v>0</v>
      </c>
      <c r="D186" t="s">
        <v>2302</v>
      </c>
      <c r="E186" t="str" cm="1">
        <f t="array" ref="E186">IF(COUNTIF(A:A, "*" &amp; LEFT(D186, FIND(" ", D186 &amp; " ") - 1) &amp; "*") &gt; 0,INDEX(A:A,FuzzyVLookup(D186,A:A,0,,,3)),"Non-PDL")</f>
        <v>donepezil 23 mg tablet</v>
      </c>
      <c r="F186" t="str">
        <f t="shared" si="4"/>
        <v>Non-Preferred</v>
      </c>
      <c r="G186" s="1" cm="1">
        <f t="array" ref="G186">FuzzyPercent(D186,E186,3)</f>
        <v>0.48648649454116821</v>
      </c>
      <c r="H186" t="str">
        <f t="shared" si="5"/>
        <v/>
      </c>
    </row>
    <row r="187" spans="1:8" x14ac:dyDescent="0.2">
      <c r="A187" t="s">
        <v>370</v>
      </c>
      <c r="B187" t="s">
        <v>0</v>
      </c>
      <c r="D187" t="s">
        <v>2303</v>
      </c>
      <c r="E187" t="str" cm="1">
        <f t="array" ref="E187">IF(COUNTIF(A:A, "*" &amp; LEFT(D187, FIND(" ", D187 &amp; " ") - 1) &amp; "*") &gt; 0,INDEX(A:A,FuzzyVLookup(D187,A:A,0,,,3)),"Non-PDL")</f>
        <v>donepezil 23 mg tablet</v>
      </c>
      <c r="F187" t="str">
        <f t="shared" si="4"/>
        <v>Non-Preferred</v>
      </c>
      <c r="G187" s="1" cm="1">
        <f t="array" ref="G187">FuzzyPercent(D187,E187,3)</f>
        <v>0.54838711023330688</v>
      </c>
      <c r="H187" t="str">
        <f t="shared" si="5"/>
        <v/>
      </c>
    </row>
    <row r="188" spans="1:8" x14ac:dyDescent="0.2">
      <c r="A188" t="s">
        <v>372</v>
      </c>
      <c r="B188" t="s">
        <v>0</v>
      </c>
      <c r="D188" t="s">
        <v>2304</v>
      </c>
      <c r="E188" t="str" cm="1">
        <f t="array" ref="E188">IF(COUNTIF(A:A, "*" &amp; LEFT(D188, FIND(" ", D188 &amp; " ") - 1) &amp; "*") &gt; 0,INDEX(A:A,FuzzyVLookup(D188,A:A,0,,,3)),"Non-PDL")</f>
        <v>DOPTELET (avatrombopag)</v>
      </c>
      <c r="F188" t="str">
        <f t="shared" si="4"/>
        <v>Non-Preferred</v>
      </c>
      <c r="G188" s="1" cm="1">
        <f t="array" ref="G188">FuzzyPercent(D188,E188,3)</f>
        <v>0.4166666567325592</v>
      </c>
      <c r="H188" t="str">
        <f t="shared" si="5"/>
        <v/>
      </c>
    </row>
    <row r="189" spans="1:8" x14ac:dyDescent="0.2">
      <c r="A189" t="s">
        <v>374</v>
      </c>
      <c r="B189" t="s">
        <v>0</v>
      </c>
      <c r="D189" t="s">
        <v>2305</v>
      </c>
      <c r="E189" t="str" cm="1">
        <f t="array" ref="E189">IF(COUNTIF(A:A, "*" &amp; LEFT(D189, FIND(" ", D189 &amp; " ") - 1) &amp; "*") &gt; 0,INDEX(A:A,FuzzyVLookup(D189,A:A,0,,,3)),"Non-PDL")</f>
        <v>DUAKLIR PRESSAIR (aclidinium/formoterol)</v>
      </c>
      <c r="F189" t="str">
        <f t="shared" si="4"/>
        <v>Non-Preferred</v>
      </c>
      <c r="G189" s="1" cm="1">
        <f t="array" ref="G189">FuzzyPercent(D189,E189,3)</f>
        <v>0.48076921701431274</v>
      </c>
      <c r="H189" t="str">
        <f t="shared" si="5"/>
        <v/>
      </c>
    </row>
    <row r="190" spans="1:8" x14ac:dyDescent="0.2">
      <c r="A190" t="s">
        <v>376</v>
      </c>
      <c r="B190" t="s">
        <v>0</v>
      </c>
      <c r="D190" t="s">
        <v>2306</v>
      </c>
      <c r="E190" t="str" cm="1">
        <f t="array" ref="E190">IF(COUNTIF(A:A, "*" &amp; LEFT(D190, FIND(" ", D190 &amp; " ") - 1) &amp; "*") &gt; 0,INDEX(A:A,FuzzyVLookup(D190,A:A,0,,,3)),"Non-PDL")</f>
        <v>DUOCAL</v>
      </c>
      <c r="F190" t="str">
        <f t="shared" si="4"/>
        <v>Preferred</v>
      </c>
      <c r="G190" s="1" cm="1">
        <f t="array" ref="G190">FuzzyPercent(D190,E190,3)</f>
        <v>0.28571429848670959</v>
      </c>
      <c r="H190" t="str">
        <f t="shared" si="5"/>
        <v>CHECK</v>
      </c>
    </row>
    <row r="191" spans="1:8" x14ac:dyDescent="0.2">
      <c r="A191" t="s">
        <v>378</v>
      </c>
      <c r="B191" t="s">
        <v>0</v>
      </c>
      <c r="D191" t="s">
        <v>2307</v>
      </c>
      <c r="E191" t="str" cm="1">
        <f t="array" ref="E191">IF(COUNTIF(A:A, "*" &amp; LEFT(D191, FIND(" ", D191 &amp; " ") - 1) &amp; "*") &gt; 0,INDEX(A:A,FuzzyVLookup(D191,A:A,0,,,3)),"Non-PDL")</f>
        <v>paroxetine CR</v>
      </c>
      <c r="F191" t="str">
        <f t="shared" si="4"/>
        <v>Preferred</v>
      </c>
      <c r="G191" s="1" cm="1">
        <f t="array" ref="G191">FuzzyPercent(D191,E191,3)</f>
        <v>0.4375</v>
      </c>
      <c r="H191" t="str">
        <f t="shared" si="5"/>
        <v/>
      </c>
    </row>
    <row r="192" spans="1:8" x14ac:dyDescent="0.2">
      <c r="A192" t="s">
        <v>380</v>
      </c>
      <c r="B192" t="s">
        <v>0</v>
      </c>
      <c r="D192" t="s">
        <v>2308</v>
      </c>
      <c r="E192" t="str" cm="1">
        <f t="array" ref="E192">IF(COUNTIF(A:A, "*" &amp; LEFT(D192, FIND(" ", D192 &amp; " ") - 1) &amp; "*") &gt; 0,INDEX(A:A,FuzzyVLookup(D192,A:A,0,,,3)),"Non-PDL")</f>
        <v>DUPIXENT (dupilumab) DUR+</v>
      </c>
      <c r="F192" t="str">
        <f t="shared" si="4"/>
        <v>Preferred</v>
      </c>
      <c r="G192" s="1" cm="1">
        <f t="array" ref="G192">FuzzyPercent(D192,E192,3)</f>
        <v>0.37383177876472473</v>
      </c>
      <c r="H192" t="str">
        <f t="shared" si="5"/>
        <v/>
      </c>
    </row>
    <row r="193" spans="1:8" x14ac:dyDescent="0.2">
      <c r="A193" t="s">
        <v>382</v>
      </c>
      <c r="B193" t="s">
        <v>0</v>
      </c>
      <c r="D193" t="s">
        <v>2309</v>
      </c>
      <c r="E193" t="str" cm="1">
        <f t="array" ref="E193">IF(COUNTIF(A:A, "*" &amp; LEFT(D193, FIND(" ", D193 &amp; " ") - 1) &amp; "*") &gt; 0,INDEX(A:A,FuzzyVLookup(D193,A:A,0,,,3)),"Non-PDL")</f>
        <v>Non-PDL</v>
      </c>
      <c r="F193" t="str">
        <f t="shared" si="4"/>
        <v>Non-PDL</v>
      </c>
      <c r="G193" s="1" cm="1">
        <f t="array" ref="G193">FuzzyPercent(D193,E193,3)</f>
        <v>0</v>
      </c>
      <c r="H193" t="str">
        <f t="shared" si="5"/>
        <v/>
      </c>
    </row>
    <row r="194" spans="1:8" x14ac:dyDescent="0.2">
      <c r="A194" t="s">
        <v>384</v>
      </c>
      <c r="B194" t="s">
        <v>0</v>
      </c>
      <c r="D194" t="s">
        <v>2310</v>
      </c>
      <c r="E194" t="str" cm="1">
        <f t="array" ref="E194">IF(COUNTIF(A:A, "*" &amp; LEFT(D194, FIND(" ", D194 &amp; " ") - 1) &amp; "*") &gt; 0,INDEX(A:A,FuzzyVLookup(D194,A:A,0,,,3)),"Non-PDL")</f>
        <v>DUVYZAT (givinostat)</v>
      </c>
      <c r="F194" t="str">
        <f t="shared" si="4"/>
        <v>Non-Preferred</v>
      </c>
      <c r="G194" s="1" cm="1">
        <f t="array" ref="G194">FuzzyPercent(D194,E194,3)</f>
        <v>0.27631577849388123</v>
      </c>
      <c r="H194" t="str">
        <f t="shared" si="5"/>
        <v>CHECK</v>
      </c>
    </row>
    <row r="195" spans="1:8" x14ac:dyDescent="0.2">
      <c r="A195" t="s">
        <v>386</v>
      </c>
      <c r="B195" t="s">
        <v>0</v>
      </c>
      <c r="D195" t="s">
        <v>2311</v>
      </c>
      <c r="E195" t="str" cm="1">
        <f t="array" ref="E195">IF(COUNTIF(A:A, "*" &amp; LEFT(D195, FIND(" ", D195 &amp; " ") - 1) &amp; "*") &gt; 0,INDEX(A:A,FuzzyVLookup(D195,A:A,0,,,3)),"Non-PDL")</f>
        <v>DYANAVEL XR (amphetamine)</v>
      </c>
      <c r="F195" t="str">
        <f t="shared" ref="F195:F258" si="6">_xlfn.IFNA(_xlfn.XLOOKUP(E195,A:A,B:B),"Non-PDL")</f>
        <v>Preferred</v>
      </c>
      <c r="G195" s="1" cm="1">
        <f t="array" ref="G195">FuzzyPercent(D195,E195,3)</f>
        <v>0.37894737720489502</v>
      </c>
      <c r="H195" t="str">
        <f t="shared" ref="H195:H258" si="7">IF(F195="Non-PDL","",IF(G195&lt;0.3,"CHECK",""))</f>
        <v/>
      </c>
    </row>
    <row r="196" spans="1:8" x14ac:dyDescent="0.2">
      <c r="A196" t="s">
        <v>388</v>
      </c>
      <c r="B196" t="s">
        <v>0</v>
      </c>
      <c r="D196" t="s">
        <v>2312</v>
      </c>
      <c r="E196" t="str" cm="1">
        <f t="array" ref="E196">IF(COUNTIF(A:A, "*" &amp; LEFT(D196, FIND(" ", D196 &amp; " ") - 1) &amp; "*") &gt; 0,INDEX(A:A,FuzzyVLookup(D196,A:A,0,,,3)),"Non-PDL")</f>
        <v>DYANAVEL XR (amphetamine)</v>
      </c>
      <c r="F196" t="str">
        <f t="shared" si="6"/>
        <v>Preferred</v>
      </c>
      <c r="G196" s="1" cm="1">
        <f t="array" ref="G196">FuzzyPercent(D196,E196,3)</f>
        <v>0.52413791418075562</v>
      </c>
      <c r="H196" t="str">
        <f t="shared" si="7"/>
        <v/>
      </c>
    </row>
    <row r="197" spans="1:8" x14ac:dyDescent="0.2">
      <c r="A197" t="s">
        <v>390</v>
      </c>
      <c r="B197" t="s">
        <v>0</v>
      </c>
      <c r="D197" t="s">
        <v>2313</v>
      </c>
      <c r="E197" t="str" cm="1">
        <f t="array" ref="E197">IF(COUNTIF(A:A, "*" &amp; LEFT(D197, FIND(" ", D197 &amp; " ") - 1) &amp; "*") &gt; 0,INDEX(A:A,FuzzyVLookup(D197,A:A,0,,,3)),"Non-PDL")</f>
        <v>Non-PDL</v>
      </c>
      <c r="F197" t="str">
        <f t="shared" si="6"/>
        <v>Non-PDL</v>
      </c>
      <c r="G197" s="1" cm="1">
        <f t="array" ref="G197">FuzzyPercent(D197,E197,3)</f>
        <v>6.25E-2</v>
      </c>
      <c r="H197" t="str">
        <f t="shared" si="7"/>
        <v/>
      </c>
    </row>
    <row r="198" spans="1:8" x14ac:dyDescent="0.2">
      <c r="A198" t="s">
        <v>392</v>
      </c>
      <c r="B198" t="s">
        <v>0</v>
      </c>
      <c r="D198" t="s">
        <v>2314</v>
      </c>
      <c r="E198" t="str" cm="1">
        <f t="array" ref="E198">IF(COUNTIF(A:A, "*" &amp; LEFT(D198, FIND(" ", D198 &amp; " ") - 1) &amp; "*") &gt; 0,INDEX(A:A,FuzzyVLookup(D198,A:A,0,,,3)),"Non-PDL")</f>
        <v>EDARBI (azilsartan)</v>
      </c>
      <c r="F198" t="str">
        <f t="shared" si="6"/>
        <v>Non-Preferred</v>
      </c>
      <c r="G198" s="1" cm="1">
        <f t="array" ref="G198">FuzzyPercent(D198,E198,3)</f>
        <v>0.37837839126586914</v>
      </c>
      <c r="H198" t="str">
        <f t="shared" si="7"/>
        <v/>
      </c>
    </row>
    <row r="199" spans="1:8" x14ac:dyDescent="0.2">
      <c r="A199" t="s">
        <v>394</v>
      </c>
      <c r="B199" t="s">
        <v>0</v>
      </c>
      <c r="D199" t="s">
        <v>2315</v>
      </c>
      <c r="E199" t="str" cm="1">
        <f t="array" ref="E199">IF(COUNTIF(A:A, "*" &amp; LEFT(D199, FIND(" ", D199 &amp; " ") - 1) &amp; "*") &gt; 0,INDEX(A:A,FuzzyVLookup(D199,A:A,0,,,3)),"Non-PDL")</f>
        <v>EDARBYCLOR (azilsartan/chlorthalidone)</v>
      </c>
      <c r="F199" t="str">
        <f t="shared" si="6"/>
        <v>Non-Preferred</v>
      </c>
      <c r="G199" s="1" cm="1">
        <f t="array" ref="G199">FuzzyPercent(D199,E199,3)</f>
        <v>0.31213873624801636</v>
      </c>
      <c r="H199" t="str">
        <f t="shared" si="7"/>
        <v/>
      </c>
    </row>
    <row r="200" spans="1:8" x14ac:dyDescent="0.2">
      <c r="A200" t="s">
        <v>396</v>
      </c>
      <c r="B200" t="s">
        <v>0</v>
      </c>
      <c r="D200" t="s">
        <v>2316</v>
      </c>
      <c r="E200" t="str" cm="1">
        <f t="array" ref="E200">IF(COUNTIF(A:A, "*" &amp; LEFT(D200, FIND(" ", D200 &amp; " ") - 1) &amp; "*") &gt; 0,INDEX(A:A,FuzzyVLookup(D200,A:A,0,,,3)),"Non-PDL")</f>
        <v>ELELYSO (taliglucerase alfa)</v>
      </c>
      <c r="F200" t="str">
        <f t="shared" si="6"/>
        <v>Preferred</v>
      </c>
      <c r="G200" s="1" cm="1">
        <f t="array" ref="G200">FuzzyPercent(D200,E200,3)</f>
        <v>0.27350428700447083</v>
      </c>
      <c r="H200" t="str">
        <f t="shared" si="7"/>
        <v>CHECK</v>
      </c>
    </row>
    <row r="201" spans="1:8" x14ac:dyDescent="0.2">
      <c r="A201" t="s">
        <v>398</v>
      </c>
      <c r="B201" t="s">
        <v>0</v>
      </c>
      <c r="D201" t="s">
        <v>2317</v>
      </c>
      <c r="E201" t="str" cm="1">
        <f t="array" ref="E201">IF(COUNTIF(A:A, "*" &amp; LEFT(D201, FIND(" ", D201 &amp; " ") - 1) &amp; "*") &gt; 0,INDEX(A:A,FuzzyVLookup(D201,A:A,0,,,3)),"Non-PDL")</f>
        <v>ELEVIDYS (delandistrogene moxeparvovec-rokl)</v>
      </c>
      <c r="F201" t="str">
        <f t="shared" si="6"/>
        <v>Non-Preferred</v>
      </c>
      <c r="G201" s="1" cm="1">
        <f t="array" ref="G201">FuzzyPercent(D201,E201,3)</f>
        <v>0.19063545763492584</v>
      </c>
      <c r="H201" t="str">
        <f t="shared" si="7"/>
        <v>CHECK</v>
      </c>
    </row>
    <row r="202" spans="1:8" x14ac:dyDescent="0.2">
      <c r="A202" t="s">
        <v>400</v>
      </c>
      <c r="B202" t="s">
        <v>0</v>
      </c>
      <c r="D202" t="s">
        <v>2318</v>
      </c>
      <c r="E202" t="str" cm="1">
        <f t="array" ref="E202">IF(COUNTIF(A:A, "*" &amp; LEFT(D202, FIND(" ", D202 &amp; " ") - 1) &amp; "*") &gt; 0,INDEX(A:A,FuzzyVLookup(D202,A:A,0,,,3)),"Non-PDL")</f>
        <v>Non-PDL</v>
      </c>
      <c r="F202" t="str">
        <f t="shared" si="6"/>
        <v>Non-PDL</v>
      </c>
      <c r="G202" s="1" cm="1">
        <f t="array" ref="G202">FuzzyPercent(D202,E202,3)</f>
        <v>0</v>
      </c>
      <c r="H202" t="str">
        <f t="shared" si="7"/>
        <v/>
      </c>
    </row>
    <row r="203" spans="1:8" x14ac:dyDescent="0.2">
      <c r="A203" t="s">
        <v>402</v>
      </c>
      <c r="B203" t="s">
        <v>0</v>
      </c>
      <c r="D203" t="s">
        <v>2319</v>
      </c>
      <c r="E203" t="str" cm="1">
        <f t="array" ref="E203">IF(COUNTIF(A:A, "*" &amp; LEFT(D203, FIND(" ", D203 &amp; " ") - 1) &amp; "*") &gt; 0,INDEX(A:A,FuzzyVLookup(D203,A:A,0,,,3)),"Non-PDL")</f>
        <v>Non-PDL</v>
      </c>
      <c r="F203" t="str">
        <f t="shared" si="6"/>
        <v>Non-PDL</v>
      </c>
      <c r="G203" s="1" cm="1">
        <f t="array" ref="G203">FuzzyPercent(D203,E203,3)</f>
        <v>6.25E-2</v>
      </c>
      <c r="H203" t="str">
        <f t="shared" si="7"/>
        <v/>
      </c>
    </row>
    <row r="204" spans="1:8" x14ac:dyDescent="0.2">
      <c r="A204" t="s">
        <v>404</v>
      </c>
      <c r="B204" t="s">
        <v>0</v>
      </c>
      <c r="D204" t="s">
        <v>2320</v>
      </c>
      <c r="E204" t="str" cm="1">
        <f t="array" ref="E204">IF(COUNTIF(A:A, "*" &amp; LEFT(D204, FIND(" ", D204 &amp; " ") - 1) &amp; "*") &gt; 0,INDEX(A:A,FuzzyVLookup(D204,A:A,0,,,3)),"Non-PDL")</f>
        <v>Non-PDL</v>
      </c>
      <c r="F204" t="str">
        <f t="shared" si="6"/>
        <v>Non-PDL</v>
      </c>
      <c r="G204" s="1" cm="1">
        <f t="array" ref="G204">FuzzyPercent(D204,E204,3)</f>
        <v>0</v>
      </c>
      <c r="H204" t="str">
        <f t="shared" si="7"/>
        <v/>
      </c>
    </row>
    <row r="205" spans="1:8" x14ac:dyDescent="0.2">
      <c r="A205" t="s">
        <v>406</v>
      </c>
      <c r="B205" t="s">
        <v>0</v>
      </c>
      <c r="D205" t="s">
        <v>2321</v>
      </c>
      <c r="E205" t="str" cm="1">
        <f t="array" ref="E205">IF(COUNTIF(A:A, "*" &amp; LEFT(D205, FIND(" ", D205 &amp; " ") - 1) &amp; "*") &gt; 0,INDEX(A:A,FuzzyVLookup(D205,A:A,0,,,3)),"Non-PDL")</f>
        <v>Non-PDL</v>
      </c>
      <c r="F205" t="str">
        <f t="shared" si="6"/>
        <v>Non-PDL</v>
      </c>
      <c r="G205" s="1" cm="1">
        <f t="array" ref="G205">FuzzyPercent(D205,E205,3)</f>
        <v>0</v>
      </c>
      <c r="H205" t="str">
        <f t="shared" si="7"/>
        <v/>
      </c>
    </row>
    <row r="206" spans="1:8" x14ac:dyDescent="0.2">
      <c r="A206" t="s">
        <v>408</v>
      </c>
      <c r="B206" t="s">
        <v>0</v>
      </c>
      <c r="D206" t="s">
        <v>2322</v>
      </c>
      <c r="E206" t="str" cm="1">
        <f t="array" ref="E206">IF(COUNTIF(A:A, "*" &amp; LEFT(D206, FIND(" ", D206 &amp; " ") - 1) &amp; "*") &gt; 0,INDEX(A:A,FuzzyVLookup(D206,A:A,0,,,3)),"Non-PDL")</f>
        <v>ELOCTATE</v>
      </c>
      <c r="F206" t="str">
        <f t="shared" si="6"/>
        <v>Non-Preferred</v>
      </c>
      <c r="G206" s="1" cm="1">
        <f t="array" ref="G206">FuzzyPercent(D206,E206,3)</f>
        <v>1</v>
      </c>
      <c r="H206" t="str">
        <f t="shared" si="7"/>
        <v/>
      </c>
    </row>
    <row r="207" spans="1:8" x14ac:dyDescent="0.2">
      <c r="A207" t="s">
        <v>410</v>
      </c>
      <c r="B207" t="s">
        <v>0</v>
      </c>
      <c r="D207" t="s">
        <v>2323</v>
      </c>
      <c r="E207" t="str" cm="1">
        <f t="array" ref="E207">IF(COUNTIF(A:A, "*" &amp; LEFT(D207, FIND(" ", D207 &amp; " ") - 1) &amp; "*") &gt; 0,INDEX(A:A,FuzzyVLookup(D207,A:A,0,,,3)),"Non-PDL")</f>
        <v>Non-PDL</v>
      </c>
      <c r="F207" t="str">
        <f t="shared" si="6"/>
        <v>Non-PDL</v>
      </c>
      <c r="G207" s="1" cm="1">
        <f t="array" ref="G207">FuzzyPercent(D207,E207,3)</f>
        <v>0</v>
      </c>
      <c r="H207" t="str">
        <f t="shared" si="7"/>
        <v/>
      </c>
    </row>
    <row r="208" spans="1:8" x14ac:dyDescent="0.2">
      <c r="A208" t="s">
        <v>412</v>
      </c>
      <c r="B208" t="s">
        <v>0</v>
      </c>
      <c r="D208" t="s">
        <v>2324</v>
      </c>
      <c r="E208" t="str" cm="1">
        <f t="array" ref="E208">IF(COUNTIF(A:A, "*" &amp; LEFT(D208, FIND(" ", D208 &amp; " ") - 1) &amp; "*") &gt; 0,INDEX(A:A,FuzzyVLookup(D208,A:A,0,,,3)),"Non-PDL")</f>
        <v>Non-PDL</v>
      </c>
      <c r="F208" t="str">
        <f t="shared" si="6"/>
        <v>Non-PDL</v>
      </c>
      <c r="G208" s="1" cm="1">
        <f t="array" ref="G208">FuzzyPercent(D208,E208,3)</f>
        <v>1.315789483487606E-2</v>
      </c>
      <c r="H208" t="str">
        <f t="shared" si="7"/>
        <v/>
      </c>
    </row>
    <row r="209" spans="1:8" x14ac:dyDescent="0.2">
      <c r="A209" t="s">
        <v>414</v>
      </c>
      <c r="B209" t="s">
        <v>0</v>
      </c>
      <c r="D209" t="s">
        <v>2325</v>
      </c>
      <c r="E209" t="str" cm="1">
        <f t="array" ref="E209">IF(COUNTIF(A:A, "*" &amp; LEFT(D209, FIND(" ", D209 &amp; " ") - 1) &amp; "*") &gt; 0,INDEX(A:A,FuzzyVLookup(D209,A:A,0,,,3)),"Non-PDL")</f>
        <v>Non-PDL</v>
      </c>
      <c r="F209" t="str">
        <f t="shared" si="6"/>
        <v>Non-PDL</v>
      </c>
      <c r="G209" s="1" cm="1">
        <f t="array" ref="G209">FuzzyPercent(D209,E209,3)</f>
        <v>2.4390242993831635E-2</v>
      </c>
      <c r="H209" t="str">
        <f t="shared" si="7"/>
        <v/>
      </c>
    </row>
    <row r="210" spans="1:8" x14ac:dyDescent="0.2">
      <c r="A210" t="s">
        <v>416</v>
      </c>
      <c r="B210" t="s">
        <v>0</v>
      </c>
      <c r="D210" t="s">
        <v>2326</v>
      </c>
      <c r="E210" t="str" cm="1">
        <f t="array" ref="E210">IF(COUNTIF(A:A, "*" &amp; LEFT(D210, FIND(" ", D210 &amp; " ") - 1) &amp; "*") &gt; 0,INDEX(A:A,FuzzyVLookup(D210,A:A,0,,,3)),"Non-PDL")</f>
        <v>EMGALITY PEN (galcanezumab-gnlm) DUR+</v>
      </c>
      <c r="F210" t="str">
        <f t="shared" si="6"/>
        <v>Preferred</v>
      </c>
      <c r="G210" s="1" cm="1">
        <f t="array" ref="G210">FuzzyPercent(D210,E210,3)</f>
        <v>0.26737967133522034</v>
      </c>
      <c r="H210" t="str">
        <f t="shared" si="7"/>
        <v>CHECK</v>
      </c>
    </row>
    <row r="211" spans="1:8" x14ac:dyDescent="0.2">
      <c r="A211" t="s">
        <v>418</v>
      </c>
      <c r="B211" t="s">
        <v>0</v>
      </c>
      <c r="D211" t="s">
        <v>2327</v>
      </c>
      <c r="E211" t="str" cm="1">
        <f t="array" ref="E211">IF(COUNTIF(A:A, "*" &amp; LEFT(D211, FIND(" ", D211 &amp; " ") - 1) &amp; "*") &gt; 0,INDEX(A:A,FuzzyVLookup(D211,A:A,0,,,3)),"Non-PDL")</f>
        <v>EMGALITY PEN (galcanezumab-gnlm) DUR+</v>
      </c>
      <c r="F211" t="str">
        <f t="shared" si="6"/>
        <v>Preferred</v>
      </c>
      <c r="G211" s="1" cm="1">
        <f t="array" ref="G211">FuzzyPercent(D211,E211,3)</f>
        <v>0.26737967133522034</v>
      </c>
      <c r="H211" t="str">
        <f t="shared" si="7"/>
        <v>CHECK</v>
      </c>
    </row>
    <row r="212" spans="1:8" x14ac:dyDescent="0.2">
      <c r="A212" t="s">
        <v>420</v>
      </c>
      <c r="B212" t="s">
        <v>0</v>
      </c>
      <c r="D212" t="s">
        <v>2328</v>
      </c>
      <c r="E212" t="str" cm="1">
        <f t="array" ref="E212">IF(COUNTIF(A:A, "*" &amp; LEFT(D212, FIND(" ", D212 &amp; " ") - 1) &amp; "*") &gt; 0,INDEX(A:A,FuzzyVLookup(D212,A:A,0,,,3)),"Non-PDL")</f>
        <v>Non-PDL</v>
      </c>
      <c r="F212" t="str">
        <f t="shared" si="6"/>
        <v>Non-PDL</v>
      </c>
      <c r="G212" s="1" cm="1">
        <f t="array" ref="G212">FuzzyPercent(D212,E212,3)</f>
        <v>5.000000074505806E-2</v>
      </c>
      <c r="H212" t="str">
        <f t="shared" si="7"/>
        <v/>
      </c>
    </row>
    <row r="213" spans="1:8" x14ac:dyDescent="0.2">
      <c r="A213" t="s">
        <v>422</v>
      </c>
      <c r="B213" t="s">
        <v>0</v>
      </c>
      <c r="D213" t="s">
        <v>2329</v>
      </c>
      <c r="E213" t="str" cm="1">
        <f t="array" ref="E213">IF(COUNTIF(A:A, "*" &amp; LEFT(D213, FIND(" ", D213 &amp; " ") - 1) &amp; "*") &gt; 0,INDEX(A:A,FuzzyVLookup(D213,A:A,0,,,3)),"Non-PDL")</f>
        <v>Non-PDL</v>
      </c>
      <c r="F213" t="str">
        <f t="shared" si="6"/>
        <v>Non-PDL</v>
      </c>
      <c r="G213" s="1" cm="1">
        <f t="array" ref="G213">FuzzyPercent(D213,E213,3)</f>
        <v>5.8823530562222004E-3</v>
      </c>
      <c r="H213" t="str">
        <f t="shared" si="7"/>
        <v/>
      </c>
    </row>
    <row r="214" spans="1:8" x14ac:dyDescent="0.2">
      <c r="A214" t="s">
        <v>424</v>
      </c>
      <c r="B214" t="s">
        <v>0</v>
      </c>
      <c r="D214" t="s">
        <v>2330</v>
      </c>
      <c r="E214" t="str" cm="1">
        <f t="array" ref="E214">IF(COUNTIF(A:A, "*" &amp; LEFT(D214, FIND(" ", D214 &amp; " ") - 1) &amp; "*") &gt; 0,INDEX(A:A,FuzzyVLookup(D214,A:A,0,,,3)),"Non-PDL")</f>
        <v>EMTRIVA (emtricitabine)</v>
      </c>
      <c r="F214" t="str">
        <f t="shared" si="6"/>
        <v>Preferred</v>
      </c>
      <c r="G214" s="1" cm="1">
        <f t="array" ref="G214">FuzzyPercent(D214,E214,3)</f>
        <v>0.3305785059928894</v>
      </c>
      <c r="H214" t="str">
        <f t="shared" si="7"/>
        <v/>
      </c>
    </row>
    <row r="215" spans="1:8" x14ac:dyDescent="0.2">
      <c r="A215" t="s">
        <v>426</v>
      </c>
      <c r="B215" t="s">
        <v>0</v>
      </c>
      <c r="D215" t="s">
        <v>2331</v>
      </c>
      <c r="E215" t="str" cm="1">
        <f t="array" ref="E215">IF(COUNTIF(A:A, "*" &amp; LEFT(D215, FIND(" ", D215 &amp; " ") - 1) &amp; "*") &gt; 0,INDEX(A:A,FuzzyVLookup(D215,A:A,0,,,3)),"Non-PDL")</f>
        <v>vancomycin oral solution</v>
      </c>
      <c r="F215" t="str">
        <f t="shared" si="6"/>
        <v>Preferred</v>
      </c>
      <c r="G215" s="1" cm="1">
        <f t="array" ref="G215">FuzzyPercent(D215,E215,3)</f>
        <v>0.39610388875007629</v>
      </c>
      <c r="H215" t="str">
        <f t="shared" si="7"/>
        <v/>
      </c>
    </row>
    <row r="216" spans="1:8" x14ac:dyDescent="0.2">
      <c r="A216" t="s">
        <v>428</v>
      </c>
      <c r="B216" t="s">
        <v>0</v>
      </c>
      <c r="D216" t="s">
        <v>2332</v>
      </c>
      <c r="E216" t="str" cm="1">
        <f t="array" ref="E216">IF(COUNTIF(A:A, "*" &amp; LEFT(D216, FIND(" ", D216 &amp; " ") - 1) &amp; "*") &gt; 0,INDEX(A:A,FuzzyVLookup(D216,A:A,0,,,3)),"Non-PDL")</f>
        <v>enalapril</v>
      </c>
      <c r="F216" t="str">
        <f t="shared" si="6"/>
        <v>Preferred</v>
      </c>
      <c r="G216" s="1" cm="1">
        <f t="array" ref="G216">FuzzyPercent(D216,E216,3)</f>
        <v>1</v>
      </c>
      <c r="H216" t="str">
        <f t="shared" si="7"/>
        <v/>
      </c>
    </row>
    <row r="217" spans="1:8" x14ac:dyDescent="0.2">
      <c r="A217" t="s">
        <v>430</v>
      </c>
      <c r="B217" t="s">
        <v>0</v>
      </c>
      <c r="D217" t="s">
        <v>2333</v>
      </c>
      <c r="E217" t="str" cm="1">
        <f t="array" ref="E217">IF(COUNTIF(A:A, "*" &amp; LEFT(D217, FIND(" ", D217 &amp; " ") - 1) &amp; "*") &gt; 0,INDEX(A:A,FuzzyVLookup(D217,A:A,0,,,3)),"Non-PDL")</f>
        <v>ENBREL (etanercept)</v>
      </c>
      <c r="F217" t="str">
        <f t="shared" si="6"/>
        <v>Preferred</v>
      </c>
      <c r="G217" s="1" cm="1">
        <f t="array" ref="G217">FuzzyPercent(D217,E217,3)</f>
        <v>0.37837839126586914</v>
      </c>
      <c r="H217" t="str">
        <f t="shared" si="7"/>
        <v/>
      </c>
    </row>
    <row r="218" spans="1:8" x14ac:dyDescent="0.2">
      <c r="A218" t="s">
        <v>432</v>
      </c>
      <c r="B218" t="s">
        <v>0</v>
      </c>
      <c r="D218" t="s">
        <v>2334</v>
      </c>
      <c r="E218" t="str" cm="1">
        <f t="array" ref="E218">IF(COUNTIF(A:A, "*" &amp; LEFT(D218, FIND(" ", D218 &amp; " ") - 1) &amp; "*") &gt; 0,INDEX(A:A,FuzzyVLookup(D218,A:A,0,,,3)),"Non-PDL")</f>
        <v>ENDARI (glutamine)</v>
      </c>
      <c r="F218" t="str">
        <f t="shared" si="6"/>
        <v>Non-Preferred</v>
      </c>
      <c r="G218" s="1" cm="1">
        <f t="array" ref="G218">FuzzyPercent(D218,E218,3)</f>
        <v>0.3888888955116272</v>
      </c>
      <c r="H218" t="str">
        <f t="shared" si="7"/>
        <v/>
      </c>
    </row>
    <row r="219" spans="1:8" x14ac:dyDescent="0.2">
      <c r="A219" t="s">
        <v>434</v>
      </c>
      <c r="B219" t="s">
        <v>0</v>
      </c>
      <c r="D219" t="s">
        <v>2335</v>
      </c>
      <c r="E219" t="str" cm="1">
        <f t="array" ref="E219">IF(COUNTIF(A:A, "*" &amp; LEFT(D219, FIND(" ", D219 &amp; " ") - 1) &amp; "*") &gt; 0,INDEX(A:A,FuzzyVLookup(D219,A:A,0,,,3)),"Non-PDL")</f>
        <v>Non-PDL</v>
      </c>
      <c r="F219" t="str">
        <f t="shared" si="6"/>
        <v>Non-PDL</v>
      </c>
      <c r="G219" s="1" cm="1">
        <f t="array" ref="G219">FuzzyPercent(D219,E219,3)</f>
        <v>6.25E-2</v>
      </c>
      <c r="H219" t="str">
        <f t="shared" si="7"/>
        <v/>
      </c>
    </row>
    <row r="220" spans="1:8" x14ac:dyDescent="0.2">
      <c r="A220" t="s">
        <v>436</v>
      </c>
      <c r="B220" t="s">
        <v>0</v>
      </c>
      <c r="D220" t="s">
        <v>2336</v>
      </c>
      <c r="E220" t="str" cm="1">
        <f t="array" ref="E220">IF(COUNTIF(A:A, "*" &amp; LEFT(D220, FIND(" ", D220 &amp; " ") - 1) &amp; "*") &gt; 0,INDEX(A:A,FuzzyVLookup(D220,A:A,0,,,3)),"Non-PDL")</f>
        <v>Non-PDL</v>
      </c>
      <c r="F220" t="str">
        <f t="shared" si="6"/>
        <v>Non-PDL</v>
      </c>
      <c r="G220" s="1" cm="1">
        <f t="array" ref="G220">FuzzyPercent(D220,E220,3)</f>
        <v>0.10000000149011612</v>
      </c>
      <c r="H220" t="str">
        <f t="shared" si="7"/>
        <v/>
      </c>
    </row>
    <row r="221" spans="1:8" x14ac:dyDescent="0.2">
      <c r="A221" t="s">
        <v>438</v>
      </c>
      <c r="B221" t="s">
        <v>0</v>
      </c>
      <c r="D221" t="s">
        <v>2337</v>
      </c>
      <c r="E221" t="str" cm="1">
        <f t="array" ref="E221">IF(COUNTIF(A:A, "*" &amp; LEFT(D221, FIND(" ", D221 &amp; " ") - 1) &amp; "*") &gt; 0,INDEX(A:A,FuzzyVLookup(D221,A:A,0,,,3)),"Non-PDL")</f>
        <v>entacapone</v>
      </c>
      <c r="F221" t="str">
        <f t="shared" si="6"/>
        <v>Preferred</v>
      </c>
      <c r="G221" s="1" cm="1">
        <f t="array" ref="G221">FuzzyPercent(D221,E221,3)</f>
        <v>0.30000001192092896</v>
      </c>
      <c r="H221" t="str">
        <f t="shared" si="7"/>
        <v/>
      </c>
    </row>
    <row r="222" spans="1:8" x14ac:dyDescent="0.2">
      <c r="A222" t="s">
        <v>440</v>
      </c>
      <c r="B222" t="s">
        <v>0</v>
      </c>
      <c r="D222" t="s">
        <v>2338</v>
      </c>
      <c r="E222" t="str" cm="1">
        <f t="array" ref="E222">IF(COUNTIF(A:A, "*" &amp; LEFT(D222, FIND(" ", D222 &amp; " ") - 1) &amp; "*") &gt; 0,INDEX(A:A,FuzzyVLookup(D222,A:A,0,,,3)),"Non-PDL")</f>
        <v>ENTYVIO (vedolizumab)</v>
      </c>
      <c r="F222" t="str">
        <f t="shared" si="6"/>
        <v>Non-Preferred</v>
      </c>
      <c r="G222" s="1" cm="1">
        <f t="array" ref="G222">FuzzyPercent(D222,E222,3)</f>
        <v>0.37209302186965942</v>
      </c>
      <c r="H222" t="str">
        <f t="shared" si="7"/>
        <v/>
      </c>
    </row>
    <row r="223" spans="1:8" x14ac:dyDescent="0.2">
      <c r="A223" t="s">
        <v>442</v>
      </c>
      <c r="B223" t="s">
        <v>0</v>
      </c>
      <c r="D223" t="s">
        <v>2339</v>
      </c>
      <c r="E223" t="str" cm="1">
        <f t="array" ref="E223">IF(COUNTIF(A:A, "*" &amp; LEFT(D223, FIND(" ", D223 &amp; " ") - 1) &amp; "*") &gt; 0,INDEX(A:A,FuzzyVLookup(D223,A:A,0,,,3)),"Non-PDL")</f>
        <v>ENVARSUS XR (tacrolimus)</v>
      </c>
      <c r="F223" t="str">
        <f t="shared" si="6"/>
        <v>Non-Preferred</v>
      </c>
      <c r="G223" s="1" cm="1">
        <f t="array" ref="G223">FuzzyPercent(D223,E223,3)</f>
        <v>0.51327431201934814</v>
      </c>
      <c r="H223" t="str">
        <f t="shared" si="7"/>
        <v/>
      </c>
    </row>
    <row r="224" spans="1:8" x14ac:dyDescent="0.2">
      <c r="A224" t="s">
        <v>444</v>
      </c>
      <c r="B224" t="s">
        <v>0</v>
      </c>
      <c r="D224" t="s">
        <v>2340</v>
      </c>
      <c r="E224" t="str" cm="1">
        <f t="array" ref="E224">IF(COUNTIF(A:A, "*" &amp; LEFT(D224, FIND(" ", D224 &amp; " ") - 1) &amp; "*") &gt; 0,INDEX(A:A,FuzzyVLookup(D224,A:A,0,,,3)),"Non-PDL")</f>
        <v>miglustat</v>
      </c>
      <c r="F224" t="str">
        <f t="shared" si="6"/>
        <v>Non-Preferred</v>
      </c>
      <c r="G224" s="1" cm="1">
        <f t="array" ref="G224">FuzzyPercent(D224,E224,3)</f>
        <v>0.28205129504203796</v>
      </c>
      <c r="H224" t="str">
        <f t="shared" si="7"/>
        <v>CHECK</v>
      </c>
    </row>
    <row r="225" spans="1:8" x14ac:dyDescent="0.2">
      <c r="A225" t="s">
        <v>446</v>
      </c>
      <c r="B225" t="s">
        <v>0</v>
      </c>
      <c r="D225" t="s">
        <v>2341</v>
      </c>
      <c r="E225" t="str" cm="1">
        <f t="array" ref="E225">IF(COUNTIF(A:A, "*" &amp; LEFT(D225, FIND(" ", D225 &amp; " ") - 1) &amp; "*") &gt; 0,INDEX(A:A,FuzzyVLookup(D225,A:A,0,,,3)),"Non-PDL")</f>
        <v>EPIDIOLEX (cannabidiol)</v>
      </c>
      <c r="F225" t="str">
        <f t="shared" si="6"/>
        <v>Preferred</v>
      </c>
      <c r="G225" s="1" cm="1">
        <f t="array" ref="G225">FuzzyPercent(D225,E225,3)</f>
        <v>0.46464645862579346</v>
      </c>
      <c r="H225" t="str">
        <f t="shared" si="7"/>
        <v/>
      </c>
    </row>
    <row r="226" spans="1:8" x14ac:dyDescent="0.2">
      <c r="A226" t="s">
        <v>448</v>
      </c>
      <c r="B226" t="s">
        <v>0</v>
      </c>
      <c r="D226" t="s">
        <v>2342</v>
      </c>
      <c r="E226" t="str" cm="1">
        <f t="array" ref="E226">IF(COUNTIF(A:A, "*" &amp; LEFT(D226, FIND(" ", D226 &amp; " ") - 1) &amp; "*") &gt; 0,INDEX(A:A,FuzzyVLookup(D226,A:A,0,,,3)),"Non-PDL")</f>
        <v>epinephrine (all other manufacturers)</v>
      </c>
      <c r="F226" t="str">
        <f t="shared" si="6"/>
        <v>Non-Preferred</v>
      </c>
      <c r="G226" s="1" cm="1">
        <f t="array" ref="G226">FuzzyPercent(D226,E226,3)</f>
        <v>0.26582279801368713</v>
      </c>
      <c r="H226" t="str">
        <f t="shared" si="7"/>
        <v>CHECK</v>
      </c>
    </row>
    <row r="227" spans="1:8" x14ac:dyDescent="0.2">
      <c r="A227" t="s">
        <v>450</v>
      </c>
      <c r="B227" t="s">
        <v>0</v>
      </c>
      <c r="D227" t="s">
        <v>2343</v>
      </c>
      <c r="E227" t="str" cm="1">
        <f t="array" ref="E227">IF(COUNTIF(A:A, "*" &amp; LEFT(D227, FIND(" ", D227 &amp; " ") - 1) &amp; "*") &gt; 0,INDEX(A:A,FuzzyVLookup(D227,A:A,0,,,3)),"Non-PDL")</f>
        <v>epinephrine (all other manufacturers)</v>
      </c>
      <c r="F227" t="str">
        <f t="shared" si="6"/>
        <v>Non-Preferred</v>
      </c>
      <c r="G227" s="1" cm="1">
        <f t="array" ref="G227">FuzzyPercent(D227,E227,3)</f>
        <v>0.2800000011920929</v>
      </c>
      <c r="H227" t="str">
        <f t="shared" si="7"/>
        <v>CHECK</v>
      </c>
    </row>
    <row r="228" spans="1:8" x14ac:dyDescent="0.2">
      <c r="A228" t="s">
        <v>452</v>
      </c>
      <c r="B228" t="s">
        <v>0</v>
      </c>
      <c r="D228" t="s">
        <v>2344</v>
      </c>
      <c r="E228" t="str" cm="1">
        <f t="array" ref="E228">IF(COUNTIF(A:A, "*" &amp; LEFT(D228, FIND(" ", D228 &amp; " ") - 1) &amp; "*") &gt; 0,INDEX(A:A,FuzzyVLookup(D228,A:A,0,,,3)),"Non-PDL")</f>
        <v>epinephrine (Mylan)</v>
      </c>
      <c r="F228" t="str">
        <f t="shared" si="6"/>
        <v>Preferred</v>
      </c>
      <c r="G228" s="1" cm="1">
        <f t="array" ref="G228">FuzzyPercent(D228,E228,3)</f>
        <v>0.20714285969734192</v>
      </c>
      <c r="H228" t="str">
        <f t="shared" si="7"/>
        <v>CHECK</v>
      </c>
    </row>
    <row r="229" spans="1:8" x14ac:dyDescent="0.2">
      <c r="A229" t="s">
        <v>454</v>
      </c>
      <c r="B229" t="s">
        <v>0</v>
      </c>
      <c r="D229" t="s">
        <v>2345</v>
      </c>
      <c r="E229" t="str" cm="1">
        <f t="array" ref="E229">IF(COUNTIF(A:A, "*" &amp; LEFT(D229, FIND(" ", D229 &amp; " ") - 1) &amp; "*") &gt; 0,INDEX(A:A,FuzzyVLookup(D229,A:A,0,,,3)),"Non-PDL")</f>
        <v>epinephrine (Mylan)</v>
      </c>
      <c r="F229" t="str">
        <f t="shared" si="6"/>
        <v>Preferred</v>
      </c>
      <c r="G229" s="1" cm="1">
        <f t="array" ref="G229">FuzzyPercent(D229,E229,3)</f>
        <v>0.2222222238779068</v>
      </c>
      <c r="H229" t="str">
        <f t="shared" si="7"/>
        <v>CHECK</v>
      </c>
    </row>
    <row r="230" spans="1:8" x14ac:dyDescent="0.2">
      <c r="A230" t="s">
        <v>456</v>
      </c>
      <c r="B230" t="s">
        <v>0</v>
      </c>
      <c r="D230" t="s">
        <v>2346</v>
      </c>
      <c r="E230" t="str" cm="1">
        <f t="array" ref="E230">IF(COUNTIF(A:A, "*" &amp; LEFT(D230, FIND(" ", D230 &amp; " ") - 1) &amp; "*") &gt; 0,INDEX(A:A,FuzzyVLookup(D230,A:A,0,,,3)),"Non-PDL")</f>
        <v>EPIPEN (epinephrine)</v>
      </c>
      <c r="F230" t="str">
        <f t="shared" si="6"/>
        <v>Non-Preferred</v>
      </c>
      <c r="G230" s="1" cm="1">
        <f t="array" ref="G230">FuzzyPercent(D230,E230,3)</f>
        <v>0.34999999403953552</v>
      </c>
      <c r="H230" t="str">
        <f t="shared" si="7"/>
        <v/>
      </c>
    </row>
    <row r="231" spans="1:8" x14ac:dyDescent="0.2">
      <c r="A231" t="s">
        <v>458</v>
      </c>
      <c r="B231" t="s">
        <v>0</v>
      </c>
      <c r="D231" t="s">
        <v>2347</v>
      </c>
      <c r="E231" t="str" cm="1">
        <f t="array" ref="E231">IF(COUNTIF(A:A, "*" &amp; LEFT(D231, FIND(" ", D231 &amp; " ") - 1) &amp; "*") &gt; 0,INDEX(A:A,FuzzyVLookup(D231,A:A,0,,,3)),"Non-PDL")</f>
        <v>EPIPEN JR (epinephrine)</v>
      </c>
      <c r="F231" t="str">
        <f t="shared" si="6"/>
        <v>Non-Preferred</v>
      </c>
      <c r="G231" s="1" cm="1">
        <f t="array" ref="G231">FuzzyPercent(D231,E231,3)</f>
        <v>0.44660192728042603</v>
      </c>
      <c r="H231" t="str">
        <f t="shared" si="7"/>
        <v/>
      </c>
    </row>
    <row r="232" spans="1:8" x14ac:dyDescent="0.2">
      <c r="A232" t="s">
        <v>460</v>
      </c>
      <c r="B232" t="s">
        <v>0</v>
      </c>
      <c r="D232" t="s">
        <v>2348</v>
      </c>
      <c r="E232" t="str" cm="1">
        <f t="array" ref="E232">IF(COUNTIF(A:A, "*" &amp; LEFT(D232, FIND(" ", D232 &amp; " ") - 1) &amp; "*") &gt; 0,INDEX(A:A,FuzzyVLookup(D232,A:A,0,,,3)),"Non-PDL")</f>
        <v>vancomycin oral solution</v>
      </c>
      <c r="F232" t="str">
        <f t="shared" si="6"/>
        <v>Preferred</v>
      </c>
      <c r="G232" s="1" cm="1">
        <f t="array" ref="G232">FuzzyPercent(D232,E232,3)</f>
        <v>0.4404761791229248</v>
      </c>
      <c r="H232" t="str">
        <f t="shared" si="7"/>
        <v/>
      </c>
    </row>
    <row r="233" spans="1:8" x14ac:dyDescent="0.2">
      <c r="A233" t="s">
        <v>462</v>
      </c>
      <c r="B233" t="s">
        <v>0</v>
      </c>
      <c r="D233" t="s">
        <v>2349</v>
      </c>
      <c r="E233" t="str" cm="1">
        <f t="array" ref="E233">IF(COUNTIF(A:A, "*" &amp; LEFT(D233, FIND(" ", D233 &amp; " ") - 1) &amp; "*") &gt; 0,INDEX(A:A,FuzzyVLookup(D233,A:A,0,,,3)),"Non-PDL")</f>
        <v>EPIVIR (lamivudine)</v>
      </c>
      <c r="F233" t="str">
        <f t="shared" si="6"/>
        <v>Non-Preferred</v>
      </c>
      <c r="G233" s="1" cm="1">
        <f t="array" ref="G233">FuzzyPercent(D233,E233,3)</f>
        <v>0.3035714328289032</v>
      </c>
      <c r="H233" t="str">
        <f t="shared" si="7"/>
        <v/>
      </c>
    </row>
    <row r="234" spans="1:8" x14ac:dyDescent="0.2">
      <c r="A234" t="s">
        <v>464</v>
      </c>
      <c r="B234" t="s">
        <v>0</v>
      </c>
      <c r="D234" t="s">
        <v>2350</v>
      </c>
      <c r="E234" t="str" cm="1">
        <f t="array" ref="E234">IF(COUNTIF(A:A, "*" &amp; LEFT(D234, FIND(" ", D234 &amp; " ") - 1) &amp; "*") &gt; 0,INDEX(A:A,FuzzyVLookup(D234,A:A,0,,,3)),"Non-PDL")</f>
        <v>Non-PDL</v>
      </c>
      <c r="F234" t="str">
        <f t="shared" si="6"/>
        <v>Non-PDL</v>
      </c>
      <c r="G234" s="1" cm="1">
        <f t="array" ref="G234">FuzzyPercent(D234,E234,3)</f>
        <v>0.10000000149011612</v>
      </c>
      <c r="H234" t="str">
        <f t="shared" si="7"/>
        <v/>
      </c>
    </row>
    <row r="235" spans="1:8" x14ac:dyDescent="0.2">
      <c r="A235" t="s">
        <v>466</v>
      </c>
      <c r="B235" t="s">
        <v>0</v>
      </c>
      <c r="D235" t="s">
        <v>2351</v>
      </c>
      <c r="E235" t="str" cm="1">
        <f t="array" ref="E235">IF(COUNTIF(A:A, "*" &amp; LEFT(D235, FIND(" ", D235 &amp; " ") - 1) &amp; "*") &gt; 0,INDEX(A:A,FuzzyVLookup(D235,A:A,0,,,3)),"Non-PDL")</f>
        <v>EPRONTIA (topiramate)</v>
      </c>
      <c r="F235" t="str">
        <f t="shared" si="6"/>
        <v>Non-Preferred</v>
      </c>
      <c r="G235" s="1" cm="1">
        <f t="array" ref="G235">FuzzyPercent(D235,E235,3)</f>
        <v>0.4444444477558136</v>
      </c>
      <c r="H235" t="str">
        <f t="shared" si="7"/>
        <v/>
      </c>
    </row>
    <row r="236" spans="1:8" x14ac:dyDescent="0.2">
      <c r="A236" t="s">
        <v>468</v>
      </c>
      <c r="B236" t="s">
        <v>0</v>
      </c>
      <c r="D236" t="s">
        <v>2352</v>
      </c>
      <c r="E236" t="str" cm="1">
        <f t="array" ref="E236">IF(COUNTIF(A:A, "*" &amp; LEFT(D236, FIND(" ", D236 &amp; " ") - 1) &amp; "*") &gt; 0,INDEX(A:A,FuzzyVLookup(D236,A:A,0,,,3)),"Non-PDL")</f>
        <v>eprosartan</v>
      </c>
      <c r="F236" t="str">
        <f t="shared" si="6"/>
        <v>Non-Preferred</v>
      </c>
      <c r="G236" s="1" cm="1">
        <f t="array" ref="G236">FuzzyPercent(D236,E236,3)</f>
        <v>1</v>
      </c>
      <c r="H236" t="str">
        <f t="shared" si="7"/>
        <v/>
      </c>
    </row>
    <row r="237" spans="1:8" x14ac:dyDescent="0.2">
      <c r="A237" t="s">
        <v>470</v>
      </c>
      <c r="B237" t="s">
        <v>0</v>
      </c>
      <c r="D237" t="s">
        <v>2353</v>
      </c>
      <c r="E237" t="str" cm="1">
        <f t="array" ref="E237">IF(COUNTIF(A:A, "*" &amp; LEFT(D237, FIND(" ", D237 &amp; " ") - 1) &amp; "*") &gt; 0,INDEX(A:A,FuzzyVLookup(D237,A:A,0,,,3)),"Non-PDL")</f>
        <v>EPZICOM (abacavir/lamivudine)</v>
      </c>
      <c r="F237" t="str">
        <f t="shared" si="6"/>
        <v>Non-Preferred</v>
      </c>
      <c r="G237" s="1" cm="1">
        <f t="array" ref="G237">FuzzyPercent(D237,E237,3)</f>
        <v>0.2689075767993927</v>
      </c>
      <c r="H237" t="str">
        <f t="shared" si="7"/>
        <v>CHECK</v>
      </c>
    </row>
    <row r="238" spans="1:8" x14ac:dyDescent="0.2">
      <c r="A238" t="s">
        <v>472</v>
      </c>
      <c r="B238" t="s">
        <v>0</v>
      </c>
      <c r="D238" t="s">
        <v>2354</v>
      </c>
      <c r="E238" t="str" cm="1">
        <f t="array" ref="E238">IF(COUNTIF(A:A, "*" &amp; LEFT(D238, FIND(" ", D238 &amp; " ") - 1) &amp; "*") &gt; 0,INDEX(A:A,FuzzyVLookup(D238,A:A,0,,,3)),"Non-PDL")</f>
        <v>EQUETRO (carbamazepine)</v>
      </c>
      <c r="F238" t="str">
        <f t="shared" si="6"/>
        <v>Non-Preferred</v>
      </c>
      <c r="G238" s="1" cm="1">
        <f t="array" ref="G238">FuzzyPercent(D238,E238,3)</f>
        <v>0.34782609343528748</v>
      </c>
      <c r="H238" t="str">
        <f t="shared" si="7"/>
        <v/>
      </c>
    </row>
    <row r="239" spans="1:8" x14ac:dyDescent="0.2">
      <c r="A239" t="s">
        <v>474</v>
      </c>
      <c r="B239" t="s">
        <v>0</v>
      </c>
      <c r="D239" t="s">
        <v>2355</v>
      </c>
      <c r="E239" t="str" cm="1">
        <f t="array" ref="E239">IF(COUNTIF(A:A, "*" &amp; LEFT(D239, FIND(" ", D239 &amp; " ") - 1) &amp; "*") &gt; 0,INDEX(A:A,FuzzyVLookup(D239,A:A,0,,,3)),"Non-PDL")</f>
        <v>ESBRIET (pirfenidone)</v>
      </c>
      <c r="F239" t="str">
        <f t="shared" si="6"/>
        <v>Preferred</v>
      </c>
      <c r="G239" s="1" cm="1">
        <f t="array" ref="G239">FuzzyPercent(D239,E239,3)</f>
        <v>0.37209302186965942</v>
      </c>
      <c r="H239" t="str">
        <f t="shared" si="7"/>
        <v/>
      </c>
    </row>
    <row r="240" spans="1:8" x14ac:dyDescent="0.2">
      <c r="A240" t="s">
        <v>476</v>
      </c>
      <c r="B240" t="s">
        <v>0</v>
      </c>
      <c r="D240" t="s">
        <v>2356</v>
      </c>
      <c r="E240" t="str" cm="1">
        <f t="array" ref="E240">IF(COUNTIF(A:A, "*" &amp; LEFT(D240, FIND(" ", D240 &amp; " ") - 1) &amp; "*") &gt; 0,INDEX(A:A,FuzzyVLookup(D240,A:A,0,,,3)),"Non-PDL")</f>
        <v>esomeprazole packet</v>
      </c>
      <c r="F240" t="str">
        <f t="shared" si="6"/>
        <v>Non-Preferred</v>
      </c>
      <c r="G240" s="1" cm="1">
        <f t="array" ref="G240">FuzzyPercent(D240,E240,3)</f>
        <v>0.73684209585189819</v>
      </c>
      <c r="H240" t="str">
        <f t="shared" si="7"/>
        <v/>
      </c>
    </row>
    <row r="241" spans="1:8" x14ac:dyDescent="0.2">
      <c r="A241" t="s">
        <v>478</v>
      </c>
      <c r="B241" t="s">
        <v>0</v>
      </c>
      <c r="D241" t="s">
        <v>2357</v>
      </c>
      <c r="E241" t="str" cm="1">
        <f t="array" ref="E241">IF(COUNTIF(A:A, "*" &amp; LEFT(D241, FIND(" ", D241 &amp; " ") - 1) &amp; "*") &gt; 0,INDEX(A:A,FuzzyVLookup(D241,A:A,0,,,3)),"Non-PDL")</f>
        <v>ESPEROCT</v>
      </c>
      <c r="F241" t="str">
        <f t="shared" si="6"/>
        <v>Non-Preferred</v>
      </c>
      <c r="G241" s="1" cm="1">
        <f t="array" ref="G241">FuzzyPercent(D241,E241,3)</f>
        <v>1</v>
      </c>
      <c r="H241" t="str">
        <f t="shared" si="7"/>
        <v/>
      </c>
    </row>
    <row r="242" spans="1:8" x14ac:dyDescent="0.2">
      <c r="A242" t="s">
        <v>480</v>
      </c>
      <c r="B242" t="s">
        <v>0</v>
      </c>
      <c r="D242" t="s">
        <v>2358</v>
      </c>
      <c r="E242" t="str" cm="1">
        <f t="array" ref="E242">IF(COUNTIF(A:A, "*" &amp; LEFT(D242, FIND(" ", D242 &amp; " ") - 1) &amp; "*") &gt; 0,INDEX(A:A,FuzzyVLookup(D242,A:A,0,,,3)),"Non-PDL")</f>
        <v>ENILLORING (etonogestrel/ethinyl estradiol)</v>
      </c>
      <c r="F242" t="str">
        <f t="shared" si="6"/>
        <v>Preferred</v>
      </c>
      <c r="G242" s="1" cm="1">
        <f t="array" ref="G242">FuzzyPercent(D242,E242,3)</f>
        <v>0.39792388677597046</v>
      </c>
      <c r="H242" t="str">
        <f t="shared" si="7"/>
        <v/>
      </c>
    </row>
    <row r="243" spans="1:8" x14ac:dyDescent="0.2">
      <c r="A243" t="s">
        <v>482</v>
      </c>
      <c r="B243" t="s">
        <v>0</v>
      </c>
      <c r="D243" t="s">
        <v>2359</v>
      </c>
      <c r="E243" t="str" cm="1">
        <f t="array" ref="E243">IF(COUNTIF(A:A, "*" &amp; LEFT(D243, FIND(" ", D243 &amp; " ") - 1) &amp; "*") &gt; 0,INDEX(A:A,FuzzyVLookup(D243,A:A,0,,,3)),"Non-PDL")</f>
        <v>EUCRISA (crisaborole) DUR+</v>
      </c>
      <c r="F243" t="str">
        <f t="shared" si="6"/>
        <v>Preferred</v>
      </c>
      <c r="G243" s="1" cm="1">
        <f t="array" ref="G243">FuzzyPercent(D243,E243,3)</f>
        <v>0.29906541109085083</v>
      </c>
      <c r="H243" t="str">
        <f t="shared" si="7"/>
        <v>CHECK</v>
      </c>
    </row>
    <row r="244" spans="1:8" x14ac:dyDescent="0.2">
      <c r="A244" t="s">
        <v>484</v>
      </c>
      <c r="B244" t="s">
        <v>0</v>
      </c>
      <c r="D244" t="s">
        <v>2360</v>
      </c>
      <c r="E244" t="str" cm="1">
        <f t="array" ref="E244">IF(COUNTIF(A:A, "*" &amp; LEFT(D244, FIND(" ", D244 &amp; " ") - 1) &amp; "*") &gt; 0,INDEX(A:A,FuzzyVLookup(D244,A:A,0,,,3)),"Non-PDL")</f>
        <v>EVKEEZA (evinacumab-dgnb)</v>
      </c>
      <c r="F244" t="str">
        <f t="shared" si="6"/>
        <v>Preferred</v>
      </c>
      <c r="G244" s="1" cm="1">
        <f t="array" ref="G244">FuzzyPercent(D244,E244,3)</f>
        <v>0.31067961454391479</v>
      </c>
      <c r="H244" t="str">
        <f t="shared" si="7"/>
        <v/>
      </c>
    </row>
    <row r="245" spans="1:8" x14ac:dyDescent="0.2">
      <c r="A245" t="s">
        <v>486</v>
      </c>
      <c r="B245" t="s">
        <v>0</v>
      </c>
      <c r="D245" t="s">
        <v>2361</v>
      </c>
      <c r="E245" t="str" cm="1">
        <f t="array" ref="E245">IF(COUNTIF(A:A, "*" &amp; LEFT(D245, FIND(" ", D245 &amp; " ") - 1) &amp; "*") &gt; 0,INDEX(A:A,FuzzyVLookup(D245,A:A,0,,,3)),"Non-PDL")</f>
        <v>EVRYSDI (risdiplam)</v>
      </c>
      <c r="F245" t="str">
        <f t="shared" si="6"/>
        <v>Non-Preferred</v>
      </c>
      <c r="G245" s="1" cm="1">
        <f t="array" ref="G245">FuzzyPercent(D245,E245,3)</f>
        <v>0.42105263471603394</v>
      </c>
      <c r="H245" t="str">
        <f t="shared" si="7"/>
        <v/>
      </c>
    </row>
    <row r="246" spans="1:8" x14ac:dyDescent="0.2">
      <c r="A246" t="s">
        <v>488</v>
      </c>
      <c r="B246" t="s">
        <v>0</v>
      </c>
      <c r="D246" t="s">
        <v>2362</v>
      </c>
      <c r="E246" t="str" cm="1">
        <f t="array" ref="E246">IF(COUNTIF(A:A, "*" &amp; LEFT(D246, FIND(" ", D246 &amp; " ") - 1) &amp; "*") &gt; 0,INDEX(A:A,FuzzyVLookup(D246,A:A,0,,,3)),"Non-PDL")</f>
        <v>EXELON (rivastigmine)</v>
      </c>
      <c r="F246" t="str">
        <f t="shared" si="6"/>
        <v>Non-Preferred</v>
      </c>
      <c r="G246" s="1" cm="1">
        <f t="array" ref="G246">FuzzyPercent(D246,E246,3)</f>
        <v>0.3333333432674408</v>
      </c>
      <c r="H246" t="str">
        <f t="shared" si="7"/>
        <v/>
      </c>
    </row>
    <row r="247" spans="1:8" x14ac:dyDescent="0.2">
      <c r="A247" t="s">
        <v>490</v>
      </c>
      <c r="B247" t="s">
        <v>0</v>
      </c>
      <c r="D247" t="s">
        <v>2363</v>
      </c>
      <c r="E247" t="str" cm="1">
        <f t="array" ref="E247">IF(COUNTIF(A:A, "*" &amp; LEFT(D247, FIND(" ", D247 &amp; " ") - 1) &amp; "*") &gt; 0,INDEX(A:A,FuzzyVLookup(D247,A:A,0,,,3)),"Non-PDL")</f>
        <v>Non-PDL</v>
      </c>
      <c r="F247" t="str">
        <f t="shared" si="6"/>
        <v>Non-PDL</v>
      </c>
      <c r="G247" s="1" cm="1">
        <f t="array" ref="G247">FuzzyPercent(D247,E247,3)</f>
        <v>0</v>
      </c>
      <c r="H247" t="str">
        <f t="shared" si="7"/>
        <v/>
      </c>
    </row>
    <row r="248" spans="1:8" x14ac:dyDescent="0.2">
      <c r="A248" t="s">
        <v>492</v>
      </c>
      <c r="B248" t="s">
        <v>0</v>
      </c>
      <c r="D248" t="s">
        <v>2364</v>
      </c>
      <c r="E248" t="str" cm="1">
        <f t="array" ref="E248">IF(COUNTIF(A:A, "*" &amp; LEFT(D248, FIND(" ", D248 &amp; " ") - 1) &amp; "*") &gt; 0,INDEX(A:A,FuzzyVLookup(D248,A:A,0,,,3)),"Non-PDL")</f>
        <v>EXONDYS-51 (eteplirsen)</v>
      </c>
      <c r="F248" t="str">
        <f t="shared" si="6"/>
        <v>Non-Preferred</v>
      </c>
      <c r="G248" s="1" cm="1">
        <f t="array" ref="G248">FuzzyPercent(D248,E248,3)</f>
        <v>0.35922330617904663</v>
      </c>
      <c r="H248" t="str">
        <f t="shared" si="7"/>
        <v/>
      </c>
    </row>
    <row r="249" spans="1:8" x14ac:dyDescent="0.2">
      <c r="A249" t="s">
        <v>494</v>
      </c>
      <c r="B249" t="s">
        <v>0</v>
      </c>
      <c r="D249" t="s">
        <v>2365</v>
      </c>
      <c r="E249" t="str" cm="1">
        <f t="array" ref="E249">IF(COUNTIF(A:A, "*" &amp; LEFT(D249, FIND(" ", D249 &amp; " ") - 1) &amp; "*") &gt; 0,INDEX(A:A,FuzzyVLookup(D249,A:A,0,,,3)),"Non-PDL")</f>
        <v>Non-PDL</v>
      </c>
      <c r="F249" t="str">
        <f t="shared" si="6"/>
        <v>Non-PDL</v>
      </c>
      <c r="G249" s="1" cm="1">
        <f t="array" ref="G249">FuzzyPercent(D249,E249,3)</f>
        <v>0</v>
      </c>
      <c r="H249" t="str">
        <f t="shared" si="7"/>
        <v/>
      </c>
    </row>
    <row r="250" spans="1:8" x14ac:dyDescent="0.2">
      <c r="A250" t="s">
        <v>496</v>
      </c>
      <c r="B250" t="s">
        <v>0</v>
      </c>
      <c r="D250" t="s">
        <v>2366</v>
      </c>
      <c r="E250" t="str" cm="1">
        <f t="array" ref="E250">IF(COUNTIF(A:A, "*" &amp; LEFT(D250, FIND(" ", D250 &amp; " ") - 1) &amp; "*") &gt; 0,INDEX(A:A,FuzzyVLookup(D250,A:A,0,,,3)),"Non-PDL")</f>
        <v>Non-PDL</v>
      </c>
      <c r="F250" t="str">
        <f t="shared" si="6"/>
        <v>Non-PDL</v>
      </c>
      <c r="G250" s="1" cm="1">
        <f t="array" ref="G250">FuzzyPercent(D250,E250,3)</f>
        <v>9.0090092271566391E-3</v>
      </c>
      <c r="H250" t="str">
        <f t="shared" si="7"/>
        <v/>
      </c>
    </row>
    <row r="251" spans="1:8" x14ac:dyDescent="0.2">
      <c r="A251" t="s">
        <v>498</v>
      </c>
      <c r="B251" t="s">
        <v>0</v>
      </c>
      <c r="D251" t="s">
        <v>2367</v>
      </c>
      <c r="E251" t="str" cm="1">
        <f t="array" ref="E251">IF(COUNTIF(A:A, "*" &amp; LEFT(D251, FIND(" ", D251 &amp; " ") - 1) &amp; "*") &gt; 0,INDEX(A:A,FuzzyVLookup(D251,A:A,0,,,3)),"Non-PDL")</f>
        <v>Non-PDL</v>
      </c>
      <c r="F251" t="str">
        <f t="shared" si="6"/>
        <v>Non-PDL</v>
      </c>
      <c r="G251" s="1" cm="1">
        <f t="array" ref="G251">FuzzyPercent(D251,E251,3)</f>
        <v>5.000000074505806E-2</v>
      </c>
      <c r="H251" t="str">
        <f t="shared" si="7"/>
        <v/>
      </c>
    </row>
    <row r="252" spans="1:8" x14ac:dyDescent="0.2">
      <c r="A252" t="s">
        <v>500</v>
      </c>
      <c r="B252" t="s">
        <v>0</v>
      </c>
      <c r="D252" t="s">
        <v>2368</v>
      </c>
      <c r="E252" t="str" cm="1">
        <f t="array" ref="E252">IF(COUNTIF(A:A, "*" &amp; LEFT(D252, FIND(" ", D252 &amp; " ") - 1) &amp; "*") &gt; 0,INDEX(A:A,FuzzyVLookup(D252,A:A,0,,,3)),"Non-PDL")</f>
        <v>Non-PDL</v>
      </c>
      <c r="F252" t="str">
        <f t="shared" si="6"/>
        <v>Non-PDL</v>
      </c>
      <c r="G252" s="1" cm="1">
        <f t="array" ref="G252">FuzzyPercent(D252,E252,3)</f>
        <v>0</v>
      </c>
      <c r="H252" t="str">
        <f t="shared" si="7"/>
        <v/>
      </c>
    </row>
    <row r="253" spans="1:8" x14ac:dyDescent="0.2">
      <c r="A253" t="s">
        <v>502</v>
      </c>
      <c r="B253" t="s">
        <v>0</v>
      </c>
      <c r="D253" t="s">
        <v>2369</v>
      </c>
      <c r="E253" t="str" cm="1">
        <f t="array" ref="E253">IF(COUNTIF(A:A, "*" &amp; LEFT(D253, FIND(" ", D253 &amp; " ") - 1) &amp; "*") &gt; 0,INDEX(A:A,FuzzyVLookup(D253,A:A,0,,,3)),"Non-PDL")</f>
        <v>FANAPT (iloperidone)</v>
      </c>
      <c r="F253" t="str">
        <f t="shared" si="6"/>
        <v>Non-Preferred</v>
      </c>
      <c r="G253" s="1" cm="1">
        <f t="array" ref="G253">FuzzyPercent(D253,E253,3)</f>
        <v>0.34999999403953552</v>
      </c>
      <c r="H253" t="str">
        <f t="shared" si="7"/>
        <v/>
      </c>
    </row>
    <row r="254" spans="1:8" x14ac:dyDescent="0.2">
      <c r="A254" t="s">
        <v>504</v>
      </c>
      <c r="B254" t="s">
        <v>0</v>
      </c>
      <c r="D254" t="s">
        <v>2370</v>
      </c>
      <c r="E254" t="str" cm="1">
        <f t="array" ref="E254">IF(COUNTIF(A:A, "*" &amp; LEFT(D254, FIND(" ", D254 &amp; " ") - 1) &amp; "*") &gt; 0,INDEX(A:A,FuzzyVLookup(D254,A:A,0,,,3)),"Non-PDL")</f>
        <v>FARXIGA (dapagliflozin)</v>
      </c>
      <c r="F254" t="str">
        <f t="shared" si="6"/>
        <v>Preferred</v>
      </c>
      <c r="G254" s="1" cm="1">
        <f t="array" ref="G254">FuzzyPercent(D254,E254,3)</f>
        <v>0.34782609343528748</v>
      </c>
      <c r="H254" t="str">
        <f t="shared" si="7"/>
        <v/>
      </c>
    </row>
    <row r="255" spans="1:8" x14ac:dyDescent="0.2">
      <c r="A255" t="s">
        <v>506</v>
      </c>
      <c r="B255" t="s">
        <v>0</v>
      </c>
      <c r="D255" t="s">
        <v>2371</v>
      </c>
      <c r="E255" t="str" cm="1">
        <f t="array" ref="E255">IF(COUNTIF(A:A, "*" &amp; LEFT(D255, FIND(" ", D255 &amp; " ") - 1) &amp; "*") &gt; 0,INDEX(A:A,FuzzyVLookup(D255,A:A,0,,,3)),"Non-PDL")</f>
        <v>FASENRA (benralizumab)</v>
      </c>
      <c r="F255" t="str">
        <f t="shared" si="6"/>
        <v>Preferred</v>
      </c>
      <c r="G255" s="1" cm="1">
        <f t="array" ref="G255">FuzzyPercent(D255,E255,3)</f>
        <v>0.2916666567325592</v>
      </c>
      <c r="H255" t="str">
        <f t="shared" si="7"/>
        <v>CHECK</v>
      </c>
    </row>
    <row r="256" spans="1:8" x14ac:dyDescent="0.2">
      <c r="A256" t="s">
        <v>508</v>
      </c>
      <c r="B256" t="s">
        <v>0</v>
      </c>
      <c r="D256" t="s">
        <v>2372</v>
      </c>
      <c r="E256" t="str" cm="1">
        <f t="array" ref="E256">IF(COUNTIF(A:A, "*" &amp; LEFT(D256, FIND(" ", D256 &amp; " ") - 1) &amp; "*") &gt; 0,INDEX(A:A,FuzzyVLookup(D256,A:A,0,,,3)),"Non-PDL")</f>
        <v>FASENRA (benralizumab)</v>
      </c>
      <c r="F256" t="str">
        <f t="shared" si="6"/>
        <v>Preferred</v>
      </c>
      <c r="G256" s="1" cm="1">
        <f t="array" ref="G256">FuzzyPercent(D256,E256,3)</f>
        <v>0.25287356972694397</v>
      </c>
      <c r="H256" t="str">
        <f t="shared" si="7"/>
        <v>CHECK</v>
      </c>
    </row>
    <row r="257" spans="1:8" x14ac:dyDescent="0.2">
      <c r="A257" t="s">
        <v>510</v>
      </c>
      <c r="B257" t="s">
        <v>0</v>
      </c>
      <c r="D257" t="s">
        <v>2373</v>
      </c>
      <c r="E257" t="str" cm="1">
        <f t="array" ref="E257">IF(COUNTIF(A:A, "*" &amp; LEFT(D257, FIND(" ", D257 &amp; " ") - 1) &amp; "*") &gt; 0,INDEX(A:A,FuzzyVLookup(D257,A:A,0,,,3)),"Non-PDL")</f>
        <v>Non-PDL</v>
      </c>
      <c r="F257" t="str">
        <f t="shared" si="6"/>
        <v>Non-PDL</v>
      </c>
      <c r="G257" s="1" cm="1">
        <f t="array" ref="G257">FuzzyPercent(D257,E257,3)</f>
        <v>6.25E-2</v>
      </c>
      <c r="H257" t="str">
        <f t="shared" si="7"/>
        <v/>
      </c>
    </row>
    <row r="258" spans="1:8" x14ac:dyDescent="0.2">
      <c r="A258" t="s">
        <v>512</v>
      </c>
      <c r="B258" t="s">
        <v>0</v>
      </c>
      <c r="D258" t="s">
        <v>2374</v>
      </c>
      <c r="E258" t="str" cm="1">
        <f t="array" ref="E258">IF(COUNTIF(A:A, "*" &amp; LEFT(D258, FIND(" ", D258 &amp; " ") - 1) &amp; "*") &gt; 0,INDEX(A:A,FuzzyVLookup(D258,A:A,0,,,3)),"Non-PDL")</f>
        <v>FELBATOL (felbamate)</v>
      </c>
      <c r="F258" t="str">
        <f t="shared" si="6"/>
        <v>Non-Preferred</v>
      </c>
      <c r="G258" s="1" cm="1">
        <f t="array" ref="G258">FuzzyPercent(D258,E258,3)</f>
        <v>0.28571429848670959</v>
      </c>
      <c r="H258" t="str">
        <f t="shared" si="7"/>
        <v>CHECK</v>
      </c>
    </row>
    <row r="259" spans="1:8" x14ac:dyDescent="0.2">
      <c r="A259" t="s">
        <v>514</v>
      </c>
      <c r="B259" t="s">
        <v>0</v>
      </c>
      <c r="D259" t="s">
        <v>2375</v>
      </c>
      <c r="E259" t="str" cm="1">
        <f t="array" ref="E259">IF(COUNTIF(A:A, "*" &amp; LEFT(D259, FIND(" ", D259 &amp; " ") - 1) &amp; "*") &gt; 0,INDEX(A:A,FuzzyVLookup(D259,A:A,0,,,3)),"Non-PDL")</f>
        <v>FELBATOL (felbamate)</v>
      </c>
      <c r="F259" t="str">
        <f t="shared" ref="F259:F322" si="8">_xlfn.IFNA(_xlfn.XLOOKUP(E259,A:A,B:B),"Non-PDL")</f>
        <v>Non-Preferred</v>
      </c>
      <c r="G259" s="1" cm="1">
        <f t="array" ref="G259">FuzzyPercent(D259,E259,3)</f>
        <v>0.44144144654273987</v>
      </c>
      <c r="H259" t="str">
        <f t="shared" ref="H259:H322" si="9">IF(F259="Non-PDL","",IF(G259&lt;0.3,"CHECK",""))</f>
        <v/>
      </c>
    </row>
    <row r="260" spans="1:8" x14ac:dyDescent="0.2">
      <c r="A260" t="s">
        <v>516</v>
      </c>
      <c r="B260" t="s">
        <v>0</v>
      </c>
      <c r="D260" t="s">
        <v>2376</v>
      </c>
      <c r="E260" t="str" cm="1">
        <f t="array" ref="E260">IF(COUNTIF(A:A, "*" &amp; LEFT(D260, FIND(" ", D260 &amp; " ") - 1) &amp; "*") &gt; 0,INDEX(A:A,FuzzyVLookup(D260,A:A,0,,,3)),"Non-PDL")</f>
        <v>Non-PDL</v>
      </c>
      <c r="F260" t="str">
        <f t="shared" si="8"/>
        <v>Non-PDL</v>
      </c>
      <c r="G260" s="1" cm="1">
        <f t="array" ref="G260">FuzzyPercent(D260,E260,3)</f>
        <v>3.3333335071802139E-2</v>
      </c>
      <c r="H260" t="str">
        <f t="shared" si="9"/>
        <v/>
      </c>
    </row>
    <row r="261" spans="1:8" x14ac:dyDescent="0.2">
      <c r="A261" t="s">
        <v>518</v>
      </c>
      <c r="B261" t="s">
        <v>0</v>
      </c>
      <c r="D261" t="s">
        <v>2377</v>
      </c>
      <c r="E261" t="str" cm="1">
        <f t="array" ref="E261">IF(COUNTIF(A:A, "*" &amp; LEFT(D261, FIND(" ", D261 &amp; " ") - 1) &amp; "*") &gt; 0,INDEX(A:A,FuzzyVLookup(D261,A:A,0,,,3)),"Non-PDL")</f>
        <v>Non-PDL</v>
      </c>
      <c r="F261" t="str">
        <f t="shared" si="8"/>
        <v>Non-PDL</v>
      </c>
      <c r="G261" s="1" cm="1">
        <f t="array" ref="G261">FuzzyPercent(D261,E261,3)</f>
        <v>0.10000000149011612</v>
      </c>
      <c r="H261" t="str">
        <f t="shared" si="9"/>
        <v/>
      </c>
    </row>
    <row r="262" spans="1:8" x14ac:dyDescent="0.2">
      <c r="A262" t="s">
        <v>520</v>
      </c>
      <c r="B262" t="s">
        <v>0</v>
      </c>
      <c r="D262" t="s">
        <v>2378</v>
      </c>
      <c r="E262" t="str" cm="1">
        <f t="array" ref="E262">IF(COUNTIF(A:A, "*" &amp; LEFT(D262, FIND(" ", D262 &amp; " ") - 1) &amp; "*") &gt; 0,INDEX(A:A,FuzzyVLookup(D262,A:A,0,,,3)),"Non-PDL")</f>
        <v>FETZIMA (levomilnacipran)</v>
      </c>
      <c r="F262" t="str">
        <f t="shared" si="8"/>
        <v>Non-Preferred</v>
      </c>
      <c r="G262" s="1" cm="1">
        <f t="array" ref="G262">FuzzyPercent(D262,E262,3)</f>
        <v>0.31067961454391479</v>
      </c>
      <c r="H262" t="str">
        <f t="shared" si="9"/>
        <v/>
      </c>
    </row>
    <row r="263" spans="1:8" x14ac:dyDescent="0.2">
      <c r="A263" t="s">
        <v>522</v>
      </c>
      <c r="B263" t="s">
        <v>0</v>
      </c>
      <c r="D263" t="s">
        <v>2379</v>
      </c>
      <c r="E263" t="str" cm="1">
        <f t="array" ref="E263">IF(COUNTIF(A:A, "*" &amp; LEFT(D263, FIND(" ", D263 &amp; " ") - 1) &amp; "*") &gt; 0,INDEX(A:A,FuzzyVLookup(D263,A:A,0,,,3)),"Non-PDL")</f>
        <v>FEXMID (cyclobenzaprine)</v>
      </c>
      <c r="F263" t="str">
        <f t="shared" si="8"/>
        <v>Non-Preferred</v>
      </c>
      <c r="G263" s="1" cm="1">
        <f t="array" ref="G263">FuzzyPercent(D263,E263,3)</f>
        <v>0.28571429848670959</v>
      </c>
      <c r="H263" t="str">
        <f t="shared" si="9"/>
        <v>CHECK</v>
      </c>
    </row>
    <row r="264" spans="1:8" x14ac:dyDescent="0.2">
      <c r="A264" t="s">
        <v>524</v>
      </c>
      <c r="B264" t="s">
        <v>0</v>
      </c>
      <c r="D264" t="s">
        <v>2380</v>
      </c>
      <c r="E264" t="str" cm="1">
        <f t="array" ref="E264">IF(COUNTIF(A:A, "*" &amp; LEFT(D264, FIND(" ", D264 &amp; " ") - 1) &amp; "*") &gt; 0,INDEX(A:A,FuzzyVLookup(D264,A:A,0,,,3)),"Non-PDL")</f>
        <v>FEIBA</v>
      </c>
      <c r="F264" t="str">
        <f t="shared" si="8"/>
        <v>Preferred</v>
      </c>
      <c r="G264" s="1" cm="1">
        <f t="array" ref="G264">FuzzyPercent(D264,E264,3)</f>
        <v>0.30000001192092896</v>
      </c>
      <c r="H264" t="str">
        <f t="shared" si="9"/>
        <v/>
      </c>
    </row>
    <row r="265" spans="1:8" x14ac:dyDescent="0.2">
      <c r="A265" t="s">
        <v>526</v>
      </c>
      <c r="B265" t="s">
        <v>0</v>
      </c>
      <c r="D265" t="s">
        <v>2381</v>
      </c>
      <c r="E265" t="str" cm="1">
        <f t="array" ref="E265">IF(COUNTIF(A:A, "*" &amp; LEFT(D265, FIND(" ", D265 &amp; " ") - 1) &amp; "*") &gt; 0,INDEX(A:A,FuzzyVLookup(D265,A:A,0,,,3)),"Non-PDL")</f>
        <v>fluticasone HFA</v>
      </c>
      <c r="F265" t="str">
        <f t="shared" si="8"/>
        <v>Non-Preferred</v>
      </c>
      <c r="G265" s="1" cm="1">
        <f t="array" ref="G265">FuzzyPercent(D265,E265,3)</f>
        <v>0.17777778208255768</v>
      </c>
      <c r="H265" t="str">
        <f t="shared" si="9"/>
        <v>CHECK</v>
      </c>
    </row>
    <row r="266" spans="1:8" x14ac:dyDescent="0.2">
      <c r="A266" t="s">
        <v>528</v>
      </c>
      <c r="B266" t="s">
        <v>0</v>
      </c>
      <c r="D266" t="s">
        <v>2382</v>
      </c>
      <c r="E266" t="str" cm="1">
        <f t="array" ref="E266">IF(COUNTIF(A:A, "*" &amp; LEFT(D266, FIND(" ", D266 &amp; " ") - 1) &amp; "*") &gt; 0,INDEX(A:A,FuzzyVLookup(D266,A:A,0,,,3)),"Non-PDL")</f>
        <v>Non-PDL</v>
      </c>
      <c r="F266" t="str">
        <f t="shared" si="8"/>
        <v>Non-PDL</v>
      </c>
      <c r="G266" s="1" cm="1">
        <f t="array" ref="G266">FuzzyPercent(D266,E266,3)</f>
        <v>5.000000074505806E-2</v>
      </c>
      <c r="H266" t="str">
        <f t="shared" si="9"/>
        <v/>
      </c>
    </row>
    <row r="267" spans="1:8" x14ac:dyDescent="0.2">
      <c r="A267" t="s">
        <v>530</v>
      </c>
      <c r="B267" t="s">
        <v>0</v>
      </c>
      <c r="D267" t="s">
        <v>2383</v>
      </c>
      <c r="E267" t="str" cm="1">
        <f t="array" ref="E267">IF(COUNTIF(A:A, "*" &amp; LEFT(D267, FIND(" ", D267 &amp; " ") - 1) &amp; "*") &gt; 0,INDEX(A:A,FuzzyVLookup(D267,A:A,0,,,3)),"Non-PDL")</f>
        <v>fingolimod</v>
      </c>
      <c r="F267" t="str">
        <f t="shared" si="8"/>
        <v>Preferred</v>
      </c>
      <c r="G267" s="1" cm="1">
        <f t="array" ref="G267">FuzzyPercent(D267,E267,3)</f>
        <v>0.46551725268363953</v>
      </c>
      <c r="H267" t="str">
        <f t="shared" si="9"/>
        <v/>
      </c>
    </row>
    <row r="268" spans="1:8" x14ac:dyDescent="0.2">
      <c r="A268" t="s">
        <v>532</v>
      </c>
      <c r="B268" t="s">
        <v>0</v>
      </c>
      <c r="D268" t="s">
        <v>2384</v>
      </c>
      <c r="E268" t="str" cm="1">
        <f t="array" ref="E268">IF(COUNTIF(A:A, "*" &amp; LEFT(D268, FIND(" ", D268 &amp; " ") - 1) &amp; "*") &gt; 0,INDEX(A:A,FuzzyVLookup(D268,A:A,0,,,3)),"Non-PDL")</f>
        <v>FINTEPLA (fenfluramine)</v>
      </c>
      <c r="F268" t="str">
        <f t="shared" si="8"/>
        <v>Non-Preferred</v>
      </c>
      <c r="G268" s="1" cm="1">
        <f t="array" ref="G268">FuzzyPercent(D268,E268,3)</f>
        <v>0.4166666567325592</v>
      </c>
      <c r="H268" t="str">
        <f t="shared" si="9"/>
        <v/>
      </c>
    </row>
    <row r="269" spans="1:8" x14ac:dyDescent="0.2">
      <c r="A269" t="s">
        <v>534</v>
      </c>
      <c r="B269" t="s">
        <v>0</v>
      </c>
      <c r="D269" t="s">
        <v>2385</v>
      </c>
      <c r="E269" t="str" cm="1">
        <f t="array" ref="E269">IF(COUNTIF(A:A, "*" &amp; LEFT(D269, FIND(" ", D269 &amp; " ") - 1) &amp; "*") &gt; 0,INDEX(A:A,FuzzyVLookup(D269,A:A,0,,,3)),"Non-PDL")</f>
        <v>KLARON (sulfacetamide) suspension</v>
      </c>
      <c r="F269" t="str">
        <f t="shared" si="8"/>
        <v>Non-Preferred</v>
      </c>
      <c r="G269" s="1" cm="1">
        <f t="array" ref="G269">FuzzyPercent(D269,E269,3)</f>
        <v>0.2410714328289032</v>
      </c>
      <c r="H269" t="str">
        <f t="shared" si="9"/>
        <v>CHECK</v>
      </c>
    </row>
    <row r="270" spans="1:8" x14ac:dyDescent="0.2">
      <c r="A270" t="s">
        <v>536</v>
      </c>
      <c r="B270" t="s">
        <v>0</v>
      </c>
      <c r="D270" t="s">
        <v>2386</v>
      </c>
      <c r="E270" t="str" cm="1">
        <f t="array" ref="E270">IF(COUNTIF(A:A, "*" &amp; LEFT(D270, FIND(" ", D270 &amp; " ") - 1) &amp; "*") &gt; 0,INDEX(A:A,FuzzyVLookup(D270,A:A,0,,,3)),"Non-PDL")</f>
        <v>FLEQSUVY (baclofen)</v>
      </c>
      <c r="F270" t="str">
        <f t="shared" si="8"/>
        <v>Non-Preferred</v>
      </c>
      <c r="G270" s="1" cm="1">
        <f t="array" ref="G270">FuzzyPercent(D270,E270,3)</f>
        <v>0.5</v>
      </c>
      <c r="H270" t="str">
        <f t="shared" si="9"/>
        <v/>
      </c>
    </row>
    <row r="271" spans="1:8" x14ac:dyDescent="0.2">
      <c r="A271" t="s">
        <v>538</v>
      </c>
      <c r="B271" t="s">
        <v>0</v>
      </c>
      <c r="D271" t="s">
        <v>2387</v>
      </c>
      <c r="E271" t="str" cm="1">
        <f t="array" ref="E271">IF(COUNTIF(A:A, "*" &amp; LEFT(D271, FIND(" ", D271 &amp; " ") - 1) &amp; "*") &gt; 0,INDEX(A:A,FuzzyVLookup(D271,A:A,0,,,3)),"Non-PDL")</f>
        <v>FLOVENT DISKUS (fluticasone)</v>
      </c>
      <c r="F271" t="str">
        <f t="shared" si="8"/>
        <v>Preferred</v>
      </c>
      <c r="G271" s="1" cm="1">
        <f t="array" ref="G271">FuzzyPercent(D271,E271,3)</f>
        <v>0.577464759349823</v>
      </c>
      <c r="H271" t="str">
        <f t="shared" si="9"/>
        <v/>
      </c>
    </row>
    <row r="272" spans="1:8" x14ac:dyDescent="0.2">
      <c r="A272" t="s">
        <v>540</v>
      </c>
      <c r="B272" t="s">
        <v>0</v>
      </c>
      <c r="D272" t="s">
        <v>2388</v>
      </c>
      <c r="E272" t="str" cm="1">
        <f t="array" ref="E272">IF(COUNTIF(A:A, "*" &amp; LEFT(D272, FIND(" ", D272 &amp; " ") - 1) &amp; "*") &gt; 0,INDEX(A:A,FuzzyVLookup(D272,A:A,0,,,3)),"Non-PDL")</f>
        <v>FLOVENT HFA (fluticasone)</v>
      </c>
      <c r="F272" t="str">
        <f t="shared" si="8"/>
        <v>Non-Preferred</v>
      </c>
      <c r="G272" s="1" cm="1">
        <f t="array" ref="G272">FuzzyPercent(D272,E272,3)</f>
        <v>0.5</v>
      </c>
      <c r="H272" t="str">
        <f t="shared" si="9"/>
        <v/>
      </c>
    </row>
    <row r="273" spans="1:8" x14ac:dyDescent="0.2">
      <c r="A273" t="s">
        <v>542</v>
      </c>
      <c r="B273" t="s">
        <v>0</v>
      </c>
      <c r="D273" t="s">
        <v>2389</v>
      </c>
      <c r="E273" t="str" cm="1">
        <f t="array" ref="E273">IF(COUNTIF(A:A, "*" &amp; LEFT(D273, FIND(" ", D273 &amp; " ") - 1) &amp; "*") &gt; 0,INDEX(A:A,FuzzyVLookup(D273,A:A,0,,,3)),"Non-PDL")</f>
        <v>Non-PDL</v>
      </c>
      <c r="F273" t="str">
        <f t="shared" si="8"/>
        <v>Non-PDL</v>
      </c>
      <c r="G273" s="1" cm="1">
        <f t="array" ref="G273">FuzzyPercent(D273,E273,3)</f>
        <v>5.681818351149559E-3</v>
      </c>
      <c r="H273" t="str">
        <f t="shared" si="9"/>
        <v/>
      </c>
    </row>
    <row r="274" spans="1:8" x14ac:dyDescent="0.2">
      <c r="A274" t="s">
        <v>544</v>
      </c>
      <c r="B274" t="s">
        <v>0</v>
      </c>
      <c r="D274" t="s">
        <v>2390</v>
      </c>
      <c r="E274" t="str" cm="1">
        <f t="array" ref="E274">IF(COUNTIF(A:A, "*" &amp; LEFT(D274, FIND(" ", D274 &amp; " ") - 1) &amp; "*") &gt; 0,INDEX(A:A,FuzzyVLookup(D274,A:A,0,,,3)),"Non-PDL")</f>
        <v>Non-PDL</v>
      </c>
      <c r="F274" t="str">
        <f t="shared" si="8"/>
        <v>Non-PDL</v>
      </c>
      <c r="G274" s="1" cm="1">
        <f t="array" ref="G274">FuzzyPercent(D274,E274,3)</f>
        <v>6.2500000931322575E-3</v>
      </c>
      <c r="H274" t="str">
        <f t="shared" si="9"/>
        <v/>
      </c>
    </row>
    <row r="275" spans="1:8" x14ac:dyDescent="0.2">
      <c r="A275" t="s">
        <v>546</v>
      </c>
      <c r="B275" t="s">
        <v>0</v>
      </c>
      <c r="D275" t="s">
        <v>2391</v>
      </c>
      <c r="E275" t="str" cm="1">
        <f t="array" ref="E275">IF(COUNTIF(A:A, "*" &amp; LEFT(D275, FIND(" ", D275 &amp; " ") - 1) &amp; "*") &gt; 0,INDEX(A:A,FuzzyVLookup(D275,A:A,0,,,3)),"Non-PDL")</f>
        <v>Non-PDL</v>
      </c>
      <c r="F275" t="str">
        <f t="shared" si="8"/>
        <v>Non-PDL</v>
      </c>
      <c r="G275" s="1" cm="1">
        <f t="array" ref="G275">FuzzyPercent(D275,E275,3)</f>
        <v>6.6666670143604279E-2</v>
      </c>
      <c r="H275" t="str">
        <f t="shared" si="9"/>
        <v/>
      </c>
    </row>
    <row r="276" spans="1:8" x14ac:dyDescent="0.2">
      <c r="A276" t="s">
        <v>548</v>
      </c>
      <c r="B276" t="s">
        <v>0</v>
      </c>
      <c r="D276" t="s">
        <v>2392</v>
      </c>
      <c r="E276" t="str" cm="1">
        <f t="array" ref="E276">IF(COUNTIF(A:A, "*" &amp; LEFT(D276, FIND(" ", D276 &amp; " ") - 1) &amp; "*") &gt; 0,INDEX(A:A,FuzzyVLookup(D276,A:A,0,,,3)),"Non-PDL")</f>
        <v>fosinopril</v>
      </c>
      <c r="F276" t="str">
        <f t="shared" si="8"/>
        <v>Preferred</v>
      </c>
      <c r="G276" s="1" cm="1">
        <f t="array" ref="G276">FuzzyPercent(D276,E276,3)</f>
        <v>1</v>
      </c>
      <c r="H276" t="str">
        <f t="shared" si="9"/>
        <v/>
      </c>
    </row>
    <row r="277" spans="1:8" x14ac:dyDescent="0.2">
      <c r="A277" t="s">
        <v>550</v>
      </c>
      <c r="B277" t="s">
        <v>0</v>
      </c>
      <c r="D277" t="s">
        <v>2393</v>
      </c>
      <c r="E277" t="str" cm="1">
        <f t="array" ref="E277">IF(COUNTIF(A:A, "*" &amp; LEFT(D277, FIND(" ", D277 &amp; " ") - 1) &amp; "*") &gt; 0,INDEX(A:A,FuzzyVLookup(D277,A:A,0,,,3)),"Non-PDL")</f>
        <v>Non-PDL</v>
      </c>
      <c r="F277" t="str">
        <f t="shared" si="8"/>
        <v>Non-PDL</v>
      </c>
      <c r="G277" s="1" cm="1">
        <f t="array" ref="G277">FuzzyPercent(D277,E277,3)</f>
        <v>0</v>
      </c>
      <c r="H277" t="str">
        <f t="shared" si="9"/>
        <v/>
      </c>
    </row>
    <row r="278" spans="1:8" x14ac:dyDescent="0.2">
      <c r="A278" t="s">
        <v>552</v>
      </c>
      <c r="B278" t="s">
        <v>0</v>
      </c>
      <c r="D278" t="s">
        <v>2394</v>
      </c>
      <c r="E278" t="str" cm="1">
        <f t="array" ref="E278">IF(COUNTIF(A:A, "*" &amp; LEFT(D278, FIND(" ", D278 &amp; " ") - 1) &amp; "*") &gt; 0,INDEX(A:A,FuzzyVLookup(D278,A:A,0,,,3)),"Non-PDL")</f>
        <v>Non-PDL</v>
      </c>
      <c r="F278" t="str">
        <f t="shared" si="8"/>
        <v>Non-PDL</v>
      </c>
      <c r="G278" s="1" cm="1">
        <f t="array" ref="G278">FuzzyPercent(D278,E278,3)</f>
        <v>0</v>
      </c>
      <c r="H278" t="str">
        <f t="shared" si="9"/>
        <v/>
      </c>
    </row>
    <row r="279" spans="1:8" x14ac:dyDescent="0.2">
      <c r="A279" t="s">
        <v>554</v>
      </c>
      <c r="B279" t="s">
        <v>0</v>
      </c>
      <c r="D279" t="s">
        <v>2395</v>
      </c>
      <c r="E279" t="str" cm="1">
        <f t="array" ref="E279">IF(COUNTIF(A:A, "*" &amp; LEFT(D279, FIND(" ", D279 &amp; " ") - 1) &amp; "*") &gt; 0,INDEX(A:A,FuzzyVLookup(D279,A:A,0,,,3)),"Non-PDL")</f>
        <v>Non-PDL</v>
      </c>
      <c r="F279" t="str">
        <f t="shared" si="8"/>
        <v>Non-PDL</v>
      </c>
      <c r="G279" s="1" cm="1">
        <f t="array" ref="G279">FuzzyPercent(D279,E279,3)</f>
        <v>0</v>
      </c>
      <c r="H279" t="str">
        <f t="shared" si="9"/>
        <v/>
      </c>
    </row>
    <row r="280" spans="1:8" x14ac:dyDescent="0.2">
      <c r="A280" t="s">
        <v>556</v>
      </c>
      <c r="B280" t="s">
        <v>0</v>
      </c>
      <c r="D280" t="s">
        <v>2396</v>
      </c>
      <c r="E280" t="str" cm="1">
        <f t="array" ref="E280">IF(COUNTIF(A:A, "*" &amp; LEFT(D280, FIND(" ", D280 &amp; " ") - 1) &amp; "*") &gt; 0,INDEX(A:A,FuzzyVLookup(D280,A:A,0,,,3)),"Non-PDL")</f>
        <v>Non-PDL</v>
      </c>
      <c r="F280" t="str">
        <f t="shared" si="8"/>
        <v>Non-PDL</v>
      </c>
      <c r="G280" s="1" cm="1">
        <f t="array" ref="G280">FuzzyPercent(D280,E280,3)</f>
        <v>5.000000074505806E-2</v>
      </c>
      <c r="H280" t="str">
        <f t="shared" si="9"/>
        <v/>
      </c>
    </row>
    <row r="281" spans="1:8" x14ac:dyDescent="0.2">
      <c r="A281" t="s">
        <v>558</v>
      </c>
      <c r="B281" t="s">
        <v>0</v>
      </c>
      <c r="D281" t="s">
        <v>2397</v>
      </c>
      <c r="E281" t="str" cm="1">
        <f t="array" ref="E281">IF(COUNTIF(A:A, "*" &amp; LEFT(D281, FIND(" ", D281 &amp; " ") - 1) &amp; "*") &gt; 0,INDEX(A:A,FuzzyVLookup(D281,A:A,0,,,3)),"Non-PDL")</f>
        <v>Non-PDL</v>
      </c>
      <c r="F281" t="str">
        <f t="shared" si="8"/>
        <v>Non-PDL</v>
      </c>
      <c r="G281" s="1" cm="1">
        <f t="array" ref="G281">FuzzyPercent(D281,E281,3)</f>
        <v>5.000000074505806E-2</v>
      </c>
      <c r="H281" t="str">
        <f t="shared" si="9"/>
        <v/>
      </c>
    </row>
    <row r="282" spans="1:8" x14ac:dyDescent="0.2">
      <c r="A282" t="s">
        <v>560</v>
      </c>
      <c r="B282" t="s">
        <v>0</v>
      </c>
      <c r="D282" t="s">
        <v>2398</v>
      </c>
      <c r="E282" t="str" cm="1">
        <f t="array" ref="E282">IF(COUNTIF(A:A, "*" &amp; LEFT(D282, FIND(" ", D282 &amp; " ") - 1) &amp; "*") &gt; 0,INDEX(A:A,FuzzyVLookup(D282,A:A,0,,,3)),"Non-PDL")</f>
        <v>FYLNETRA (pegfilgrastim-pbbk)</v>
      </c>
      <c r="F282" t="str">
        <f t="shared" si="8"/>
        <v>Non-Preferred</v>
      </c>
      <c r="G282" s="1" cm="1">
        <f t="array" ref="G282">FuzzyPercent(D282,E282,3)</f>
        <v>0.32520323991775513</v>
      </c>
      <c r="H282" t="str">
        <f t="shared" si="9"/>
        <v/>
      </c>
    </row>
    <row r="283" spans="1:8" x14ac:dyDescent="0.2">
      <c r="A283" t="s">
        <v>562</v>
      </c>
      <c r="B283" t="s">
        <v>0</v>
      </c>
      <c r="D283" t="s">
        <v>2399</v>
      </c>
      <c r="E283" t="str" cm="1">
        <f t="array" ref="E283">IF(COUNTIF(A:A, "*" &amp; LEFT(D283, FIND(" ", D283 &amp; " ") - 1) &amp; "*") &gt; 0,INDEX(A:A,FuzzyVLookup(D283,A:A,0,,,3)),"Non-PDL")</f>
        <v>Non-PDL</v>
      </c>
      <c r="F283" t="str">
        <f t="shared" si="8"/>
        <v>Non-PDL</v>
      </c>
      <c r="G283" s="1" cm="1">
        <f t="array" ref="G283">FuzzyPercent(D283,E283,3)</f>
        <v>5.000000074505806E-2</v>
      </c>
      <c r="H283" t="str">
        <f t="shared" si="9"/>
        <v/>
      </c>
    </row>
    <row r="284" spans="1:8" x14ac:dyDescent="0.2">
      <c r="A284" t="s">
        <v>564</v>
      </c>
      <c r="B284" t="s">
        <v>0</v>
      </c>
      <c r="D284" t="s">
        <v>2400</v>
      </c>
      <c r="E284" t="str" cm="1">
        <f t="array" ref="E284">IF(COUNTIF(A:A, "*" &amp; LEFT(D284, FIND(" ", D284 &amp; " ") - 1) &amp; "*") &gt; 0,INDEX(A:A,FuzzyVLookup(D284,A:A,0,,,3)),"Non-PDL")</f>
        <v>galantamine ER</v>
      </c>
      <c r="F284" t="str">
        <f t="shared" si="8"/>
        <v>Preferred</v>
      </c>
      <c r="G284" s="1" cm="1">
        <f t="array" ref="G284">FuzzyPercent(D284,E284,3)</f>
        <v>0.41379311680793762</v>
      </c>
      <c r="H284" t="str">
        <f t="shared" si="9"/>
        <v/>
      </c>
    </row>
    <row r="285" spans="1:8" x14ac:dyDescent="0.2">
      <c r="A285" t="s">
        <v>566</v>
      </c>
      <c r="B285" t="s">
        <v>0</v>
      </c>
      <c r="D285" t="s">
        <v>2401</v>
      </c>
      <c r="E285" t="str" cm="1">
        <f t="array" ref="E285">IF(COUNTIF(A:A, "*" &amp; LEFT(D285, FIND(" ", D285 &amp; " ") - 1) &amp; "*") &gt; 0,INDEX(A:A,FuzzyVLookup(D285,A:A,0,,,3)),"Non-PDL")</f>
        <v>galantamine ER</v>
      </c>
      <c r="F285" t="str">
        <f t="shared" si="8"/>
        <v>Preferred</v>
      </c>
      <c r="G285" s="1" cm="1">
        <f t="array" ref="G285">FuzzyPercent(D285,E285,3)</f>
        <v>0.60344827175140381</v>
      </c>
      <c r="H285" t="str">
        <f t="shared" si="9"/>
        <v/>
      </c>
    </row>
    <row r="286" spans="1:8" x14ac:dyDescent="0.2">
      <c r="A286" t="s">
        <v>568</v>
      </c>
      <c r="B286" t="s">
        <v>0</v>
      </c>
      <c r="D286" t="s">
        <v>2402</v>
      </c>
      <c r="E286" t="str" cm="1">
        <f t="array" ref="E286">IF(COUNTIF(A:A, "*" &amp; LEFT(D286, FIND(" ", D286 &amp; " ") - 1) &amp; "*") &gt; 0,INDEX(A:A,FuzzyVLookup(D286,A:A,0,,,3)),"Non-PDL")</f>
        <v>galantamine ER</v>
      </c>
      <c r="F286" t="str">
        <f t="shared" si="8"/>
        <v>Preferred</v>
      </c>
      <c r="G286" s="1" cm="1">
        <f t="array" ref="G286">FuzzyPercent(D286,E286,3)</f>
        <v>1</v>
      </c>
      <c r="H286" t="str">
        <f t="shared" si="9"/>
        <v/>
      </c>
    </row>
    <row r="287" spans="1:8" x14ac:dyDescent="0.2">
      <c r="A287" t="s">
        <v>570</v>
      </c>
      <c r="B287" t="s">
        <v>0</v>
      </c>
      <c r="D287" t="s">
        <v>2403</v>
      </c>
      <c r="E287" t="str" cm="1">
        <f t="array" ref="E287">IF(COUNTIF(A:A, "*" &amp; LEFT(D287, FIND(" ", D287 &amp; " ") - 1) &amp; "*") &gt; 0,INDEX(A:A,FuzzyVLookup(D287,A:A,0,,,3)),"Non-PDL")</f>
        <v>Non-PDL</v>
      </c>
      <c r="F287" t="str">
        <f t="shared" si="8"/>
        <v>Non-PDL</v>
      </c>
      <c r="G287" s="1" cm="1">
        <f t="array" ref="G287">FuzzyPercent(D287,E287,3)</f>
        <v>0</v>
      </c>
      <c r="H287" t="str">
        <f t="shared" si="9"/>
        <v/>
      </c>
    </row>
    <row r="288" spans="1:8" x14ac:dyDescent="0.2">
      <c r="A288" t="s">
        <v>572</v>
      </c>
      <c r="B288" t="s">
        <v>0</v>
      </c>
      <c r="D288" t="s">
        <v>2404</v>
      </c>
      <c r="E288" t="str" cm="1">
        <f t="array" ref="E288">IF(COUNTIF(A:A, "*" &amp; LEFT(D288, FIND(" ", D288 &amp; " ") - 1) &amp; "*") &gt; 0,INDEX(A:A,FuzzyVLookup(D288,A:A,0,,,3)),"Non-PDL")</f>
        <v>GAVRETO (pralsetinib)</v>
      </c>
      <c r="F288" t="str">
        <f t="shared" si="8"/>
        <v>Non-Preferred</v>
      </c>
      <c r="G288" s="1" cm="1">
        <f t="array" ref="G288">FuzzyPercent(D288,E288,3)</f>
        <v>0.37209302186965942</v>
      </c>
      <c r="H288" t="str">
        <f t="shared" si="9"/>
        <v/>
      </c>
    </row>
    <row r="289" spans="1:8" x14ac:dyDescent="0.2">
      <c r="A289" t="s">
        <v>574</v>
      </c>
      <c r="B289" t="s">
        <v>0</v>
      </c>
      <c r="D289" t="s">
        <v>2405</v>
      </c>
      <c r="E289" t="str" cm="1">
        <f t="array" ref="E289">IF(COUNTIF(A:A, "*" &amp; LEFT(D289, FIND(" ", D289 &amp; " ") - 1) &amp; "*") &gt; 0,INDEX(A:A,FuzzyVLookup(D289,A:A,0,,,3)),"Non-PDL")</f>
        <v>Non-PDL</v>
      </c>
      <c r="F289" t="str">
        <f t="shared" si="8"/>
        <v>Non-PDL</v>
      </c>
      <c r="G289" s="1" cm="1">
        <f t="array" ref="G289">FuzzyPercent(D289,E289,3)</f>
        <v>7.4074074625968933E-2</v>
      </c>
      <c r="H289" t="str">
        <f t="shared" si="9"/>
        <v/>
      </c>
    </row>
    <row r="290" spans="1:8" x14ac:dyDescent="0.2">
      <c r="A290" t="s">
        <v>576</v>
      </c>
      <c r="B290" t="s">
        <v>0</v>
      </c>
      <c r="D290" t="s">
        <v>2406</v>
      </c>
      <c r="E290" t="str" cm="1">
        <f t="array" ref="E290">IF(COUNTIF(A:A, "*" &amp; LEFT(D290, FIND(" ", D290 &amp; " ") - 1) &amp; "*") &gt; 0,INDEX(A:A,FuzzyVLookup(D290,A:A,0,,,3)),"Non-PDL")</f>
        <v>gentamicin</v>
      </c>
      <c r="F290" t="str">
        <f t="shared" si="8"/>
        <v>Preferred</v>
      </c>
      <c r="G290" s="1" cm="1">
        <f t="array" ref="G290">FuzzyPercent(D290,E290,3)</f>
        <v>0.25581395626068115</v>
      </c>
      <c r="H290" t="str">
        <f t="shared" si="9"/>
        <v>CHECK</v>
      </c>
    </row>
    <row r="291" spans="1:8" x14ac:dyDescent="0.2">
      <c r="A291" t="s">
        <v>578</v>
      </c>
      <c r="B291" t="s">
        <v>0</v>
      </c>
      <c r="D291" t="s">
        <v>2407</v>
      </c>
      <c r="E291" t="str" cm="1">
        <f t="array" ref="E291">IF(COUNTIF(A:A, "*" &amp; LEFT(D291, FIND(" ", D291 &amp; " ") - 1) &amp; "*") &gt; 0,INDEX(A:A,FuzzyVLookup(D291,A:A,0,,,3)),"Non-PDL")</f>
        <v>GEODON (ziprasidone)</v>
      </c>
      <c r="F291" t="str">
        <f t="shared" si="8"/>
        <v>Non-Preferred</v>
      </c>
      <c r="G291" s="1" cm="1">
        <f t="array" ref="G291">FuzzyPercent(D291,E291,3)</f>
        <v>0.34999999403953552</v>
      </c>
      <c r="H291" t="str">
        <f t="shared" si="9"/>
        <v/>
      </c>
    </row>
    <row r="292" spans="1:8" x14ac:dyDescent="0.2">
      <c r="A292" t="s">
        <v>580</v>
      </c>
      <c r="B292" t="s">
        <v>0</v>
      </c>
      <c r="D292" t="s">
        <v>2408</v>
      </c>
      <c r="E292" t="str" cm="1">
        <f t="array" ref="E292">IF(COUNTIF(A:A, "*" &amp; LEFT(D292, FIND(" ", D292 &amp; " ") - 1) &amp; "*") &gt; 0,INDEX(A:A,FuzzyVLookup(D292,A:A,0,,,3)),"Non-PDL")</f>
        <v>GILENYA (fingolimod)</v>
      </c>
      <c r="F292" t="str">
        <f t="shared" si="8"/>
        <v>Non-Preferred</v>
      </c>
      <c r="G292" s="1" cm="1">
        <f t="array" ref="G292">FuzzyPercent(D292,E292,3)</f>
        <v>0.36936935782432556</v>
      </c>
      <c r="H292" t="str">
        <f t="shared" si="9"/>
        <v/>
      </c>
    </row>
    <row r="293" spans="1:8" x14ac:dyDescent="0.2">
      <c r="A293" t="s">
        <v>582</v>
      </c>
      <c r="B293" t="s">
        <v>0</v>
      </c>
      <c r="D293" t="s">
        <v>2409</v>
      </c>
      <c r="E293" t="str" cm="1">
        <f t="array" ref="E293">IF(COUNTIF(A:A, "*" &amp; LEFT(D293, FIND(" ", D293 &amp; " ") - 1) &amp; "*") &gt; 0,INDEX(A:A,FuzzyVLookup(D293,A:A,0,,,3)),"Non-PDL")</f>
        <v>GILOTRIF (afatinib)</v>
      </c>
      <c r="F293" t="str">
        <f t="shared" si="8"/>
        <v>Preferred</v>
      </c>
      <c r="G293" s="1" cm="1">
        <f t="array" ref="G293">FuzzyPercent(D293,E293,3)</f>
        <v>0.5</v>
      </c>
      <c r="H293" t="str">
        <f t="shared" si="9"/>
        <v/>
      </c>
    </row>
    <row r="294" spans="1:8" x14ac:dyDescent="0.2">
      <c r="A294" t="s">
        <v>584</v>
      </c>
      <c r="B294" t="s">
        <v>0</v>
      </c>
      <c r="D294" t="s">
        <v>2410</v>
      </c>
      <c r="E294" t="str" cm="1">
        <f t="array" ref="E294">IF(COUNTIF(A:A, "*" &amp; LEFT(D294, FIND(" ", D294 &amp; " ") - 1) &amp; "*") &gt; 0,INDEX(A:A,FuzzyVLookup(D294,A:A,0,,,3)),"Non-PDL")</f>
        <v>glatiramer</v>
      </c>
      <c r="F294" t="str">
        <f t="shared" si="8"/>
        <v>Non-Preferred</v>
      </c>
      <c r="G294" s="1" cm="1">
        <f t="array" ref="G294">FuzzyPercent(D294,E294,3)</f>
        <v>0.19285714626312256</v>
      </c>
      <c r="H294" t="str">
        <f t="shared" si="9"/>
        <v>CHECK</v>
      </c>
    </row>
    <row r="295" spans="1:8" x14ac:dyDescent="0.2">
      <c r="A295" t="s">
        <v>586</v>
      </c>
      <c r="B295" t="s">
        <v>0</v>
      </c>
      <c r="D295" t="s">
        <v>2411</v>
      </c>
      <c r="E295" t="str" cm="1">
        <f t="array" ref="E295">IF(COUNTIF(A:A, "*" &amp; LEFT(D295, FIND(" ", D295 &amp; " ") - 1) &amp; "*") &gt; 0,INDEX(A:A,FuzzyVLookup(D295,A:A,0,,,3)),"Non-PDL")</f>
        <v>GLATOPA (glatiramer)</v>
      </c>
      <c r="F295" t="str">
        <f t="shared" si="8"/>
        <v>Non-Preferred</v>
      </c>
      <c r="G295" s="1" cm="1">
        <f t="array" ref="G295">FuzzyPercent(D295,E295,3)</f>
        <v>0.32258063554763794</v>
      </c>
      <c r="H295" t="str">
        <f t="shared" si="9"/>
        <v/>
      </c>
    </row>
    <row r="296" spans="1:8" x14ac:dyDescent="0.2">
      <c r="A296" t="s">
        <v>588</v>
      </c>
      <c r="B296" t="s">
        <v>0</v>
      </c>
      <c r="D296" t="s">
        <v>2412</v>
      </c>
      <c r="E296" t="str" cm="1">
        <f t="array" ref="E296">IF(COUNTIF(A:A, "*" &amp; LEFT(D296, FIND(" ", D296 &amp; " ") - 1) &amp; "*") &gt; 0,INDEX(A:A,FuzzyVLookup(D296,A:A,0,,,3)),"Non-PDL")</f>
        <v>GLEEVEC (imatinib)</v>
      </c>
      <c r="F296" t="str">
        <f t="shared" si="8"/>
        <v>Non-Preferred</v>
      </c>
      <c r="G296" s="1" cm="1">
        <f t="array" ref="G296">FuzzyPercent(D296,E296,3)</f>
        <v>0.43243244290351868</v>
      </c>
      <c r="H296" t="str">
        <f t="shared" si="9"/>
        <v/>
      </c>
    </row>
    <row r="297" spans="1:8" x14ac:dyDescent="0.2">
      <c r="A297" t="s">
        <v>590</v>
      </c>
      <c r="B297" t="s">
        <v>0</v>
      </c>
      <c r="D297" t="s">
        <v>2413</v>
      </c>
      <c r="E297" t="str" cm="1">
        <f t="array" ref="E297">IF(COUNTIF(A:A, "*" &amp; LEFT(D297, FIND(" ", D297 &amp; " ") - 1) &amp; "*") &gt; 0,INDEX(A:A,FuzzyVLookup(D297,A:A,0,,,3)),"Non-PDL")</f>
        <v>Granisetron</v>
      </c>
      <c r="F297" t="str">
        <f t="shared" si="8"/>
        <v>Non-Preferred</v>
      </c>
      <c r="G297" s="1" cm="1">
        <f t="array" ref="G297">FuzzyPercent(D297,E297,3)</f>
        <v>0.40000000596046448</v>
      </c>
      <c r="H297" t="str">
        <f t="shared" si="9"/>
        <v/>
      </c>
    </row>
    <row r="298" spans="1:8" x14ac:dyDescent="0.2">
      <c r="A298" t="s">
        <v>592</v>
      </c>
      <c r="B298" t="s">
        <v>0</v>
      </c>
      <c r="D298" t="s">
        <v>2414</v>
      </c>
      <c r="E298" t="str" cm="1">
        <f t="array" ref="E298">IF(COUNTIF(A:A, "*" &amp; LEFT(D298, FIND(" ", D298 &amp; " ") - 1) &amp; "*") &gt; 0,INDEX(A:A,FuzzyVLookup(D298,A:A,0,,,3)),"Non-PDL")</f>
        <v>GRASTEK</v>
      </c>
      <c r="F298" t="str">
        <f t="shared" si="8"/>
        <v>Non-Preferred</v>
      </c>
      <c r="G298" s="1" cm="1">
        <f t="array" ref="G298">FuzzyPercent(D298,E298,3)</f>
        <v>1</v>
      </c>
      <c r="H298" t="str">
        <f t="shared" si="9"/>
        <v/>
      </c>
    </row>
    <row r="299" spans="1:8" x14ac:dyDescent="0.2">
      <c r="A299" t="s">
        <v>594</v>
      </c>
      <c r="B299" t="s">
        <v>0</v>
      </c>
      <c r="D299" t="s">
        <v>2415</v>
      </c>
      <c r="E299" t="str" cm="1">
        <f t="array" ref="E299">IF(COUNTIF(A:A, "*" &amp; LEFT(D299, FIND(" ", D299 &amp; " ") - 1) &amp; "*") &gt; 0,INDEX(A:A,FuzzyVLookup(D299,A:A,0,,,3)),"Non-PDL")</f>
        <v>Non-PDL</v>
      </c>
      <c r="F299" t="str">
        <f t="shared" si="8"/>
        <v>Non-PDL</v>
      </c>
      <c r="G299" s="1" cm="1">
        <f t="array" ref="G299">FuzzyPercent(D299,E299,3)</f>
        <v>5.000000074505806E-2</v>
      </c>
      <c r="H299" t="str">
        <f t="shared" si="9"/>
        <v/>
      </c>
    </row>
    <row r="300" spans="1:8" x14ac:dyDescent="0.2">
      <c r="A300" t="s">
        <v>596</v>
      </c>
      <c r="B300" t="s">
        <v>0</v>
      </c>
      <c r="D300" t="s">
        <v>2416</v>
      </c>
      <c r="E300" t="str" cm="1">
        <f t="array" ref="E300">IF(COUNTIF(A:A, "*" &amp; LEFT(D300, FIND(" ", D300 &amp; " ") - 1) &amp; "*") &gt; 0,INDEX(A:A,FuzzyVLookup(D300,A:A,0,,,3)),"Non-PDL")</f>
        <v>HADLIMA (adalimumab-bwwd)</v>
      </c>
      <c r="F300" t="str">
        <f t="shared" si="8"/>
        <v>Non-Preferred</v>
      </c>
      <c r="G300" s="1" cm="1">
        <f t="array" ref="G300">FuzzyPercent(D300,E300,3)</f>
        <v>0.31067961454391479</v>
      </c>
      <c r="H300" t="str">
        <f t="shared" si="9"/>
        <v/>
      </c>
    </row>
    <row r="301" spans="1:8" x14ac:dyDescent="0.2">
      <c r="A301" t="s">
        <v>598</v>
      </c>
      <c r="B301" t="s">
        <v>0</v>
      </c>
      <c r="D301" t="s">
        <v>2417</v>
      </c>
      <c r="E301" t="str" cm="1">
        <f t="array" ref="E301">IF(COUNTIF(A:A, "*" &amp; LEFT(D301, FIND(" ", D301 &amp; " ") - 1) &amp; "*") &gt; 0,INDEX(A:A,FuzzyVLookup(D301,A:A,0,,,3)),"Non-PDL")</f>
        <v>halcinonide</v>
      </c>
      <c r="F301" t="str">
        <f t="shared" si="8"/>
        <v>Non-Preferred</v>
      </c>
      <c r="G301" s="1" cm="1">
        <f t="array" ref="G301">FuzzyPercent(D301,E301,3)</f>
        <v>0.28888890147209167</v>
      </c>
      <c r="H301" t="str">
        <f t="shared" si="9"/>
        <v>CHECK</v>
      </c>
    </row>
    <row r="302" spans="1:8" x14ac:dyDescent="0.2">
      <c r="A302" t="s">
        <v>600</v>
      </c>
      <c r="B302" t="s">
        <v>0</v>
      </c>
      <c r="D302" t="s">
        <v>2418</v>
      </c>
      <c r="E302" t="str" cm="1">
        <f t="array" ref="E302">IF(COUNTIF(A:A, "*" &amp; LEFT(D302, FIND(" ", D302 &amp; " ") - 1) &amp; "*") &gt; 0,INDEX(A:A,FuzzyVLookup(D302,A:A,0,,,3)),"Non-PDL")</f>
        <v>Non-PDL</v>
      </c>
      <c r="F302" t="str">
        <f t="shared" si="8"/>
        <v>Non-PDL</v>
      </c>
      <c r="G302" s="1" cm="1">
        <f t="array" ref="G302">FuzzyPercent(D302,E302,3)</f>
        <v>6.25E-2</v>
      </c>
      <c r="H302" t="str">
        <f t="shared" si="9"/>
        <v/>
      </c>
    </row>
    <row r="303" spans="1:8" x14ac:dyDescent="0.2">
      <c r="A303" t="s">
        <v>602</v>
      </c>
      <c r="B303" t="s">
        <v>0</v>
      </c>
      <c r="D303" t="s">
        <v>2419</v>
      </c>
      <c r="E303" t="str" cm="1">
        <f t="array" ref="E303">IF(COUNTIF(A:A, "*" &amp; LEFT(D303, FIND(" ", D303 &amp; " ") - 1) &amp; "*") &gt; 0,INDEX(A:A,FuzzyVLookup(D303,A:A,0,,,3)),"Non-PDL")</f>
        <v>HEMANGEOL (propranolol)</v>
      </c>
      <c r="F303" t="str">
        <f t="shared" si="8"/>
        <v>Preferred</v>
      </c>
      <c r="G303" s="1" cm="1">
        <f t="array" ref="G303">FuzzyPercent(D303,E303,3)</f>
        <v>0.46464645862579346</v>
      </c>
      <c r="H303" t="str">
        <f t="shared" si="9"/>
        <v/>
      </c>
    </row>
    <row r="304" spans="1:8" x14ac:dyDescent="0.2">
      <c r="A304" t="s">
        <v>604</v>
      </c>
      <c r="B304" t="s">
        <v>0</v>
      </c>
      <c r="D304" t="s">
        <v>2420</v>
      </c>
      <c r="E304" t="str" cm="1">
        <f t="array" ref="E304">IF(COUNTIF(A:A, "*" &amp; LEFT(D304, FIND(" ", D304 &amp; " ") - 1) &amp; "*") &gt; 0,INDEX(A:A,FuzzyVLookup(D304,A:A,0,,,3)),"Non-PDL")</f>
        <v>Non-PDL</v>
      </c>
      <c r="F304" t="str">
        <f t="shared" si="8"/>
        <v>Non-PDL</v>
      </c>
      <c r="G304" s="1" cm="1">
        <f t="array" ref="G304">FuzzyPercent(D304,E304,3)</f>
        <v>0</v>
      </c>
      <c r="H304" t="str">
        <f t="shared" si="9"/>
        <v/>
      </c>
    </row>
    <row r="305" spans="1:8" x14ac:dyDescent="0.2">
      <c r="A305" t="s">
        <v>606</v>
      </c>
      <c r="B305" t="s">
        <v>0</v>
      </c>
      <c r="D305" t="s">
        <v>2421</v>
      </c>
      <c r="E305" t="str" cm="1">
        <f t="array" ref="E305">IF(COUNTIF(A:A, "*" &amp; LEFT(D305, FIND(" ", D305 &amp; " ") - 1) &amp; "*") &gt; 0,INDEX(A:A,FuzzyVLookup(D305,A:A,0,,,3)),"Non-PDL")</f>
        <v>HEMLIBRA (emicizumab-kxwh) DUR+</v>
      </c>
      <c r="F305" t="str">
        <f t="shared" si="8"/>
        <v>Preferred</v>
      </c>
      <c r="G305" s="1" cm="1">
        <f t="array" ref="G305">FuzzyPercent(D305,E305,3)</f>
        <v>0.30075186491012573</v>
      </c>
      <c r="H305" t="str">
        <f t="shared" si="9"/>
        <v/>
      </c>
    </row>
    <row r="306" spans="1:8" x14ac:dyDescent="0.2">
      <c r="A306" t="s">
        <v>608</v>
      </c>
      <c r="B306" t="s">
        <v>0</v>
      </c>
      <c r="D306" t="s">
        <v>2422</v>
      </c>
      <c r="E306" t="str" cm="1">
        <f t="array" ref="E306">IF(COUNTIF(A:A, "*" &amp; LEFT(D306, FIND(" ", D306 &amp; " ") - 1) &amp; "*") &gt; 0,INDEX(A:A,FuzzyVLookup(D306,A:A,0,,,3)),"Non-PDL")</f>
        <v>Non-PDL</v>
      </c>
      <c r="F306" t="str">
        <f t="shared" si="8"/>
        <v>Non-PDL</v>
      </c>
      <c r="G306" s="1" cm="1">
        <f t="array" ref="G306">FuzzyPercent(D306,E306,3)</f>
        <v>6.25E-2</v>
      </c>
      <c r="H306" t="str">
        <f t="shared" si="9"/>
        <v/>
      </c>
    </row>
    <row r="307" spans="1:8" x14ac:dyDescent="0.2">
      <c r="A307" t="s">
        <v>610</v>
      </c>
      <c r="B307" t="s">
        <v>0</v>
      </c>
      <c r="D307" t="s">
        <v>2423</v>
      </c>
      <c r="E307" t="str" cm="1">
        <f t="array" ref="E307">IF(COUNTIF(A:A, "*" &amp; LEFT(D307, FIND(" ", D307 &amp; " ") - 1) &amp; "*") &gt; 0,INDEX(A:A,FuzzyVLookup(D307,A:A,0,,,3)),"Non-PDL")</f>
        <v>Non-PDL</v>
      </c>
      <c r="F307" t="str">
        <f t="shared" si="8"/>
        <v>Non-PDL</v>
      </c>
      <c r="G307" s="1" cm="1">
        <f t="array" ref="G307">FuzzyPercent(D307,E307,3)</f>
        <v>0</v>
      </c>
      <c r="H307" t="str">
        <f t="shared" si="9"/>
        <v/>
      </c>
    </row>
    <row r="308" spans="1:8" x14ac:dyDescent="0.2">
      <c r="A308" t="s">
        <v>612</v>
      </c>
      <c r="B308" t="s">
        <v>0</v>
      </c>
      <c r="D308" t="s">
        <v>2424</v>
      </c>
      <c r="E308" t="str" cm="1">
        <f t="array" ref="E308">IF(COUNTIF(A:A, "*" &amp; LEFT(D308, FIND(" ", D308 &amp; " ") - 1) &amp; "*") &gt; 0,INDEX(A:A,FuzzyVLookup(D308,A:A,0,,,3)),"Non-PDL")</f>
        <v>rizatriptan</v>
      </c>
      <c r="F308" t="str">
        <f t="shared" si="8"/>
        <v>Preferred</v>
      </c>
      <c r="G308" s="1" cm="1">
        <f t="array" ref="G308">FuzzyPercent(D308,E308,3)</f>
        <v>0.32653060555458069</v>
      </c>
      <c r="H308" t="str">
        <f t="shared" si="9"/>
        <v/>
      </c>
    </row>
    <row r="309" spans="1:8" x14ac:dyDescent="0.2">
      <c r="A309" t="s">
        <v>614</v>
      </c>
      <c r="B309" t="s">
        <v>0</v>
      </c>
      <c r="D309" t="s">
        <v>2425</v>
      </c>
      <c r="E309" t="str" cm="1">
        <f t="array" ref="E309">IF(COUNTIF(A:A, "*" &amp; LEFT(D309, FIND(" ", D309 &amp; " ") - 1) &amp; "*") &gt; 0,INDEX(A:A,FuzzyVLookup(D309,A:A,0,,,3)),"Non-PDL")</f>
        <v>HULIO (adalimumab-fkjp)</v>
      </c>
      <c r="F309" t="str">
        <f t="shared" si="8"/>
        <v>Non-Preferred</v>
      </c>
      <c r="G309" s="1" cm="1">
        <f t="array" ref="G309">FuzzyPercent(D309,E309,3)</f>
        <v>0.27184465527534485</v>
      </c>
      <c r="H309" t="str">
        <f t="shared" si="9"/>
        <v>CHECK</v>
      </c>
    </row>
    <row r="310" spans="1:8" x14ac:dyDescent="0.2">
      <c r="A310" t="s">
        <v>616</v>
      </c>
      <c r="B310" t="s">
        <v>0</v>
      </c>
      <c r="D310" t="s">
        <v>2426</v>
      </c>
      <c r="E310" t="str" cm="1">
        <f t="array" ref="E310">IF(COUNTIF(A:A, "*" &amp; LEFT(D310, FIND(" ", D310 &amp; " ") - 1) &amp; "*") &gt; 0,INDEX(A:A,FuzzyVLookup(D310,A:A,0,,,3)),"Non-PDL")</f>
        <v>HUMALOG (insulin lispro)</v>
      </c>
      <c r="F310" t="str">
        <f t="shared" si="8"/>
        <v>Non-Preferred</v>
      </c>
      <c r="G310" s="1" cm="1">
        <f t="array" ref="G310">FuzzyPercent(D310,E310,3)</f>
        <v>0.36134454607963562</v>
      </c>
      <c r="H310" t="str">
        <f t="shared" si="9"/>
        <v/>
      </c>
    </row>
    <row r="311" spans="1:8" x14ac:dyDescent="0.2">
      <c r="A311" t="s">
        <v>618</v>
      </c>
      <c r="B311" t="s">
        <v>0</v>
      </c>
      <c r="D311" t="s">
        <v>2427</v>
      </c>
      <c r="E311" t="str" cm="1">
        <f t="array" ref="E311">IF(COUNTIF(A:A, "*" &amp; LEFT(D311, FIND(" ", D311 &amp; " ") - 1) &amp; "*") &gt; 0,INDEX(A:A,FuzzyVLookup(D311,A:A,0,,,3)),"Non-PDL")</f>
        <v>HUMALOG JUNIOR, KWIKPEN, TEMPO PEN (insulin lispro)</v>
      </c>
      <c r="F311" t="str">
        <f t="shared" si="8"/>
        <v>Non-Preferred</v>
      </c>
      <c r="G311" s="1" cm="1">
        <f t="array" ref="G311">FuzzyPercent(D311,E311,3)</f>
        <v>0.37543860077857971</v>
      </c>
      <c r="H311" t="str">
        <f t="shared" si="9"/>
        <v/>
      </c>
    </row>
    <row r="312" spans="1:8" x14ac:dyDescent="0.2">
      <c r="A312" t="s">
        <v>620</v>
      </c>
      <c r="B312" t="s">
        <v>0</v>
      </c>
      <c r="D312" t="s">
        <v>2428</v>
      </c>
      <c r="E312" t="str" cm="1">
        <f t="array" ref="E312">IF(COUNTIF(A:A, "*" &amp; LEFT(D312, FIND(" ", D312 &amp; " ") - 1) &amp; "*") &gt; 0,INDEX(A:A,FuzzyVLookup(D312,A:A,0,,,3)),"Non-PDL")</f>
        <v>HUMALOG (insulin lispro)</v>
      </c>
      <c r="F312" t="str">
        <f t="shared" si="8"/>
        <v>Non-Preferred</v>
      </c>
      <c r="G312" s="1" cm="1">
        <f t="array" ref="G312">FuzzyPercent(D312,E312,3)</f>
        <v>0.27848100662231445</v>
      </c>
      <c r="H312" t="str">
        <f t="shared" si="9"/>
        <v>CHECK</v>
      </c>
    </row>
    <row r="313" spans="1:8" x14ac:dyDescent="0.2">
      <c r="A313" t="s">
        <v>622</v>
      </c>
      <c r="B313" t="s">
        <v>0</v>
      </c>
      <c r="D313" t="s">
        <v>2429</v>
      </c>
      <c r="E313" t="str" cm="1">
        <f t="array" ref="E313">IF(COUNTIF(A:A, "*" &amp; LEFT(D313, FIND(" ", D313 &amp; " ") - 1) &amp; "*") &gt; 0,INDEX(A:A,FuzzyVLookup(D313,A:A,0,,,3)),"Non-PDL")</f>
        <v>HUMATE-P</v>
      </c>
      <c r="F313" t="str">
        <f t="shared" si="8"/>
        <v>Preferred</v>
      </c>
      <c r="G313" s="1" cm="1">
        <f t="array" ref="G313">FuzzyPercent(D313,E313,3)</f>
        <v>0.47826087474822998</v>
      </c>
      <c r="H313" t="str">
        <f t="shared" si="9"/>
        <v/>
      </c>
    </row>
    <row r="314" spans="1:8" x14ac:dyDescent="0.2">
      <c r="A314" t="s">
        <v>624</v>
      </c>
      <c r="B314" t="s">
        <v>0</v>
      </c>
      <c r="D314" t="s">
        <v>2430</v>
      </c>
      <c r="E314" t="str" cm="1">
        <f t="array" ref="E314">IF(COUNTIF(A:A, "*" &amp; LEFT(D314, FIND(" ", D314 &amp; " ") - 1) &amp; "*") &gt; 0,INDEX(A:A,FuzzyVLookup(D314,A:A,0,,,3)),"Non-PDL")</f>
        <v>fentanyl citrate</v>
      </c>
      <c r="F314" t="str">
        <f t="shared" si="8"/>
        <v>Non-Preferred</v>
      </c>
      <c r="G314" s="1" cm="1">
        <f t="array" ref="G314">FuzzyPercent(D314,E314,3)</f>
        <v>0.19540229439735413</v>
      </c>
      <c r="H314" t="str">
        <f t="shared" si="9"/>
        <v>CHECK</v>
      </c>
    </row>
    <row r="315" spans="1:8" x14ac:dyDescent="0.2">
      <c r="A315" t="s">
        <v>626</v>
      </c>
      <c r="B315" t="s">
        <v>0</v>
      </c>
      <c r="D315" t="s">
        <v>2431</v>
      </c>
      <c r="E315" t="str" cm="1">
        <f t="array" ref="E315">IF(COUNTIF(A:A, "*" &amp; LEFT(D315, FIND(" ", D315 &amp; " ") - 1) &amp; "*") &gt; 0,INDEX(A:A,FuzzyVLookup(D315,A:A,0,,,3)),"Non-PDL")</f>
        <v>HUMIRA (adalimumab)</v>
      </c>
      <c r="F315" t="str">
        <f t="shared" si="8"/>
        <v>Preferred</v>
      </c>
      <c r="G315" s="1" cm="1">
        <f t="array" ref="G315">FuzzyPercent(D315,E315,3)</f>
        <v>0.35238096117973328</v>
      </c>
      <c r="H315" t="str">
        <f t="shared" si="9"/>
        <v/>
      </c>
    </row>
    <row r="316" spans="1:8" x14ac:dyDescent="0.2">
      <c r="A316" t="s">
        <v>628</v>
      </c>
      <c r="B316" t="s">
        <v>0</v>
      </c>
      <c r="D316" t="s">
        <v>2432</v>
      </c>
      <c r="E316" t="str" cm="1">
        <f t="array" ref="E316">IF(COUNTIF(A:A, "*" &amp; LEFT(D316, FIND(" ", D316 &amp; " ") - 1) &amp; "*") &gt; 0,INDEX(A:A,FuzzyVLookup(D316,A:A,0,,,3)),"Non-PDL")</f>
        <v>Non-PDL</v>
      </c>
      <c r="F316" t="str">
        <f t="shared" si="8"/>
        <v>Non-PDL</v>
      </c>
      <c r="G316" s="1" cm="1">
        <f t="array" ref="G316">FuzzyPercent(D316,E316,3)</f>
        <v>0</v>
      </c>
      <c r="H316" t="str">
        <f t="shared" si="9"/>
        <v/>
      </c>
    </row>
    <row r="317" spans="1:8" x14ac:dyDescent="0.2">
      <c r="A317" t="s">
        <v>630</v>
      </c>
      <c r="B317" t="s">
        <v>0</v>
      </c>
      <c r="D317" t="s">
        <v>2433</v>
      </c>
      <c r="E317" t="str" cm="1">
        <f t="array" ref="E317">IF(COUNTIF(A:A, "*" &amp; LEFT(D317, FIND(" ", D317 &amp; " ") - 1) &amp; "*") &gt; 0,INDEX(A:A,FuzzyVLookup(D317,A:A,0,,,3)),"Non-PDL")</f>
        <v>Non-PDL</v>
      </c>
      <c r="F317" t="str">
        <f t="shared" si="8"/>
        <v>Non-PDL</v>
      </c>
      <c r="G317" s="1" cm="1">
        <f t="array" ref="G317">FuzzyPercent(D317,E317,3)</f>
        <v>0</v>
      </c>
      <c r="H317" t="str">
        <f t="shared" si="9"/>
        <v/>
      </c>
    </row>
    <row r="318" spans="1:8" x14ac:dyDescent="0.2">
      <c r="A318" t="s">
        <v>632</v>
      </c>
      <c r="B318" t="s">
        <v>0</v>
      </c>
      <c r="D318" t="s">
        <v>2434</v>
      </c>
      <c r="E318" t="str" cm="1">
        <f t="array" ref="E318">IF(COUNTIF(A:A, "*" &amp; LEFT(D318, FIND(" ", D318 &amp; " ") - 1) &amp; "*") &gt; 0,INDEX(A:A,FuzzyVLookup(D318,A:A,0,,,3)),"Non-PDL")</f>
        <v>HYRIMOZ (adalimumab-adaz)</v>
      </c>
      <c r="F318" t="str">
        <f t="shared" si="8"/>
        <v>Non-Preferred</v>
      </c>
      <c r="G318" s="1" cm="1">
        <f t="array" ref="G318">FuzzyPercent(D318,E318,3)</f>
        <v>0.33064517378807068</v>
      </c>
      <c r="H318" t="str">
        <f t="shared" si="9"/>
        <v/>
      </c>
    </row>
    <row r="319" spans="1:8" x14ac:dyDescent="0.2">
      <c r="A319" t="s">
        <v>634</v>
      </c>
      <c r="B319" t="s">
        <v>0</v>
      </c>
      <c r="D319" t="s">
        <v>2435</v>
      </c>
      <c r="E319" t="str" cm="1">
        <f t="array" ref="E319">IF(COUNTIF(A:A, "*" &amp; LEFT(D319, FIND(" ", D319 &amp; " ") - 1) &amp; "*") &gt; 0,INDEX(A:A,FuzzyVLookup(D319,A:A,0,,,3)),"Non-PDL")</f>
        <v>HYRIMOZ (adalimumab-adaz)</v>
      </c>
      <c r="F319" t="str">
        <f t="shared" si="8"/>
        <v>Non-Preferred</v>
      </c>
      <c r="G319" s="1" cm="1">
        <f t="array" ref="G319">FuzzyPercent(D319,E319,3)</f>
        <v>0.31067961454391479</v>
      </c>
      <c r="H319" t="str">
        <f t="shared" si="9"/>
        <v/>
      </c>
    </row>
    <row r="320" spans="1:8" x14ac:dyDescent="0.2">
      <c r="A320" t="s">
        <v>636</v>
      </c>
      <c r="B320" t="s">
        <v>0</v>
      </c>
      <c r="D320" t="s">
        <v>2436</v>
      </c>
      <c r="E320" t="str" cm="1">
        <f t="array" ref="E320">IF(COUNTIF(A:A, "*" &amp; LEFT(D320, FIND(" ", D320 &amp; " ") - 1) &amp; "*") &gt; 0,INDEX(A:A,FuzzyVLookup(D320,A:A,0,,,3)),"Non-PDL")</f>
        <v>IBRANCE (palbociclib)</v>
      </c>
      <c r="F320" t="str">
        <f t="shared" si="8"/>
        <v>Non-Preferred</v>
      </c>
      <c r="G320" s="1" cm="1">
        <f t="array" ref="G320">FuzzyPercent(D320,E320,3)</f>
        <v>0.37209302186965942</v>
      </c>
      <c r="H320" t="str">
        <f t="shared" si="9"/>
        <v/>
      </c>
    </row>
    <row r="321" spans="1:8" x14ac:dyDescent="0.2">
      <c r="A321" t="s">
        <v>638</v>
      </c>
      <c r="B321" t="s">
        <v>0</v>
      </c>
      <c r="D321" t="s">
        <v>2437</v>
      </c>
      <c r="E321" t="str" cm="1">
        <f t="array" ref="E321">IF(COUNTIF(A:A, "*" &amp; LEFT(D321, FIND(" ", D321 &amp; " ") - 1) &amp; "*") &gt; 0,INDEX(A:A,FuzzyVLookup(D321,A:A,0,,,3)),"Non-PDL")</f>
        <v>ICLUSIG (ponatinib)</v>
      </c>
      <c r="F321" t="str">
        <f t="shared" si="8"/>
        <v>Preferred</v>
      </c>
      <c r="G321" s="1" cm="1">
        <f t="array" ref="G321">FuzzyPercent(D321,E321,3)</f>
        <v>0.42105263471603394</v>
      </c>
      <c r="H321" t="str">
        <f t="shared" si="9"/>
        <v/>
      </c>
    </row>
    <row r="322" spans="1:8" x14ac:dyDescent="0.2">
      <c r="A322" t="s">
        <v>640</v>
      </c>
      <c r="B322" t="s">
        <v>0</v>
      </c>
      <c r="D322" t="s">
        <v>2438</v>
      </c>
      <c r="E322" t="str" cm="1">
        <f t="array" ref="E322">IF(COUNTIF(A:A, "*" &amp; LEFT(D322, FIND(" ", D322 &amp; " ") - 1) &amp; "*") &gt; 0,INDEX(A:A,FuzzyVLookup(D322,A:A,0,,,3)),"Non-PDL")</f>
        <v>IDACIO (adalimumab-aacf)</v>
      </c>
      <c r="F322" t="str">
        <f t="shared" si="8"/>
        <v>Non-Preferred</v>
      </c>
      <c r="G322" s="1" cm="1">
        <f t="array" ref="G322">FuzzyPercent(D322,E322,3)</f>
        <v>0.28571429848670959</v>
      </c>
      <c r="H322" t="str">
        <f t="shared" si="9"/>
        <v>CHECK</v>
      </c>
    </row>
    <row r="323" spans="1:8" x14ac:dyDescent="0.2">
      <c r="A323" t="s">
        <v>642</v>
      </c>
      <c r="B323" t="s">
        <v>0</v>
      </c>
      <c r="D323" t="s">
        <v>2439</v>
      </c>
      <c r="E323" t="str" cm="1">
        <f t="array" ref="E323">IF(COUNTIF(A:A, "*" &amp; LEFT(D323, FIND(" ", D323 &amp; " ") - 1) &amp; "*") &gt; 0,INDEX(A:A,FuzzyVLookup(D323,A:A,0,,,3)),"Non-PDL")</f>
        <v>IDELVION</v>
      </c>
      <c r="F323" t="str">
        <f t="shared" ref="F323:F386" si="10">_xlfn.IFNA(_xlfn.XLOOKUP(E323,A:A,B:B),"Non-PDL")</f>
        <v>Preferred</v>
      </c>
      <c r="G323" s="1" cm="1">
        <f t="array" ref="G323">FuzzyPercent(D323,E323,3)</f>
        <v>1</v>
      </c>
      <c r="H323" t="str">
        <f t="shared" ref="H323:H386" si="11">IF(F323="Non-PDL","",IF(G323&lt;0.3,"CHECK",""))</f>
        <v/>
      </c>
    </row>
    <row r="324" spans="1:8" x14ac:dyDescent="0.2">
      <c r="A324" t="s">
        <v>644</v>
      </c>
      <c r="B324" t="s">
        <v>0</v>
      </c>
      <c r="D324" t="s">
        <v>2440</v>
      </c>
      <c r="E324" t="str" cm="1">
        <f t="array" ref="E324">IF(COUNTIF(A:A, "*" &amp; LEFT(D324, FIND(" ", D324 &amp; " ") - 1) &amp; "*") &gt; 0,INDEX(A:A,FuzzyVLookup(D324,A:A,0,,,3)),"Non-PDL")</f>
        <v>Non-PDL</v>
      </c>
      <c r="F324" t="str">
        <f t="shared" si="10"/>
        <v>Non-PDL</v>
      </c>
      <c r="G324" s="1" cm="1">
        <f t="array" ref="G324">FuzzyPercent(D324,E324,3)</f>
        <v>0</v>
      </c>
      <c r="H324" t="str">
        <f t="shared" si="11"/>
        <v/>
      </c>
    </row>
    <row r="325" spans="1:8" x14ac:dyDescent="0.2">
      <c r="A325" t="s">
        <v>646</v>
      </c>
      <c r="B325" t="s">
        <v>0</v>
      </c>
      <c r="D325" t="s">
        <v>2441</v>
      </c>
      <c r="E325" t="str" cm="1">
        <f t="array" ref="E325">IF(COUNTIF(A:A, "*" &amp; LEFT(D325, FIND(" ", D325 &amp; " ") - 1) &amp; "*") &gt; 0,INDEX(A:A,FuzzyVLookup(D325,A:A,0,,,3)),"Non-PDL")</f>
        <v>WILATE</v>
      </c>
      <c r="F325" t="str">
        <f t="shared" si="10"/>
        <v>Preferred</v>
      </c>
      <c r="G325" s="1" cm="1">
        <f t="array" ref="G325">FuzzyPercent(D325,E325,3)</f>
        <v>0.3571428656578064</v>
      </c>
      <c r="H325" t="str">
        <f t="shared" si="11"/>
        <v/>
      </c>
    </row>
    <row r="326" spans="1:8" x14ac:dyDescent="0.2">
      <c r="A326" t="s">
        <v>648</v>
      </c>
      <c r="B326" t="s">
        <v>0</v>
      </c>
      <c r="D326" t="s">
        <v>2442</v>
      </c>
      <c r="E326" t="str" cm="1">
        <f t="array" ref="E326">IF(COUNTIF(A:A, "*" &amp; LEFT(D326, FIND(" ", D326 &amp; " ") - 1) &amp; "*") &gt; 0,INDEX(A:A,FuzzyVLookup(D326,A:A,0,,,3)),"Non-PDL")</f>
        <v>paroxetine suspension, capsule</v>
      </c>
      <c r="F326" t="str">
        <f t="shared" si="10"/>
        <v>Non-Preferred</v>
      </c>
      <c r="G326" s="1" cm="1">
        <f t="array" ref="G326">FuzzyPercent(D326,E326,3)</f>
        <v>0.24528302252292633</v>
      </c>
      <c r="H326" t="str">
        <f t="shared" si="11"/>
        <v>CHECK</v>
      </c>
    </row>
    <row r="327" spans="1:8" x14ac:dyDescent="0.2">
      <c r="A327" t="s">
        <v>650</v>
      </c>
      <c r="B327" t="s">
        <v>0</v>
      </c>
      <c r="D327" t="s">
        <v>2443</v>
      </c>
      <c r="E327" t="str" cm="1">
        <f t="array" ref="E327">IF(COUNTIF(A:A, "*" &amp; LEFT(D327, FIND(" ", D327 &amp; " ") - 1) &amp; "*") &gt; 0,INDEX(A:A,FuzzyVLookup(D327,A:A,0,,,3)),"Non-PDL")</f>
        <v>imatinib</v>
      </c>
      <c r="F327" t="str">
        <f t="shared" si="10"/>
        <v>Preferred</v>
      </c>
      <c r="G327" s="1" cm="1">
        <f t="array" ref="G327">FuzzyPercent(D327,E327,3)</f>
        <v>1</v>
      </c>
      <c r="H327" t="str">
        <f t="shared" si="11"/>
        <v/>
      </c>
    </row>
    <row r="328" spans="1:8" x14ac:dyDescent="0.2">
      <c r="A328" t="s">
        <v>652</v>
      </c>
      <c r="B328" t="s">
        <v>0</v>
      </c>
      <c r="D328" t="s">
        <v>2444</v>
      </c>
      <c r="E328" t="str" cm="1">
        <f t="array" ref="E328">IF(COUNTIF(A:A, "*" &amp; LEFT(D328, FIND(" ", D328 &amp; " ") - 1) &amp; "*") &gt; 0,INDEX(A:A,FuzzyVLookup(D328,A:A,0,,,3)),"Non-PDL")</f>
        <v>IMBRUVICA (ibrutinib)</v>
      </c>
      <c r="F328" t="str">
        <f t="shared" si="10"/>
        <v>Preferred</v>
      </c>
      <c r="G328" s="1" cm="1">
        <f t="array" ref="G328">FuzzyPercent(D328,E328,3)</f>
        <v>0.49462366104125977</v>
      </c>
      <c r="H328" t="str">
        <f t="shared" si="11"/>
        <v/>
      </c>
    </row>
    <row r="329" spans="1:8" x14ac:dyDescent="0.2">
      <c r="A329" t="s">
        <v>654</v>
      </c>
      <c r="B329" t="s">
        <v>0</v>
      </c>
      <c r="D329" t="s">
        <v>2445</v>
      </c>
      <c r="E329" t="str" cm="1">
        <f t="array" ref="E329">IF(COUNTIF(A:A, "*" &amp; LEFT(D329, FIND(" ", D329 &amp; " ") - 1) &amp; "*") &gt; 0,INDEX(A:A,FuzzyVLookup(D329,A:A,0,,,3)),"Non-PDL")</f>
        <v>Non-PDL</v>
      </c>
      <c r="F329" t="str">
        <f t="shared" si="10"/>
        <v>Non-PDL</v>
      </c>
      <c r="G329" s="1" cm="1">
        <f t="array" ref="G329">FuzzyPercent(D329,E329,3)</f>
        <v>0</v>
      </c>
      <c r="H329" t="str">
        <f t="shared" si="11"/>
        <v/>
      </c>
    </row>
    <row r="330" spans="1:8" x14ac:dyDescent="0.2">
      <c r="A330" t="s">
        <v>656</v>
      </c>
      <c r="B330" t="s">
        <v>0</v>
      </c>
      <c r="D330" t="s">
        <v>2446</v>
      </c>
      <c r="E330" t="str" cm="1">
        <f t="array" ref="E330">IF(COUNTIF(A:A, "*" &amp; LEFT(D330, FIND(" ", D330 &amp; " ") - 1) &amp; "*") &gt; 0,INDEX(A:A,FuzzyVLookup(D330,A:A,0,,,3)),"Non-PDL")</f>
        <v>Non-PDL</v>
      </c>
      <c r="F330" t="str">
        <f t="shared" si="10"/>
        <v>Non-PDL</v>
      </c>
      <c r="G330" s="1" cm="1">
        <f t="array" ref="G330">FuzzyPercent(D330,E330,3)</f>
        <v>3.3333335071802139E-2</v>
      </c>
      <c r="H330" t="str">
        <f t="shared" si="11"/>
        <v/>
      </c>
    </row>
    <row r="331" spans="1:8" x14ac:dyDescent="0.2">
      <c r="A331" t="s">
        <v>658</v>
      </c>
      <c r="B331" t="s">
        <v>0</v>
      </c>
      <c r="D331" t="s">
        <v>2447</v>
      </c>
      <c r="E331" t="str" cm="1">
        <f t="array" ref="E331">IF(COUNTIF(A:A, "*" &amp; LEFT(D331, FIND(" ", D331 &amp; " ") - 1) &amp; "*") &gt; 0,INDEX(A:A,FuzzyVLookup(D331,A:A,0,,,3)),"Non-PDL")</f>
        <v>INGREZZA (valbenazine)</v>
      </c>
      <c r="F331" t="str">
        <f t="shared" si="10"/>
        <v>Preferred</v>
      </c>
      <c r="G331" s="1" cm="1">
        <f t="array" ref="G331">FuzzyPercent(D331,E331,3)</f>
        <v>0.42553192377090454</v>
      </c>
      <c r="H331" t="str">
        <f t="shared" si="11"/>
        <v/>
      </c>
    </row>
    <row r="332" spans="1:8" x14ac:dyDescent="0.2">
      <c r="A332" t="s">
        <v>660</v>
      </c>
      <c r="B332" t="s">
        <v>0</v>
      </c>
      <c r="D332" t="s">
        <v>2448</v>
      </c>
      <c r="E332" t="str" cm="1">
        <f t="array" ref="E332">IF(COUNTIF(A:A, "*" &amp; LEFT(D332, FIND(" ", D332 &amp; " ") - 1) &amp; "*") &gt; 0,INDEX(A:A,FuzzyVLookup(D332,A:A,0,,,3)),"Non-PDL")</f>
        <v>INGREZZA SPRINKLE (valbenazine)</v>
      </c>
      <c r="F332" t="str">
        <f t="shared" si="10"/>
        <v>Preferred</v>
      </c>
      <c r="G332" s="1" cm="1">
        <f t="array" ref="G332">FuzzyPercent(D332,E332,3)</f>
        <v>0.5899999737739563</v>
      </c>
      <c r="H332" t="str">
        <f t="shared" si="11"/>
        <v/>
      </c>
    </row>
    <row r="333" spans="1:8" x14ac:dyDescent="0.2">
      <c r="A333" t="s">
        <v>662</v>
      </c>
      <c r="B333" t="s">
        <v>0</v>
      </c>
      <c r="D333" t="s">
        <v>2449</v>
      </c>
      <c r="E333" t="str" cm="1">
        <f t="array" ref="E333">IF(COUNTIF(A:A, "*" &amp; LEFT(D333, FIND(" ", D333 &amp; " ") - 1) &amp; "*") &gt; 0,INDEX(A:A,FuzzyVLookup(D333,A:A,0,,,3)),"Non-PDL")</f>
        <v>INGREZZA INITIATION PACK (valbenazine)</v>
      </c>
      <c r="F333" t="str">
        <f t="shared" si="10"/>
        <v>Non-Preferred</v>
      </c>
      <c r="G333" s="1" cm="1">
        <f t="array" ref="G333">FuzzyPercent(D333,E333,3)</f>
        <v>0.35585585236549377</v>
      </c>
      <c r="H333" t="str">
        <f t="shared" si="11"/>
        <v/>
      </c>
    </row>
    <row r="334" spans="1:8" x14ac:dyDescent="0.2">
      <c r="A334" t="s">
        <v>664</v>
      </c>
      <c r="B334" t="s">
        <v>0</v>
      </c>
      <c r="D334" t="s">
        <v>2450</v>
      </c>
      <c r="E334" t="str" cm="1">
        <f t="array" ref="E334">IF(COUNTIF(A:A, "*" &amp; LEFT(D334, FIND(" ", D334 &amp; " ") - 1) &amp; "*") &gt; 0,INDEX(A:A,FuzzyVLookup(D334,A:A,0,,,3)),"Non-PDL")</f>
        <v>insulin glargine-yfgn</v>
      </c>
      <c r="F334" t="str">
        <f t="shared" si="10"/>
        <v>Non-Preferred</v>
      </c>
      <c r="G334" s="1" cm="1">
        <f t="array" ref="G334">FuzzyPercent(D334,E334,3)</f>
        <v>0.83333331346511841</v>
      </c>
      <c r="H334" t="str">
        <f t="shared" si="11"/>
        <v/>
      </c>
    </row>
    <row r="335" spans="1:8" x14ac:dyDescent="0.2">
      <c r="A335" t="s">
        <v>665</v>
      </c>
      <c r="B335" t="s">
        <v>0</v>
      </c>
      <c r="D335" t="s">
        <v>2451</v>
      </c>
      <c r="E335" t="str" cm="1">
        <f t="array" ref="E335">IF(COUNTIF(A:A, "*" &amp; LEFT(D335, FIND(" ", D335 &amp; " ") - 1) &amp; "*") &gt; 0,INDEX(A:A,FuzzyVLookup(D335,A:A,0,,,3)),"Non-PDL")</f>
        <v>insulin lispro</v>
      </c>
      <c r="F335" t="str">
        <f t="shared" si="10"/>
        <v>Preferred</v>
      </c>
      <c r="G335" s="1" cm="1">
        <f t="array" ref="G335">FuzzyPercent(D335,E335,3)</f>
        <v>1</v>
      </c>
      <c r="H335" t="str">
        <f t="shared" si="11"/>
        <v/>
      </c>
    </row>
    <row r="336" spans="1:8" x14ac:dyDescent="0.2">
      <c r="A336" t="s">
        <v>667</v>
      </c>
      <c r="B336" t="s">
        <v>0</v>
      </c>
      <c r="D336" t="s">
        <v>2452</v>
      </c>
      <c r="E336" t="str" cm="1">
        <f t="array" ref="E336">IF(COUNTIF(A:A, "*" &amp; LEFT(D336, FIND(" ", D336 &amp; " ") - 1) &amp; "*") &gt; 0,INDEX(A:A,FuzzyVLookup(D336,A:A,0,,,3)),"Non-PDL")</f>
        <v>INVEGA (paliperidone)</v>
      </c>
      <c r="F336" t="str">
        <f t="shared" si="10"/>
        <v>Non-Preferred</v>
      </c>
      <c r="G336" s="1" cm="1">
        <f t="array" ref="G336">FuzzyPercent(D336,E336,3)</f>
        <v>0.34408602118492126</v>
      </c>
      <c r="H336" t="str">
        <f t="shared" si="11"/>
        <v/>
      </c>
    </row>
    <row r="337" spans="1:8" x14ac:dyDescent="0.2">
      <c r="A337" t="s">
        <v>668</v>
      </c>
      <c r="B337" t="s">
        <v>0</v>
      </c>
      <c r="D337" t="s">
        <v>2453</v>
      </c>
      <c r="E337" t="str" cm="1">
        <f t="array" ref="E337">IF(COUNTIF(A:A, "*" &amp; LEFT(D337, FIND(" ", D337 &amp; " ") - 1) &amp; "*") &gt; 0,INDEX(A:A,FuzzyVLookup(D337,A:A,0,,,3)),"Non-PDL")</f>
        <v>INVEGA HAFYERA (paliperidone)</v>
      </c>
      <c r="F337" t="str">
        <f t="shared" si="10"/>
        <v>Preferred</v>
      </c>
      <c r="G337" s="1" cm="1">
        <f t="array" ref="G337">FuzzyPercent(D337,E337,3)</f>
        <v>0.56944441795349121</v>
      </c>
      <c r="H337" t="str">
        <f t="shared" si="11"/>
        <v/>
      </c>
    </row>
    <row r="338" spans="1:8" x14ac:dyDescent="0.2">
      <c r="A338" t="s">
        <v>670</v>
      </c>
      <c r="B338" t="s">
        <v>0</v>
      </c>
      <c r="D338" t="s">
        <v>2454</v>
      </c>
      <c r="E338" t="str" cm="1">
        <f t="array" ref="E338">IF(COUNTIF(A:A, "*" &amp; LEFT(D338, FIND(" ", D338 &amp; " ") - 1) &amp; "*") &gt; 0,INDEX(A:A,FuzzyVLookup(D338,A:A,0,,,3)),"Non-PDL")</f>
        <v>INVEGA SUSTENNA (paliperidone palmitate)</v>
      </c>
      <c r="F338" t="str">
        <f t="shared" si="10"/>
        <v>Preferred</v>
      </c>
      <c r="G338" s="1" cm="1">
        <f t="array" ref="G338">FuzzyPercent(D338,E338,3)</f>
        <v>0.44334974884986877</v>
      </c>
      <c r="H338" t="str">
        <f t="shared" si="11"/>
        <v/>
      </c>
    </row>
    <row r="339" spans="1:8" x14ac:dyDescent="0.2">
      <c r="A339" t="s">
        <v>672</v>
      </c>
      <c r="B339" t="s">
        <v>0</v>
      </c>
      <c r="D339" t="s">
        <v>2455</v>
      </c>
      <c r="E339" t="str" cm="1">
        <f t="array" ref="E339">IF(COUNTIF(A:A, "*" &amp; LEFT(D339, FIND(" ", D339 &amp; " ") - 1) &amp; "*") &gt; 0,INDEX(A:A,FuzzyVLookup(D339,A:A,0,,,3)),"Non-PDL")</f>
        <v>INVEGA TRINZA (paliperidone)</v>
      </c>
      <c r="F339" t="str">
        <f t="shared" si="10"/>
        <v>Preferred</v>
      </c>
      <c r="G339" s="1" cm="1">
        <f t="array" ref="G339">FuzzyPercent(D339,E339,3)</f>
        <v>0.5362318754196167</v>
      </c>
      <c r="H339" t="str">
        <f t="shared" si="11"/>
        <v/>
      </c>
    </row>
    <row r="340" spans="1:8" x14ac:dyDescent="0.2">
      <c r="A340" t="s">
        <v>674</v>
      </c>
      <c r="B340" t="s">
        <v>0</v>
      </c>
      <c r="D340" t="s">
        <v>2456</v>
      </c>
      <c r="E340" t="str" cm="1">
        <f t="array" ref="E340">IF(COUNTIF(A:A, "*" &amp; LEFT(D340, FIND(" ", D340 &amp; " ") - 1) &amp; "*") &gt; 0,INDEX(A:A,FuzzyVLookup(D340,A:A,0,,,3)),"Non-PDL")</f>
        <v>INVOKAMET (canagliflozin/metformin)</v>
      </c>
      <c r="F340" t="str">
        <f t="shared" si="10"/>
        <v>Non-Preferred</v>
      </c>
      <c r="G340" s="1" cm="1">
        <f t="array" ref="G340">FuzzyPercent(D340,E340,3)</f>
        <v>0.29870128631591797</v>
      </c>
      <c r="H340" t="str">
        <f t="shared" si="11"/>
        <v>CHECK</v>
      </c>
    </row>
    <row r="341" spans="1:8" x14ac:dyDescent="0.2">
      <c r="A341" t="s">
        <v>676</v>
      </c>
      <c r="B341" t="s">
        <v>0</v>
      </c>
      <c r="D341" t="s">
        <v>2457</v>
      </c>
      <c r="E341" t="str" cm="1">
        <f t="array" ref="E341">IF(COUNTIF(A:A, "*" &amp; LEFT(D341, FIND(" ", D341 &amp; " ") - 1) &amp; "*") &gt; 0,INDEX(A:A,FuzzyVLookup(D341,A:A,0,,,3)),"Non-PDL")</f>
        <v>INVOKANA (canagliflozin)</v>
      </c>
      <c r="F341" t="str">
        <f t="shared" si="10"/>
        <v>Non-Preferred</v>
      </c>
      <c r="G341" s="1" cm="1">
        <f t="array" ref="G341">FuzzyPercent(D341,E341,3)</f>
        <v>0.38461539149284363</v>
      </c>
      <c r="H341" t="str">
        <f t="shared" si="11"/>
        <v/>
      </c>
    </row>
    <row r="342" spans="1:8" x14ac:dyDescent="0.2">
      <c r="A342" t="s">
        <v>678</v>
      </c>
      <c r="B342" t="s">
        <v>0</v>
      </c>
      <c r="D342" t="s">
        <v>2458</v>
      </c>
      <c r="E342" t="str" cm="1">
        <f t="array" ref="E342">IF(COUNTIF(A:A, "*" &amp; LEFT(D342, FIND(" ", D342 &amp; " ") - 1) &amp; "*") &gt; 0,INDEX(A:A,FuzzyVLookup(D342,A:A,0,,,3)),"Non-PDL")</f>
        <v>Non-PDL</v>
      </c>
      <c r="F342" t="str">
        <f t="shared" si="10"/>
        <v>Non-PDL</v>
      </c>
      <c r="G342" s="1" cm="1">
        <f t="array" ref="G342">FuzzyPercent(D342,E342,3)</f>
        <v>2.9702970758080482E-2</v>
      </c>
      <c r="H342" t="str">
        <f t="shared" si="11"/>
        <v/>
      </c>
    </row>
    <row r="343" spans="1:8" x14ac:dyDescent="0.2">
      <c r="A343" t="s">
        <v>679</v>
      </c>
      <c r="B343" t="s">
        <v>0</v>
      </c>
      <c r="D343" t="s">
        <v>2459</v>
      </c>
      <c r="E343" t="str" cm="1">
        <f t="array" ref="E343">IF(COUNTIF(A:A, "*" &amp; LEFT(D343, FIND(" ", D343 &amp; " ") - 1) &amp; "*") &gt; 0,INDEX(A:A,FuzzyVLookup(D343,A:A,0,,,3)),"Non-PDL")</f>
        <v>ipratropium/albuterol</v>
      </c>
      <c r="F343" t="str">
        <f t="shared" si="10"/>
        <v>Preferred</v>
      </c>
      <c r="G343" s="1" cm="1">
        <f t="array" ref="G343">FuzzyPercent(D343,E343,3)</f>
        <v>0.44303798675537109</v>
      </c>
      <c r="H343" t="str">
        <f t="shared" si="11"/>
        <v/>
      </c>
    </row>
    <row r="344" spans="1:8" x14ac:dyDescent="0.2">
      <c r="A344" t="s">
        <v>681</v>
      </c>
      <c r="B344" t="s">
        <v>0</v>
      </c>
      <c r="D344" t="s">
        <v>2460</v>
      </c>
      <c r="E344" t="str" cm="1">
        <f t="array" ref="E344">IF(COUNTIF(A:A, "*" &amp; LEFT(D344, FIND(" ", D344 &amp; " ") - 1) &amp; "*") &gt; 0,INDEX(A:A,FuzzyVLookup(D344,A:A,0,,,3)),"Non-PDL")</f>
        <v>IQIRVO (elafibranor)</v>
      </c>
      <c r="F344" t="str">
        <f t="shared" si="10"/>
        <v>Non-Preferred</v>
      </c>
      <c r="G344" s="1" cm="1">
        <f t="array" ref="G344">FuzzyPercent(D344,E344,3)</f>
        <v>0.69473683834075928</v>
      </c>
      <c r="H344" t="str">
        <f t="shared" si="11"/>
        <v/>
      </c>
    </row>
    <row r="345" spans="1:8" x14ac:dyDescent="0.2">
      <c r="A345" t="s">
        <v>683</v>
      </c>
      <c r="B345" t="s">
        <v>0</v>
      </c>
      <c r="D345" t="s">
        <v>2461</v>
      </c>
      <c r="E345" t="str" cm="1">
        <f t="array" ref="E345">IF(COUNTIF(A:A, "*" &amp; LEFT(D345, FIND(" ", D345 &amp; " ") - 1) &amp; "*") &gt; 0,INDEX(A:A,FuzzyVLookup(D345,A:A,0,,,3)),"Non-PDL")</f>
        <v>irbesartan</v>
      </c>
      <c r="F345" t="str">
        <f t="shared" si="10"/>
        <v>Preferred</v>
      </c>
      <c r="G345" s="1" cm="1">
        <f t="array" ref="G345">FuzzyPercent(D345,E345,3)</f>
        <v>1</v>
      </c>
      <c r="H345" t="str">
        <f t="shared" si="11"/>
        <v/>
      </c>
    </row>
    <row r="346" spans="1:8" x14ac:dyDescent="0.2">
      <c r="A346" t="s">
        <v>685</v>
      </c>
      <c r="B346" t="s">
        <v>0</v>
      </c>
      <c r="D346" t="s">
        <v>2462</v>
      </c>
      <c r="E346" t="str" cm="1">
        <f t="array" ref="E346">IF(COUNTIF(A:A, "*" &amp; LEFT(D346, FIND(" ", D346 &amp; " ") - 1) &amp; "*") &gt; 0,INDEX(A:A,FuzzyVLookup(D346,A:A,0,,,3)),"Non-PDL")</f>
        <v>IWILFIN (eflornithine)</v>
      </c>
      <c r="F346" t="str">
        <f t="shared" si="10"/>
        <v>Non-Preferred</v>
      </c>
      <c r="G346" s="1" cm="1">
        <f t="array" ref="G346">FuzzyPercent(D346,E346,3)</f>
        <v>0.35555556416511536</v>
      </c>
      <c r="H346" t="str">
        <f t="shared" si="11"/>
        <v/>
      </c>
    </row>
    <row r="347" spans="1:8" x14ac:dyDescent="0.2">
      <c r="A347" t="s">
        <v>687</v>
      </c>
      <c r="B347" t="s">
        <v>0</v>
      </c>
      <c r="D347" t="s">
        <v>2463</v>
      </c>
      <c r="E347" t="str" cm="1">
        <f t="array" ref="E347">IF(COUNTIF(A:A, "*" &amp; LEFT(D347, FIND(" ", D347 &amp; " ") - 1) &amp; "*") &gt; 0,INDEX(A:A,FuzzyVLookup(D347,A:A,0,,,3)),"Non-PDL")</f>
        <v>IXINITY</v>
      </c>
      <c r="F347" t="str">
        <f t="shared" si="10"/>
        <v>Preferred</v>
      </c>
      <c r="G347" s="1" cm="1">
        <f t="array" ref="G347">FuzzyPercent(D347,E347,3)</f>
        <v>1</v>
      </c>
      <c r="H347" t="str">
        <f t="shared" si="11"/>
        <v/>
      </c>
    </row>
    <row r="348" spans="1:8" x14ac:dyDescent="0.2">
      <c r="A348" t="s">
        <v>689</v>
      </c>
      <c r="B348" t="s">
        <v>0</v>
      </c>
      <c r="D348" t="s">
        <v>2464</v>
      </c>
      <c r="E348" t="str" cm="1">
        <f t="array" ref="E348">IF(COUNTIF(A:A, "*" &amp; LEFT(D348, FIND(" ", D348 &amp; " ") - 1) &amp; "*") &gt; 0,INDEX(A:A,FuzzyVLookup(D348,A:A,0,,,3)),"Non-PDL")</f>
        <v>Non-PDL</v>
      </c>
      <c r="F348" t="str">
        <f t="shared" si="10"/>
        <v>Non-PDL</v>
      </c>
      <c r="G348" s="1" cm="1">
        <f t="array" ref="G348">FuzzyPercent(D348,E348,3)</f>
        <v>0</v>
      </c>
      <c r="H348" t="str">
        <f t="shared" si="11"/>
        <v/>
      </c>
    </row>
    <row r="349" spans="1:8" x14ac:dyDescent="0.2">
      <c r="A349" t="s">
        <v>690</v>
      </c>
      <c r="B349" t="s">
        <v>0</v>
      </c>
      <c r="D349" t="s">
        <v>2465</v>
      </c>
      <c r="E349" t="str" cm="1">
        <f t="array" ref="E349">IF(COUNTIF(A:A, "*" &amp; LEFT(D349, FIND(" ", D349 &amp; " ") - 1) &amp; "*") &gt; 0,INDEX(A:A,FuzzyVLookup(D349,A:A,0,,,3)),"Non-PDL")</f>
        <v>JAKAFI (ruxolitinib)</v>
      </c>
      <c r="F349" t="str">
        <f t="shared" si="10"/>
        <v>Preferred</v>
      </c>
      <c r="G349" s="1" cm="1">
        <f t="array" ref="G349">FuzzyPercent(D349,E349,3)</f>
        <v>0.34999999403953552</v>
      </c>
      <c r="H349" t="str">
        <f t="shared" si="11"/>
        <v/>
      </c>
    </row>
    <row r="350" spans="1:8" x14ac:dyDescent="0.2">
      <c r="A350" t="s">
        <v>692</v>
      </c>
      <c r="B350" t="s">
        <v>0</v>
      </c>
      <c r="D350" t="s">
        <v>2466</v>
      </c>
      <c r="E350" t="str" cm="1">
        <f t="array" ref="E350">IF(COUNTIF(A:A, "*" &amp; LEFT(D350, FIND(" ", D350 &amp; " ") - 1) &amp; "*") &gt; 0,INDEX(A:A,FuzzyVLookup(D350,A:A,0,,,3)),"Non-PDL")</f>
        <v>nabumetone</v>
      </c>
      <c r="F350" t="str">
        <f t="shared" si="10"/>
        <v>Preferred</v>
      </c>
      <c r="G350" s="1" cm="1">
        <f t="array" ref="G350">FuzzyPercent(D350,E350,3)</f>
        <v>0.23255814611911774</v>
      </c>
      <c r="H350" t="str">
        <f t="shared" si="11"/>
        <v>CHECK</v>
      </c>
    </row>
    <row r="351" spans="1:8" x14ac:dyDescent="0.2">
      <c r="A351" t="s">
        <v>694</v>
      </c>
      <c r="B351" t="s">
        <v>0</v>
      </c>
      <c r="D351" t="s">
        <v>2467</v>
      </c>
      <c r="E351" t="str" cm="1">
        <f t="array" ref="E351">IF(COUNTIF(A:A, "*" &amp; LEFT(D351, FIND(" ", D351 &amp; " ") - 1) &amp; "*") &gt; 0,INDEX(A:A,FuzzyVLookup(D351,A:A,0,,,3)),"Non-PDL")</f>
        <v>JANUVIA (sitagliptin)</v>
      </c>
      <c r="F351" t="str">
        <f t="shared" si="10"/>
        <v>Preferred</v>
      </c>
      <c r="G351" s="1" cm="1">
        <f t="array" ref="G351">FuzzyPercent(D351,E351,3)</f>
        <v>0.37209302186965942</v>
      </c>
      <c r="H351" t="str">
        <f t="shared" si="11"/>
        <v/>
      </c>
    </row>
    <row r="352" spans="1:8" x14ac:dyDescent="0.2">
      <c r="A352" t="s">
        <v>696</v>
      </c>
      <c r="B352" t="s">
        <v>0</v>
      </c>
      <c r="D352" t="s">
        <v>2468</v>
      </c>
      <c r="E352" t="str" cm="1">
        <f t="array" ref="E352">IF(COUNTIF(A:A, "*" &amp; LEFT(D352, FIND(" ", D352 &amp; " ") - 1) &amp; "*") &gt; 0,INDEX(A:A,FuzzyVLookup(D352,A:A,0,,,3)),"Non-PDL")</f>
        <v>JARDIANCE (empagliflozin)</v>
      </c>
      <c r="F352" t="str">
        <f t="shared" si="10"/>
        <v>Preferred</v>
      </c>
      <c r="G352" s="1" cm="1">
        <f t="array" ref="G352">FuzzyPercent(D352,E352,3)</f>
        <v>0.41818180680274963</v>
      </c>
      <c r="H352" t="str">
        <f t="shared" si="11"/>
        <v/>
      </c>
    </row>
    <row r="353" spans="1:8" x14ac:dyDescent="0.2">
      <c r="A353" t="s">
        <v>698</v>
      </c>
      <c r="B353" t="s">
        <v>0</v>
      </c>
      <c r="D353" t="s">
        <v>2469</v>
      </c>
      <c r="E353" t="str" cm="1">
        <f t="array" ref="E353">IF(COUNTIF(A:A, "*" &amp; LEFT(D353, FIND(" ", D353 &amp; " ") - 1) &amp; "*") &gt; 0,INDEX(A:A,FuzzyVLookup(D353,A:A,0,,,3)),"Non-PDL")</f>
        <v>Non-PDL</v>
      </c>
      <c r="F353" t="str">
        <f t="shared" si="10"/>
        <v>Non-PDL</v>
      </c>
      <c r="G353" s="1" cm="1">
        <f t="array" ref="G353">FuzzyPercent(D353,E353,3)</f>
        <v>0</v>
      </c>
      <c r="H353" t="str">
        <f t="shared" si="11"/>
        <v/>
      </c>
    </row>
    <row r="354" spans="1:8" x14ac:dyDescent="0.2">
      <c r="A354" t="s">
        <v>700</v>
      </c>
      <c r="B354" t="s">
        <v>0</v>
      </c>
      <c r="D354" t="s">
        <v>2470</v>
      </c>
      <c r="E354" t="str" cm="1">
        <f t="array" ref="E354">IF(COUNTIF(A:A, "*" &amp; LEFT(D354, FIND(" ", D354 &amp; " ") - 1) &amp; "*") &gt; 0,INDEX(A:A,FuzzyVLookup(D354,A:A,0,,,3)),"Non-PDL")</f>
        <v>JIVI</v>
      </c>
      <c r="F354" t="str">
        <f t="shared" si="10"/>
        <v>Non-Preferred</v>
      </c>
      <c r="G354" s="1" cm="1">
        <f t="array" ref="G354">FuzzyPercent(D354,E354,3)</f>
        <v>1</v>
      </c>
      <c r="H354" t="str">
        <f t="shared" si="11"/>
        <v/>
      </c>
    </row>
    <row r="355" spans="1:8" x14ac:dyDescent="0.2">
      <c r="A355" t="s">
        <v>702</v>
      </c>
      <c r="B355" t="s">
        <v>0</v>
      </c>
      <c r="D355" t="s">
        <v>2471</v>
      </c>
      <c r="E355" t="str" cm="1">
        <f t="array" ref="E355">IF(COUNTIF(A:A, "*" &amp; LEFT(D355, FIND(" ", D355 &amp; " ") - 1) &amp; "*") &gt; 0,INDEX(A:A,FuzzyVLookup(D355,A:A,0,,,3)),"Non-PDL")</f>
        <v>Non-PDL</v>
      </c>
      <c r="F355" t="str">
        <f t="shared" si="10"/>
        <v>Non-PDL</v>
      </c>
      <c r="G355" s="1" cm="1">
        <f t="array" ref="G355">FuzzyPercent(D355,E355,3)</f>
        <v>6.6666670143604279E-2</v>
      </c>
      <c r="H355" t="str">
        <f t="shared" si="11"/>
        <v/>
      </c>
    </row>
    <row r="356" spans="1:8" x14ac:dyDescent="0.2">
      <c r="A356" t="s">
        <v>704</v>
      </c>
      <c r="B356" t="s">
        <v>0</v>
      </c>
      <c r="D356" t="s">
        <v>2472</v>
      </c>
      <c r="E356" t="str" cm="1">
        <f t="array" ref="E356">IF(COUNTIF(A:A, "*" &amp; LEFT(D356, FIND(" ", D356 &amp; " ") - 1) &amp; "*") &gt; 0,INDEX(A:A,FuzzyVLookup(D356,A:A,0,,,3)),"Non-PDL")</f>
        <v>JORNAY PM (methylphenidate)</v>
      </c>
      <c r="F356" t="str">
        <f t="shared" si="10"/>
        <v>Non-Preferred</v>
      </c>
      <c r="G356" s="1" cm="1">
        <f t="array" ref="G356">FuzzyPercent(D356,E356,3)</f>
        <v>0.38983049988746643</v>
      </c>
      <c r="H356" t="str">
        <f t="shared" si="11"/>
        <v/>
      </c>
    </row>
    <row r="357" spans="1:8" x14ac:dyDescent="0.2">
      <c r="A357" t="s">
        <v>706</v>
      </c>
      <c r="B357" t="s">
        <v>0</v>
      </c>
      <c r="D357" t="s">
        <v>2473</v>
      </c>
      <c r="E357" t="str" cm="1">
        <f t="array" ref="E357">IF(COUNTIF(A:A, "*" &amp; LEFT(D357, FIND(" ", D357 &amp; " ") - 1) &amp; "*") &gt; 0,INDEX(A:A,FuzzyVLookup(D357,A:A,0,,,3)),"Non-PDL")</f>
        <v>KALYDECO (ivacaftor)</v>
      </c>
      <c r="F357" t="str">
        <f t="shared" si="10"/>
        <v>Non-Preferred</v>
      </c>
      <c r="G357" s="1" cm="1">
        <f t="array" ref="G357">FuzzyPercent(D357,E357,3)</f>
        <v>0.46511629223823547</v>
      </c>
      <c r="H357" t="str">
        <f t="shared" si="11"/>
        <v/>
      </c>
    </row>
    <row r="358" spans="1:8" x14ac:dyDescent="0.2">
      <c r="A358" t="s">
        <v>708</v>
      </c>
      <c r="B358" t="s">
        <v>0</v>
      </c>
      <c r="D358" t="s">
        <v>2474</v>
      </c>
      <c r="E358" t="str" cm="1">
        <f t="array" ref="E358">IF(COUNTIF(A:A, "*" &amp; LEFT(D358, FIND(" ", D358 &amp; " ") - 1) &amp; "*") &gt; 0,INDEX(A:A,FuzzyVLookup(D358,A:A,0,,,3)),"Non-PDL")</f>
        <v>vancomycin oral solution</v>
      </c>
      <c r="F358" t="str">
        <f t="shared" si="10"/>
        <v>Preferred</v>
      </c>
      <c r="G358" s="1" cm="1">
        <f t="array" ref="G358">FuzzyPercent(D358,E358,3)</f>
        <v>0.31333333253860474</v>
      </c>
      <c r="H358" t="str">
        <f t="shared" si="11"/>
        <v/>
      </c>
    </row>
    <row r="359" spans="1:8" x14ac:dyDescent="0.2">
      <c r="A359" t="s">
        <v>710</v>
      </c>
      <c r="B359" t="s">
        <v>0</v>
      </c>
      <c r="D359" t="s">
        <v>2475</v>
      </c>
      <c r="E359" t="str" cm="1">
        <f t="array" ref="E359">IF(COUNTIF(A:A, "*" &amp; LEFT(D359, FIND(" ", D359 &amp; " ") - 1) &amp; "*") &gt; 0,INDEX(A:A,FuzzyVLookup(D359,A:A,0,,,3)),"Non-PDL")</f>
        <v>KEPPRA (levetiracetam)</v>
      </c>
      <c r="F359" t="str">
        <f t="shared" si="10"/>
        <v>Non-Preferred</v>
      </c>
      <c r="G359" s="1" cm="1">
        <f t="array" ref="G359">FuzzyPercent(D359,E359,3)</f>
        <v>0.35135135054588318</v>
      </c>
      <c r="H359" t="str">
        <f t="shared" si="11"/>
        <v/>
      </c>
    </row>
    <row r="360" spans="1:8" x14ac:dyDescent="0.2">
      <c r="A360" t="s">
        <v>712</v>
      </c>
      <c r="B360" t="s">
        <v>0</v>
      </c>
      <c r="D360" t="s">
        <v>2476</v>
      </c>
      <c r="E360" t="str" cm="1">
        <f t="array" ref="E360">IF(COUNTIF(A:A, "*" &amp; LEFT(D360, FIND(" ", D360 &amp; " ") - 1) &amp; "*") &gt; 0,INDEX(A:A,FuzzyVLookup(D360,A:A,0,,,3)),"Non-PDL")</f>
        <v>KEPPRA XR (levetiracetam)</v>
      </c>
      <c r="F360" t="str">
        <f t="shared" si="10"/>
        <v>Non-Preferred</v>
      </c>
      <c r="G360" s="1" cm="1">
        <f t="array" ref="G360">FuzzyPercent(D360,E360,3)</f>
        <v>0.41818180680274963</v>
      </c>
      <c r="H360" t="str">
        <f t="shared" si="11"/>
        <v/>
      </c>
    </row>
    <row r="361" spans="1:8" x14ac:dyDescent="0.2">
      <c r="A361" t="s">
        <v>714</v>
      </c>
      <c r="B361" t="s">
        <v>0</v>
      </c>
      <c r="D361" t="s">
        <v>2477</v>
      </c>
      <c r="E361" t="str" cm="1">
        <f t="array" ref="E361">IF(COUNTIF(A:A, "*" &amp; LEFT(D361, FIND(" ", D361 &amp; " ") - 1) &amp; "*") &gt; 0,INDEX(A:A,FuzzyVLookup(D361,A:A,0,,,3)),"Non-PDL")</f>
        <v>Non-PDL</v>
      </c>
      <c r="F361" t="str">
        <f t="shared" si="10"/>
        <v>Non-PDL</v>
      </c>
      <c r="G361" s="1" cm="1">
        <f t="array" ref="G361">FuzzyPercent(D361,E361,3)</f>
        <v>5.000000074505806E-2</v>
      </c>
      <c r="H361" t="str">
        <f t="shared" si="11"/>
        <v/>
      </c>
    </row>
    <row r="362" spans="1:8" x14ac:dyDescent="0.2">
      <c r="A362" t="s">
        <v>716</v>
      </c>
      <c r="B362" t="s">
        <v>0</v>
      </c>
      <c r="D362" t="s">
        <v>2478</v>
      </c>
      <c r="E362" t="str" cm="1">
        <f t="array" ref="E362">IF(COUNTIF(A:A, "*" &amp; LEFT(D362, FIND(" ", D362 &amp; " ") - 1) &amp; "*") &gt; 0,INDEX(A:A,FuzzyVLookup(D362,A:A,0,,,3)),"Non-PDL")</f>
        <v>KESIMPTA PEN (ofatumumab)</v>
      </c>
      <c r="F362" t="str">
        <f t="shared" si="10"/>
        <v>Non-Preferred</v>
      </c>
      <c r="G362" s="1" cm="1">
        <f t="array" ref="G362">FuzzyPercent(D362,E362,3)</f>
        <v>0.37383177876472473</v>
      </c>
      <c r="H362" t="str">
        <f t="shared" si="11"/>
        <v/>
      </c>
    </row>
    <row r="363" spans="1:8" x14ac:dyDescent="0.2">
      <c r="A363" t="s">
        <v>718</v>
      </c>
      <c r="B363" t="s">
        <v>0</v>
      </c>
      <c r="D363" t="s">
        <v>2479</v>
      </c>
      <c r="E363" t="str" cm="1">
        <f t="array" ref="E363">IF(COUNTIF(A:A, "*" &amp; LEFT(D363, FIND(" ", D363 &amp; " ") - 1) &amp; "*") &gt; 0,INDEX(A:A,FuzzyVLookup(D363,A:A,0,,,3)),"Non-PDL")</f>
        <v>KEVZARA (sarilumab)</v>
      </c>
      <c r="F363" t="str">
        <f t="shared" si="10"/>
        <v>Non-Preferred</v>
      </c>
      <c r="G363" s="1" cm="1">
        <f t="array" ref="G363">FuzzyPercent(D363,E363,3)</f>
        <v>0.25287356972694397</v>
      </c>
      <c r="H363" t="str">
        <f t="shared" si="11"/>
        <v>CHECK</v>
      </c>
    </row>
    <row r="364" spans="1:8" x14ac:dyDescent="0.2">
      <c r="A364" t="s">
        <v>720</v>
      </c>
      <c r="B364" t="s">
        <v>0</v>
      </c>
      <c r="D364" t="s">
        <v>2480</v>
      </c>
      <c r="E364" t="str" cm="1">
        <f t="array" ref="E364">IF(COUNTIF(A:A, "*" &amp; LEFT(D364, FIND(" ", D364 &amp; " ") - 1) &amp; "*") &gt; 0,INDEX(A:A,FuzzyVLookup(D364,A:A,0,,,3)),"Non-PDL")</f>
        <v>KEVZARA (sarilumab)</v>
      </c>
      <c r="F364" t="str">
        <f t="shared" si="10"/>
        <v>Non-Preferred</v>
      </c>
      <c r="G364" s="1" cm="1">
        <f t="array" ref="G364">FuzzyPercent(D364,E364,3)</f>
        <v>0.31428572535514832</v>
      </c>
      <c r="H364" t="str">
        <f t="shared" si="11"/>
        <v/>
      </c>
    </row>
    <row r="365" spans="1:8" x14ac:dyDescent="0.2">
      <c r="A365" t="s">
        <v>722</v>
      </c>
      <c r="B365" t="s">
        <v>0</v>
      </c>
      <c r="D365" t="s">
        <v>2481</v>
      </c>
      <c r="E365" t="str" cm="1">
        <f t="array" ref="E365">IF(COUNTIF(A:A, "*" &amp; LEFT(D365, FIND(" ", D365 &amp; " ") - 1) &amp; "*") &gt; 0,INDEX(A:A,FuzzyVLookup(D365,A:A,0,,,3)),"Non-PDL")</f>
        <v>Non-PDL</v>
      </c>
      <c r="F365" t="str">
        <f t="shared" si="10"/>
        <v>Non-PDL</v>
      </c>
      <c r="G365" s="1" cm="1">
        <f t="array" ref="G365">FuzzyPercent(D365,E365,3)</f>
        <v>0</v>
      </c>
      <c r="H365" t="str">
        <f t="shared" si="11"/>
        <v/>
      </c>
    </row>
    <row r="366" spans="1:8" x14ac:dyDescent="0.2">
      <c r="A366" t="s">
        <v>724</v>
      </c>
      <c r="B366" t="s">
        <v>0</v>
      </c>
      <c r="D366" t="s">
        <v>2482</v>
      </c>
      <c r="E366" t="str" cm="1">
        <f t="array" ref="E366">IF(COUNTIF(A:A, "*" &amp; LEFT(D366, FIND(" ", D366 &amp; " ") - 1) &amp; "*") &gt; 0,INDEX(A:A,FuzzyVLookup(D366,A:A,0,,,3)),"Non-PDL")</f>
        <v>KISQALI (ribociclib)</v>
      </c>
      <c r="F366" t="str">
        <f t="shared" si="10"/>
        <v>Non-Preferred</v>
      </c>
      <c r="G366" s="1" cm="1">
        <f t="array" ref="G366">FuzzyPercent(D366,E366,3)</f>
        <v>0.39024388790130615</v>
      </c>
      <c r="H366" t="str">
        <f t="shared" si="11"/>
        <v/>
      </c>
    </row>
    <row r="367" spans="1:8" x14ac:dyDescent="0.2">
      <c r="A367" t="s">
        <v>726</v>
      </c>
      <c r="B367" t="s">
        <v>0</v>
      </c>
      <c r="D367" t="s">
        <v>2483</v>
      </c>
      <c r="E367" t="str" cm="1">
        <f t="array" ref="E367">IF(COUNTIF(A:A, "*" &amp; LEFT(D367, FIND(" ", D367 &amp; " ") - 1) &amp; "*") &gt; 0,INDEX(A:A,FuzzyVLookup(D367,A:A,0,,,3)),"Non-PDL")</f>
        <v>KITABIS (tobramycin)</v>
      </c>
      <c r="F367" t="str">
        <f t="shared" si="10"/>
        <v>Non-Preferred</v>
      </c>
      <c r="G367" s="1" cm="1">
        <f t="array" ref="G367">FuzzyPercent(D367,E367,3)</f>
        <v>0.42105263471603394</v>
      </c>
      <c r="H367" t="str">
        <f t="shared" si="11"/>
        <v/>
      </c>
    </row>
    <row r="368" spans="1:8" x14ac:dyDescent="0.2">
      <c r="A368" t="s">
        <v>728</v>
      </c>
      <c r="B368" t="s">
        <v>0</v>
      </c>
      <c r="D368" t="s">
        <v>2484</v>
      </c>
      <c r="E368" t="str" cm="1">
        <f t="array" ref="E368">IF(COUNTIF(A:A, "*" &amp; LEFT(D368, FIND(" ", D368 &amp; " ") - 1) &amp; "*") &gt; 0,INDEX(A:A,FuzzyVLookup(D368,A:A,0,,,3)),"Non-PDL")</f>
        <v>KLOXXADO (naloxone)</v>
      </c>
      <c r="F368" t="str">
        <f t="shared" si="10"/>
        <v>Preferred</v>
      </c>
      <c r="G368" s="1" cm="1">
        <f t="array" ref="G368">FuzzyPercent(D368,E368,3)</f>
        <v>0.5</v>
      </c>
      <c r="H368" t="str">
        <f t="shared" si="11"/>
        <v/>
      </c>
    </row>
    <row r="369" spans="1:8" x14ac:dyDescent="0.2">
      <c r="A369" t="s">
        <v>730</v>
      </c>
      <c r="B369" t="s">
        <v>0</v>
      </c>
      <c r="D369" t="s">
        <v>2485</v>
      </c>
      <c r="E369" t="str" cm="1">
        <f t="array" ref="E369">IF(COUNTIF(A:A, "*" &amp; LEFT(D369, FIND(" ", D369 &amp; " ") - 1) &amp; "*") &gt; 0,INDEX(A:A,FuzzyVLookup(D369,A:A,0,,,3)),"Non-PDL")</f>
        <v>KOGENATE FS</v>
      </c>
      <c r="F369" t="str">
        <f t="shared" si="10"/>
        <v>Preferred</v>
      </c>
      <c r="G369" s="1" cm="1">
        <f t="array" ref="G369">FuzzyPercent(D369,E369,3)</f>
        <v>1</v>
      </c>
      <c r="H369" t="str">
        <f t="shared" si="11"/>
        <v/>
      </c>
    </row>
    <row r="370" spans="1:8" x14ac:dyDescent="0.2">
      <c r="A370" t="s">
        <v>732</v>
      </c>
      <c r="B370" t="s">
        <v>0</v>
      </c>
      <c r="D370" t="s">
        <v>2486</v>
      </c>
      <c r="E370" t="str" cm="1">
        <f t="array" ref="E370">IF(COUNTIF(A:A, "*" &amp; LEFT(D370, FIND(" ", D370 &amp; " ") - 1) &amp; "*") &gt; 0,INDEX(A:A,FuzzyVLookup(D370,A:A,0,,,3)),"Non-PDL")</f>
        <v>omeprazole</v>
      </c>
      <c r="F370" t="str">
        <f t="shared" si="10"/>
        <v>Preferred</v>
      </c>
      <c r="G370" s="1" cm="1">
        <f t="array" ref="G370">FuzzyPercent(D370,E370,3)</f>
        <v>0.27659574151039124</v>
      </c>
      <c r="H370" t="str">
        <f t="shared" si="11"/>
        <v>CHECK</v>
      </c>
    </row>
    <row r="371" spans="1:8" x14ac:dyDescent="0.2">
      <c r="A371" t="s">
        <v>734</v>
      </c>
      <c r="B371" t="s">
        <v>0</v>
      </c>
      <c r="D371" t="s">
        <v>2487</v>
      </c>
      <c r="E371" t="str" cm="1">
        <f t="array" ref="E371">IF(COUNTIF(A:A, "*" &amp; LEFT(D371, FIND(" ", D371 &amp; " ") - 1) &amp; "*") &gt; 0,INDEX(A:A,FuzzyVLookup(D371,A:A,0,,,3)),"Non-PDL")</f>
        <v>KOSELUGO (selumetinib/vitamin e)</v>
      </c>
      <c r="F371" t="str">
        <f t="shared" si="10"/>
        <v>Non-Preferred</v>
      </c>
      <c r="G371" s="1" cm="1">
        <f t="array" ref="G371">FuzzyPercent(D371,E371,3)</f>
        <v>0.28776979446411133</v>
      </c>
      <c r="H371" t="str">
        <f t="shared" si="11"/>
        <v>CHECK</v>
      </c>
    </row>
    <row r="372" spans="1:8" x14ac:dyDescent="0.2">
      <c r="A372" t="s">
        <v>736</v>
      </c>
      <c r="B372" t="s">
        <v>0</v>
      </c>
      <c r="D372" t="s">
        <v>2488</v>
      </c>
      <c r="E372" t="str" cm="1">
        <f t="array" ref="E372">IF(COUNTIF(A:A, "*" &amp; LEFT(D372, FIND(" ", D372 &amp; " ") - 1) &amp; "*") &gt; 0,INDEX(A:A,FuzzyVLookup(D372,A:A,0,,,3)),"Non-PDL")</f>
        <v>KOVALTRY</v>
      </c>
      <c r="F372" t="str">
        <f t="shared" si="10"/>
        <v>Preferred</v>
      </c>
      <c r="G372" s="1" cm="1">
        <f t="array" ref="G372">FuzzyPercent(D372,E372,3)</f>
        <v>1</v>
      </c>
      <c r="H372" t="str">
        <f t="shared" si="11"/>
        <v/>
      </c>
    </row>
    <row r="373" spans="1:8" x14ac:dyDescent="0.2">
      <c r="A373" t="s">
        <v>738</v>
      </c>
      <c r="B373" t="s">
        <v>0</v>
      </c>
      <c r="D373" t="s">
        <v>2489</v>
      </c>
      <c r="E373" t="str" cm="1">
        <f t="array" ref="E373">IF(COUNTIF(A:A, "*" &amp; LEFT(D373, FIND(" ", D373 &amp; " ") - 1) &amp; "*") &gt; 0,INDEX(A:A,FuzzyVLookup(D373,A:A,0,,,3)),"Non-PDL")</f>
        <v>KRAZATI (adagrasib)</v>
      </c>
      <c r="F373" t="str">
        <f t="shared" si="10"/>
        <v>Non-Preferred</v>
      </c>
      <c r="G373" s="1" cm="1">
        <f t="array" ref="G373">FuzzyPercent(D373,E373,3)</f>
        <v>0.42105263471603394</v>
      </c>
      <c r="H373" t="str">
        <f t="shared" si="11"/>
        <v/>
      </c>
    </row>
    <row r="374" spans="1:8" x14ac:dyDescent="0.2">
      <c r="A374" t="s">
        <v>740</v>
      </c>
      <c r="B374" t="s">
        <v>0</v>
      </c>
      <c r="D374" t="s">
        <v>2490</v>
      </c>
      <c r="E374" t="str" cm="1">
        <f t="array" ref="E374">IF(COUNTIF(A:A, "*" &amp; LEFT(D374, FIND(" ", D374 &amp; " ") - 1) &amp; "*") &gt; 0,INDEX(A:A,FuzzyVLookup(D374,A:A,0,,,3)),"Non-PDL")</f>
        <v>Non-PDL</v>
      </c>
      <c r="F374" t="str">
        <f t="shared" si="10"/>
        <v>Non-PDL</v>
      </c>
      <c r="G374" s="1" cm="1">
        <f t="array" ref="G374">FuzzyPercent(D374,E374,3)</f>
        <v>0</v>
      </c>
      <c r="H374" t="str">
        <f t="shared" si="11"/>
        <v/>
      </c>
    </row>
    <row r="375" spans="1:8" x14ac:dyDescent="0.2">
      <c r="A375" t="s">
        <v>742</v>
      </c>
      <c r="B375" t="s">
        <v>0</v>
      </c>
      <c r="D375" t="s">
        <v>2491</v>
      </c>
      <c r="E375" t="str" cm="1">
        <f t="array" ref="E375">IF(COUNTIF(A:A, "*" &amp; LEFT(D375, FIND(" ", D375 &amp; " ") - 1) &amp; "*") &gt; 0,INDEX(A:A,FuzzyVLookup(D375,A:A,0,,,3)),"Non-PDL")</f>
        <v>Non-PDL</v>
      </c>
      <c r="F375" t="str">
        <f t="shared" si="10"/>
        <v>Non-PDL</v>
      </c>
      <c r="G375" s="1" cm="1">
        <f t="array" ref="G375">FuzzyPercent(D375,E375,3)</f>
        <v>9.0090092271566391E-3</v>
      </c>
      <c r="H375" t="str">
        <f t="shared" si="11"/>
        <v/>
      </c>
    </row>
    <row r="376" spans="1:8" x14ac:dyDescent="0.2">
      <c r="A376" t="s">
        <v>744</v>
      </c>
      <c r="B376" t="s">
        <v>0</v>
      </c>
      <c r="D376" t="s">
        <v>2492</v>
      </c>
      <c r="E376" t="str" cm="1">
        <f t="array" ref="E376">IF(COUNTIF(A:A, "*" &amp; LEFT(D376, FIND(" ", D376 &amp; " ") - 1) &amp; "*") &gt; 0,INDEX(A:A,FuzzyVLookup(D376,A:A,0,,,3)),"Non-PDL")</f>
        <v>Non-PDL</v>
      </c>
      <c r="F376" t="str">
        <f t="shared" si="10"/>
        <v>Non-PDL</v>
      </c>
      <c r="G376" s="1" cm="1">
        <f t="array" ref="G376">FuzzyPercent(D376,E376,3)</f>
        <v>0</v>
      </c>
      <c r="H376" t="str">
        <f t="shared" si="11"/>
        <v/>
      </c>
    </row>
    <row r="377" spans="1:8" x14ac:dyDescent="0.2">
      <c r="A377" t="s">
        <v>746</v>
      </c>
      <c r="B377" t="s">
        <v>0</v>
      </c>
      <c r="D377" t="s">
        <v>2493</v>
      </c>
      <c r="E377" t="str" cm="1">
        <f t="array" ref="E377">IF(COUNTIF(A:A, "*" &amp; LEFT(D377, FIND(" ", D377 &amp; " ") - 1) &amp; "*") &gt; 0,INDEX(A:A,FuzzyVLookup(D377,A:A,0,,,3)),"Non-PDL")</f>
        <v>Non-PDL</v>
      </c>
      <c r="F377" t="str">
        <f t="shared" si="10"/>
        <v>Non-PDL</v>
      </c>
      <c r="G377" s="1" cm="1">
        <f t="array" ref="G377">FuzzyPercent(D377,E377,3)</f>
        <v>0</v>
      </c>
      <c r="H377" t="str">
        <f t="shared" si="11"/>
        <v/>
      </c>
    </row>
    <row r="378" spans="1:8" x14ac:dyDescent="0.2">
      <c r="A378" t="s">
        <v>748</v>
      </c>
      <c r="B378" t="s">
        <v>0</v>
      </c>
      <c r="D378" t="s">
        <v>2494</v>
      </c>
      <c r="E378" t="str" cm="1">
        <f t="array" ref="E378">IF(COUNTIF(A:A, "*" &amp; LEFT(D378, FIND(" ", D378 &amp; " ") - 1) &amp; "*") &gt; 0,INDEX(A:A,FuzzyVLookup(D378,A:A,0,,,3)),"Non-PDL")</f>
        <v>Non-PDL</v>
      </c>
      <c r="F378" t="str">
        <f t="shared" si="10"/>
        <v>Non-PDL</v>
      </c>
      <c r="G378" s="1" cm="1">
        <f t="array" ref="G378">FuzzyPercent(D378,E378,3)</f>
        <v>5.681818351149559E-3</v>
      </c>
      <c r="H378" t="str">
        <f t="shared" si="11"/>
        <v/>
      </c>
    </row>
    <row r="379" spans="1:8" x14ac:dyDescent="0.2">
      <c r="A379" t="s">
        <v>750</v>
      </c>
      <c r="B379" t="s">
        <v>0</v>
      </c>
      <c r="D379" t="s">
        <v>2495</v>
      </c>
      <c r="E379" t="str" cm="1">
        <f t="array" ref="E379">IF(COUNTIF(A:A, "*" &amp; LEFT(D379, FIND(" ", D379 &amp; " ") - 1) &amp; "*") &gt; 0,INDEX(A:A,FuzzyVLookup(D379,A:A,0,,,3)),"Non-PDL")</f>
        <v>LAMICTAL (lamotrigine)</v>
      </c>
      <c r="F379" t="str">
        <f t="shared" si="10"/>
        <v>Non-Preferred</v>
      </c>
      <c r="G379" s="1" cm="1">
        <f t="array" ref="G379">FuzzyPercent(D379,E379,3)</f>
        <v>0.43119266629219055</v>
      </c>
      <c r="H379" t="str">
        <f t="shared" si="11"/>
        <v/>
      </c>
    </row>
    <row r="380" spans="1:8" x14ac:dyDescent="0.2">
      <c r="A380" t="s">
        <v>752</v>
      </c>
      <c r="B380" t="s">
        <v>0</v>
      </c>
      <c r="D380" t="s">
        <v>2496</v>
      </c>
      <c r="E380" t="str" cm="1">
        <f t="array" ref="E380">IF(COUNTIF(A:A, "*" &amp; LEFT(D380, FIND(" ", D380 &amp; " ") - 1) &amp; "*") &gt; 0,INDEX(A:A,FuzzyVLookup(D380,A:A,0,,,3)),"Non-PDL")</f>
        <v>LAMICTAL (lamotrigine)</v>
      </c>
      <c r="F380" t="str">
        <f t="shared" si="10"/>
        <v>Non-Preferred</v>
      </c>
      <c r="G380" s="1" cm="1">
        <f t="array" ref="G380">FuzzyPercent(D380,E380,3)</f>
        <v>0.40336135029792786</v>
      </c>
      <c r="H380" t="str">
        <f t="shared" si="11"/>
        <v/>
      </c>
    </row>
    <row r="381" spans="1:8" x14ac:dyDescent="0.2">
      <c r="A381" t="s">
        <v>754</v>
      </c>
      <c r="B381" t="s">
        <v>0</v>
      </c>
      <c r="D381" t="s">
        <v>2497</v>
      </c>
      <c r="E381" t="str" cm="1">
        <f t="array" ref="E381">IF(COUNTIF(A:A, "*" &amp; LEFT(D381, FIND(" ", D381 &amp; " ") - 1) &amp; "*") &gt; 0,INDEX(A:A,FuzzyVLookup(D381,A:A,0,,,3)),"Non-PDL")</f>
        <v>lamotrigine</v>
      </c>
      <c r="F381" t="str">
        <f t="shared" si="10"/>
        <v>Preferred</v>
      </c>
      <c r="G381" s="1" cm="1">
        <f t="array" ref="G381">FuzzyPercent(D381,E381,3)</f>
        <v>1</v>
      </c>
      <c r="H381" t="str">
        <f t="shared" si="11"/>
        <v/>
      </c>
    </row>
    <row r="382" spans="1:8" x14ac:dyDescent="0.2">
      <c r="A382" t="s">
        <v>756</v>
      </c>
      <c r="B382" t="s">
        <v>0</v>
      </c>
      <c r="D382" t="s">
        <v>2498</v>
      </c>
      <c r="E382" t="str" cm="1">
        <f t="array" ref="E382">IF(COUNTIF(A:A, "*" &amp; LEFT(D382, FIND(" ", D382 &amp; " ") - 1) &amp; "*") &gt; 0,INDEX(A:A,FuzzyVLookup(D382,A:A,0,,,3)),"Non-PDL")</f>
        <v>lansoprazole Rx</v>
      </c>
      <c r="F382" t="str">
        <f t="shared" si="10"/>
        <v>Non-Preferred</v>
      </c>
      <c r="G382" s="1" cm="1">
        <f t="array" ref="G382">FuzzyPercent(D382,E382,3)</f>
        <v>0.875</v>
      </c>
      <c r="H382" t="str">
        <f t="shared" si="11"/>
        <v/>
      </c>
    </row>
    <row r="383" spans="1:8" x14ac:dyDescent="0.2">
      <c r="A383" t="s">
        <v>758</v>
      </c>
      <c r="B383" t="s">
        <v>0</v>
      </c>
      <c r="D383" t="s">
        <v>2499</v>
      </c>
      <c r="E383" t="str" cm="1">
        <f t="array" ref="E383">IF(COUNTIF(A:A, "*" &amp; LEFT(D383, FIND(" ", D383 &amp; " ") - 1) &amp; "*") &gt; 0,INDEX(A:A,FuzzyVLookup(D383,A:A,0,,,3)),"Non-PDL")</f>
        <v>lansoprazole/amoxicillin/clarithromycin</v>
      </c>
      <c r="F383" t="str">
        <f t="shared" si="10"/>
        <v>Non-Preferred</v>
      </c>
      <c r="G383" s="1" cm="1">
        <f t="array" ref="G383">FuzzyPercent(D383,E383,3)</f>
        <v>0.42941176891326904</v>
      </c>
      <c r="H383" t="str">
        <f t="shared" si="11"/>
        <v/>
      </c>
    </row>
    <row r="384" spans="1:8" x14ac:dyDescent="0.2">
      <c r="A384" t="s">
        <v>760</v>
      </c>
      <c r="B384" t="s">
        <v>0</v>
      </c>
      <c r="D384" t="s">
        <v>2500</v>
      </c>
      <c r="E384" t="str" cm="1">
        <f t="array" ref="E384">IF(COUNTIF(A:A, "*" &amp; LEFT(D384, FIND(" ", D384 &amp; " ") - 1) &amp; "*") &gt; 0,INDEX(A:A,FuzzyVLookup(D384,A:A,0,,,3)),"Non-PDL")</f>
        <v>LANTUS (insulin glargine)</v>
      </c>
      <c r="F384" t="str">
        <f t="shared" si="10"/>
        <v>Preferred</v>
      </c>
      <c r="G384" s="1" cm="1">
        <f t="array" ref="G384">FuzzyPercent(D384,E384,3)</f>
        <v>0.28787878155708313</v>
      </c>
      <c r="H384" t="str">
        <f t="shared" si="11"/>
        <v>CHECK</v>
      </c>
    </row>
    <row r="385" spans="1:8" x14ac:dyDescent="0.2">
      <c r="A385" t="s">
        <v>762</v>
      </c>
      <c r="B385" t="s">
        <v>0</v>
      </c>
      <c r="D385" t="s">
        <v>2501</v>
      </c>
      <c r="E385" t="str" cm="1">
        <f t="array" ref="E385">IF(COUNTIF(A:A, "*" &amp; LEFT(D385, FIND(" ", D385 &amp; " ") - 1) &amp; "*") &gt; 0,INDEX(A:A,FuzzyVLookup(D385,A:A,0,,,3)),"Non-PDL")</f>
        <v>lanthanum</v>
      </c>
      <c r="F385" t="str">
        <f t="shared" si="10"/>
        <v>Non-Preferred</v>
      </c>
      <c r="G385" s="1" cm="1">
        <f t="array" ref="G385">FuzzyPercent(D385,E385,3)</f>
        <v>0.31034481525421143</v>
      </c>
      <c r="H385" t="str">
        <f t="shared" si="11"/>
        <v/>
      </c>
    </row>
    <row r="386" spans="1:8" x14ac:dyDescent="0.2">
      <c r="A386" t="s">
        <v>764</v>
      </c>
      <c r="B386" t="s">
        <v>0</v>
      </c>
      <c r="D386" t="s">
        <v>2502</v>
      </c>
      <c r="E386" t="str" cm="1">
        <f t="array" ref="E386">IF(COUNTIF(A:A, "*" &amp; LEFT(D386, FIND(" ", D386 &amp; " ") - 1) &amp; "*") &gt; 0,INDEX(A:A,FuzzyVLookup(D386,A:A,0,,,3)),"Non-PDL")</f>
        <v>LASTACAFT (alcaftadine)</v>
      </c>
      <c r="F386" t="str">
        <f t="shared" si="10"/>
        <v>Non-Preferred</v>
      </c>
      <c r="G386" s="1" cm="1">
        <f t="array" ref="G386">FuzzyPercent(D386,E386,3)</f>
        <v>0.46464645862579346</v>
      </c>
      <c r="H386" t="str">
        <f t="shared" si="11"/>
        <v/>
      </c>
    </row>
    <row r="387" spans="1:8" x14ac:dyDescent="0.2">
      <c r="A387" t="s">
        <v>766</v>
      </c>
      <c r="B387" t="s">
        <v>0</v>
      </c>
      <c r="D387" t="s">
        <v>2503</v>
      </c>
      <c r="E387" t="str" cm="1">
        <f t="array" ref="E387">IF(COUNTIF(A:A, "*" &amp; LEFT(D387, FIND(" ", D387 &amp; " ") - 1) &amp; "*") &gt; 0,INDEX(A:A,FuzzyVLookup(D387,A:A,0,,,3)),"Non-PDL")</f>
        <v>LATUDA (lurasidone)</v>
      </c>
      <c r="F387" t="str">
        <f t="shared" ref="F387:F450" si="12">_xlfn.IFNA(_xlfn.XLOOKUP(E387,A:A,B:B),"Non-PDL")</f>
        <v>Non-Preferred</v>
      </c>
      <c r="G387" s="1" cm="1">
        <f t="array" ref="G387">FuzzyPercent(D387,E387,3)</f>
        <v>0.37837839126586914</v>
      </c>
      <c r="H387" t="str">
        <f t="shared" ref="H387:H450" si="13">IF(F387="Non-PDL","",IF(G387&lt;0.3,"CHECK",""))</f>
        <v/>
      </c>
    </row>
    <row r="388" spans="1:8" x14ac:dyDescent="0.2">
      <c r="A388" t="s">
        <v>768</v>
      </c>
      <c r="B388" t="s">
        <v>0</v>
      </c>
      <c r="D388" t="s">
        <v>2504</v>
      </c>
      <c r="E388" t="str" cm="1">
        <f t="array" ref="E388">IF(COUNTIF(A:A, "*" &amp; LEFT(D388, FIND(" ", D388 &amp; " ") - 1) &amp; "*") &gt; 0,INDEX(A:A,FuzzyVLookup(D388,A:A,0,,,3)),"Non-PDL")</f>
        <v>ledipasvir/sofosbuvir ‚àû</v>
      </c>
      <c r="F388" t="str">
        <f t="shared" si="12"/>
        <v>Non-Preferred</v>
      </c>
      <c r="G388" s="1" cm="1">
        <f t="array" ref="G388">FuzzyPercent(D388,E388,3)</f>
        <v>0.53374230861663818</v>
      </c>
      <c r="H388" t="str">
        <f t="shared" si="13"/>
        <v/>
      </c>
    </row>
    <row r="389" spans="1:8" x14ac:dyDescent="0.2">
      <c r="A389" t="s">
        <v>770</v>
      </c>
      <c r="B389" t="s">
        <v>0</v>
      </c>
      <c r="D389" t="s">
        <v>2505</v>
      </c>
      <c r="E389" t="str" cm="1">
        <f t="array" ref="E389">IF(COUNTIF(A:A, "*" &amp; LEFT(D389, FIND(" ", D389 &amp; " ") - 1) &amp; "*") &gt; 0,INDEX(A:A,FuzzyVLookup(D389,A:A,0,,,3)),"Non-PDL")</f>
        <v>LETAIRIS (ambrisentan)</v>
      </c>
      <c r="F389" t="str">
        <f t="shared" si="12"/>
        <v>Preferred</v>
      </c>
      <c r="G389" s="1" cm="1">
        <f t="array" ref="G389">FuzzyPercent(D389,E389,3)</f>
        <v>0.42553192377090454</v>
      </c>
      <c r="H389" t="str">
        <f t="shared" si="13"/>
        <v/>
      </c>
    </row>
    <row r="390" spans="1:8" x14ac:dyDescent="0.2">
      <c r="A390" t="s">
        <v>772</v>
      </c>
      <c r="B390" t="s">
        <v>0</v>
      </c>
      <c r="D390" t="s">
        <v>2506</v>
      </c>
      <c r="E390" t="str" cm="1">
        <f t="array" ref="E390">IF(COUNTIF(A:A, "*" &amp; LEFT(D390, FIND(" ", D390 &amp; " ") - 1) &amp; "*") &gt; 0,INDEX(A:A,FuzzyVLookup(D390,A:A,0,,,3)),"Non-PDL")</f>
        <v>levalbuterol HFA</v>
      </c>
      <c r="F390" t="str">
        <f t="shared" si="12"/>
        <v>Non-Preferred</v>
      </c>
      <c r="G390" s="1" cm="1">
        <f t="array" ref="G390">FuzzyPercent(D390,E390,3)</f>
        <v>0.18905472755432129</v>
      </c>
      <c r="H390" t="str">
        <f t="shared" si="13"/>
        <v>CHECK</v>
      </c>
    </row>
    <row r="391" spans="1:8" x14ac:dyDescent="0.2">
      <c r="A391" t="s">
        <v>774</v>
      </c>
      <c r="B391" t="s">
        <v>0</v>
      </c>
      <c r="D391" t="s">
        <v>2507</v>
      </c>
      <c r="E391" t="str" cm="1">
        <f t="array" ref="E391">IF(COUNTIF(A:A, "*" &amp; LEFT(D391, FIND(" ", D391 &amp; " ") - 1) &amp; "*") &gt; 0,INDEX(A:A,FuzzyVLookup(D391,A:A,0,,,3)),"Non-PDL")</f>
        <v>LEVEMIR (insulin detemir)</v>
      </c>
      <c r="F391" t="str">
        <f t="shared" si="12"/>
        <v>Non-Preferred</v>
      </c>
      <c r="G391" s="1" cm="1">
        <f t="array" ref="G391">FuzzyPercent(D391,E391,3)</f>
        <v>0.35245901346206665</v>
      </c>
      <c r="H391" t="str">
        <f t="shared" si="13"/>
        <v/>
      </c>
    </row>
    <row r="392" spans="1:8" x14ac:dyDescent="0.2">
      <c r="A392" t="s">
        <v>776</v>
      </c>
      <c r="B392" t="s">
        <v>0</v>
      </c>
      <c r="D392" t="s">
        <v>2508</v>
      </c>
      <c r="E392" t="str" cm="1">
        <f t="array" ref="E392">IF(COUNTIF(A:A, "*" &amp; LEFT(D392, FIND(" ", D392 &amp; " ") - 1) &amp; "*") &gt; 0,INDEX(A:A,FuzzyVLookup(D392,A:A,0,,,3)),"Non-PDL")</f>
        <v>LEVEMIR (insulin detemir)</v>
      </c>
      <c r="F392" t="str">
        <f t="shared" si="12"/>
        <v>Non-Preferred</v>
      </c>
      <c r="G392" s="1" cm="1">
        <f t="array" ref="G392">FuzzyPercent(D392,E392,3)</f>
        <v>0.2949640154838562</v>
      </c>
      <c r="H392" t="str">
        <f t="shared" si="13"/>
        <v>CHECK</v>
      </c>
    </row>
    <row r="393" spans="1:8" x14ac:dyDescent="0.2">
      <c r="A393" t="s">
        <v>778</v>
      </c>
      <c r="B393" t="s">
        <v>0</v>
      </c>
      <c r="D393" t="s">
        <v>2509</v>
      </c>
      <c r="E393" t="str" cm="1">
        <f t="array" ref="E393">IF(COUNTIF(A:A, "*" &amp; LEFT(D393, FIND(" ", D393 &amp; " ") - 1) &amp; "*") &gt; 0,INDEX(A:A,FuzzyVLookup(D393,A:A,0,,,3)),"Non-PDL")</f>
        <v>LIBERVANT (diazepam)</v>
      </c>
      <c r="F393" t="str">
        <f t="shared" si="12"/>
        <v>Non-Preferred</v>
      </c>
      <c r="G393" s="1" cm="1">
        <f t="array" ref="G393">FuzzyPercent(D393,E393,3)</f>
        <v>0.40000000596046448</v>
      </c>
      <c r="H393" t="str">
        <f t="shared" si="13"/>
        <v/>
      </c>
    </row>
    <row r="394" spans="1:8" x14ac:dyDescent="0.2">
      <c r="A394" t="s">
        <v>780</v>
      </c>
      <c r="B394" t="s">
        <v>0</v>
      </c>
      <c r="D394" t="s">
        <v>2510</v>
      </c>
      <c r="E394" t="str" cm="1">
        <f t="array" ref="E394">IF(COUNTIF(A:A, "*" &amp; LEFT(D394, FIND(" ", D394 &amp; " ") - 1) &amp; "*") &gt; 0,INDEX(A:A,FuzzyVLookup(D394,A:A,0,,,3)),"Non-PDL")</f>
        <v>Non-PDL</v>
      </c>
      <c r="F394" t="str">
        <f t="shared" si="12"/>
        <v>Non-PDL</v>
      </c>
      <c r="G394" s="1" cm="1">
        <f t="array" ref="G394">FuzzyPercent(D394,E394,3)</f>
        <v>0</v>
      </c>
      <c r="H394" t="str">
        <f t="shared" si="13"/>
        <v/>
      </c>
    </row>
    <row r="395" spans="1:8" x14ac:dyDescent="0.2">
      <c r="A395" t="s">
        <v>782</v>
      </c>
      <c r="B395" t="s">
        <v>0</v>
      </c>
      <c r="D395" t="s">
        <v>2511</v>
      </c>
      <c r="E395" t="str" cm="1">
        <f t="array" ref="E395">IF(COUNTIF(A:A, "*" &amp; LEFT(D395, FIND(" ", D395 &amp; " ") - 1) &amp; "*") &gt; 0,INDEX(A:A,FuzzyVLookup(D395,A:A,0,,,3)),"Non-PDL")</f>
        <v>Non-PDL</v>
      </c>
      <c r="F395" t="str">
        <f t="shared" si="12"/>
        <v>Non-PDL</v>
      </c>
      <c r="G395" s="1" cm="1">
        <f t="array" ref="G395">FuzzyPercent(D395,E395,3)</f>
        <v>0</v>
      </c>
      <c r="H395" t="str">
        <f t="shared" si="13"/>
        <v/>
      </c>
    </row>
    <row r="396" spans="1:8" x14ac:dyDescent="0.2">
      <c r="A396" t="s">
        <v>784</v>
      </c>
      <c r="B396" t="s">
        <v>0</v>
      </c>
      <c r="D396" t="s">
        <v>2512</v>
      </c>
      <c r="E396" t="str" cm="1">
        <f t="array" ref="E396">IF(COUNTIF(A:A, "*" &amp; LEFT(D396, FIND(" ", D396 &amp; " ") - 1) &amp; "*") &gt; 0,INDEX(A:A,FuzzyVLookup(D396,A:A,0,,,3)),"Non-PDL")</f>
        <v>Non-PDL</v>
      </c>
      <c r="F396" t="str">
        <f t="shared" si="12"/>
        <v>Non-PDL</v>
      </c>
      <c r="G396" s="1" cm="1">
        <f t="array" ref="G396">FuzzyPercent(D396,E396,3)</f>
        <v>6.25E-2</v>
      </c>
      <c r="H396" t="str">
        <f t="shared" si="13"/>
        <v/>
      </c>
    </row>
    <row r="397" spans="1:8" x14ac:dyDescent="0.2">
      <c r="A397" t="s">
        <v>786</v>
      </c>
      <c r="B397" t="s">
        <v>0</v>
      </c>
      <c r="D397" t="s">
        <v>2513</v>
      </c>
      <c r="E397" t="str" cm="1">
        <f t="array" ref="E397">IF(COUNTIF(A:A, "*" &amp; LEFT(D397, FIND(" ", D397 &amp; " ") - 1) &amp; "*") &gt; 0,INDEX(A:A,FuzzyVLookup(D397,A:A,0,,,3)),"Non-PDL")</f>
        <v>Non-PDL</v>
      </c>
      <c r="F397" t="str">
        <f t="shared" si="12"/>
        <v>Non-PDL</v>
      </c>
      <c r="G397" s="1" cm="1">
        <f t="array" ref="G397">FuzzyPercent(D397,E397,3)</f>
        <v>2.4390242993831635E-2</v>
      </c>
      <c r="H397" t="str">
        <f t="shared" si="13"/>
        <v/>
      </c>
    </row>
    <row r="398" spans="1:8" x14ac:dyDescent="0.2">
      <c r="A398" t="s">
        <v>788</v>
      </c>
      <c r="B398" t="s">
        <v>0</v>
      </c>
      <c r="D398" t="s">
        <v>2514</v>
      </c>
      <c r="E398" t="str" cm="1">
        <f t="array" ref="E398">IF(COUNTIF(A:A, "*" &amp; LEFT(D398, FIND(" ", D398 &amp; " ") - 1) &amp; "*") &gt; 0,INDEX(A:A,FuzzyVLookup(D398,A:A,0,,,3)),"Non-PDL")</f>
        <v>LIQREV (sildenafil)</v>
      </c>
      <c r="F398" t="str">
        <f t="shared" si="12"/>
        <v>Non-Preferred</v>
      </c>
      <c r="G398" s="1" cm="1">
        <f t="array" ref="G398">FuzzyPercent(D398,E398,3)</f>
        <v>0.37837839126586914</v>
      </c>
      <c r="H398" t="str">
        <f t="shared" si="13"/>
        <v/>
      </c>
    </row>
    <row r="399" spans="1:8" x14ac:dyDescent="0.2">
      <c r="A399" t="s">
        <v>790</v>
      </c>
      <c r="B399" t="s">
        <v>0</v>
      </c>
      <c r="D399" t="s">
        <v>2515</v>
      </c>
      <c r="E399" t="str" cm="1">
        <f t="array" ref="E399">IF(COUNTIF(A:A, "*" &amp; LEFT(D399, FIND(" ", D399 &amp; " ") - 1) &amp; "*") &gt; 0,INDEX(A:A,FuzzyVLookup(D399,A:A,0,,,3)),"Non-PDL")</f>
        <v>lisinopril</v>
      </c>
      <c r="F399" t="str">
        <f t="shared" si="12"/>
        <v>Preferred</v>
      </c>
      <c r="G399" s="1" cm="1">
        <f t="array" ref="G399">FuzzyPercent(D399,E399,3)</f>
        <v>1</v>
      </c>
      <c r="H399" t="str">
        <f t="shared" si="13"/>
        <v/>
      </c>
    </row>
    <row r="400" spans="1:8" x14ac:dyDescent="0.2">
      <c r="A400" t="s">
        <v>792</v>
      </c>
      <c r="B400" t="s">
        <v>0</v>
      </c>
      <c r="D400" t="s">
        <v>2516</v>
      </c>
      <c r="E400" t="str" cm="1">
        <f t="array" ref="E400">IF(COUNTIF(A:A, "*" &amp; LEFT(D400, FIND(" ", D400 &amp; " ") - 1) &amp; "*") &gt; 0,INDEX(A:A,FuzzyVLookup(D400,A:A,0,,,3)),"Non-PDL")</f>
        <v>LITFULO (ritlecitinib)</v>
      </c>
      <c r="F400" t="str">
        <f t="shared" si="12"/>
        <v>Non-Preferred</v>
      </c>
      <c r="G400" s="1" cm="1">
        <f t="array" ref="G400">FuzzyPercent(D400,E400,3)</f>
        <v>0.35555556416511536</v>
      </c>
      <c r="H400" t="str">
        <f t="shared" si="13"/>
        <v/>
      </c>
    </row>
    <row r="401" spans="1:8" x14ac:dyDescent="0.2">
      <c r="A401" t="s">
        <v>794</v>
      </c>
      <c r="B401" t="s">
        <v>0</v>
      </c>
      <c r="D401" t="s">
        <v>2517</v>
      </c>
      <c r="E401" t="str" cm="1">
        <f t="array" ref="E401">IF(COUNTIF(A:A, "*" &amp; LEFT(D401, FIND(" ", D401 &amp; " ") - 1) &amp; "*") &gt; 0,INDEX(A:A,FuzzyVLookup(D401,A:A,0,,,3)),"Non-PDL")</f>
        <v>LIVMARLI (maralixibat)</v>
      </c>
      <c r="F401" t="str">
        <f t="shared" si="12"/>
        <v>Non-Preferred</v>
      </c>
      <c r="G401" s="1" cm="1">
        <f t="array" ref="G401">FuzzyPercent(D401,E401,3)</f>
        <v>0.42553192377090454</v>
      </c>
      <c r="H401" t="str">
        <f t="shared" si="13"/>
        <v/>
      </c>
    </row>
    <row r="402" spans="1:8" x14ac:dyDescent="0.2">
      <c r="A402" t="s">
        <v>796</v>
      </c>
      <c r="B402" t="s">
        <v>0</v>
      </c>
      <c r="D402" t="s">
        <v>2518</v>
      </c>
      <c r="E402" t="str" cm="1">
        <f t="array" ref="E402">IF(COUNTIF(A:A, "*" &amp; LEFT(D402, FIND(" ", D402 &amp; " ") - 1) &amp; "*") &gt; 0,INDEX(A:A,FuzzyVLookup(D402,A:A,0,,,3)),"Non-PDL")</f>
        <v>Non-PDL</v>
      </c>
      <c r="F402" t="str">
        <f t="shared" si="12"/>
        <v>Non-PDL</v>
      </c>
      <c r="G402" s="1" cm="1">
        <f t="array" ref="G402">FuzzyPercent(D402,E402,3)</f>
        <v>0.125</v>
      </c>
      <c r="H402" t="str">
        <f t="shared" si="13"/>
        <v/>
      </c>
    </row>
    <row r="403" spans="1:8" x14ac:dyDescent="0.2">
      <c r="A403" t="s">
        <v>798</v>
      </c>
      <c r="B403" t="s">
        <v>0</v>
      </c>
      <c r="D403" t="s">
        <v>2519</v>
      </c>
      <c r="E403" t="str" cm="1">
        <f t="array" ref="E403">IF(COUNTIF(A:A, "*" &amp; LEFT(D403, FIND(" ", D403 &amp; " ") - 1) &amp; "*") &gt; 0,INDEX(A:A,FuzzyVLookup(D403,A:A,0,,,3)),"Non-PDL")</f>
        <v>LO LOESTRIN FE (norethindrone/ethinyl estradiol/iron)</v>
      </c>
      <c r="F403" t="str">
        <f t="shared" si="12"/>
        <v>Preferred</v>
      </c>
      <c r="G403" s="1" cm="1">
        <f t="array" ref="G403">FuzzyPercent(D403,E403,3)</f>
        <v>0.3153846263885498</v>
      </c>
      <c r="H403" t="str">
        <f t="shared" si="13"/>
        <v/>
      </c>
    </row>
    <row r="404" spans="1:8" x14ac:dyDescent="0.2">
      <c r="A404" t="s">
        <v>800</v>
      </c>
      <c r="B404" t="s">
        <v>0</v>
      </c>
      <c r="D404" t="s">
        <v>2520</v>
      </c>
      <c r="E404" t="str" cm="1">
        <f t="array" ref="E404">IF(COUNTIF(A:A, "*" &amp; LEFT(D404, FIND(" ", D404 &amp; " ") - 1) &amp; "*") &gt; 0,INDEX(A:A,FuzzyVLookup(D404,A:A,0,,,3)),"Non-PDL")</f>
        <v>Non-PDL</v>
      </c>
      <c r="F404" t="str">
        <f t="shared" si="12"/>
        <v>Non-PDL</v>
      </c>
      <c r="G404" s="1" cm="1">
        <f t="array" ref="G404">FuzzyPercent(D404,E404,3)</f>
        <v>5.000000074505806E-2</v>
      </c>
      <c r="H404" t="str">
        <f t="shared" si="13"/>
        <v/>
      </c>
    </row>
    <row r="405" spans="1:8" x14ac:dyDescent="0.2">
      <c r="A405" t="s">
        <v>802</v>
      </c>
      <c r="B405" t="s">
        <v>0</v>
      </c>
      <c r="D405" t="s">
        <v>2521</v>
      </c>
      <c r="E405" t="str" cm="1">
        <f t="array" ref="E405">IF(COUNTIF(A:A, "*" &amp; LEFT(D405, FIND(" ", D405 &amp; " ") - 1) &amp; "*") &gt; 0,INDEX(A:A,FuzzyVLookup(D405,A:A,0,,,3)),"Non-PDL")</f>
        <v>LORZONE (chlorzoxazone)</v>
      </c>
      <c r="F405" t="str">
        <f t="shared" si="12"/>
        <v>Non-Preferred</v>
      </c>
      <c r="G405" s="1" cm="1">
        <f t="array" ref="G405">FuzzyPercent(D405,E405,3)</f>
        <v>0.34782609343528748</v>
      </c>
      <c r="H405" t="str">
        <f t="shared" si="13"/>
        <v/>
      </c>
    </row>
    <row r="406" spans="1:8" x14ac:dyDescent="0.2">
      <c r="A406" t="s">
        <v>804</v>
      </c>
      <c r="B406" t="s">
        <v>0</v>
      </c>
      <c r="D406" t="s">
        <v>2522</v>
      </c>
      <c r="E406" t="str" cm="1">
        <f t="array" ref="E406">IF(COUNTIF(A:A, "*" &amp; LEFT(D406, FIND(" ", D406 &amp; " ") - 1) &amp; "*") &gt; 0,INDEX(A:A,FuzzyVLookup(D406,A:A,0,,,3)),"Non-PDL")</f>
        <v>losartan</v>
      </c>
      <c r="F406" t="str">
        <f t="shared" si="12"/>
        <v>Preferred</v>
      </c>
      <c r="G406" s="1" cm="1">
        <f t="array" ref="G406">FuzzyPercent(D406,E406,3)</f>
        <v>1</v>
      </c>
      <c r="H406" t="str">
        <f t="shared" si="13"/>
        <v/>
      </c>
    </row>
    <row r="407" spans="1:8" x14ac:dyDescent="0.2">
      <c r="A407" t="s">
        <v>806</v>
      </c>
      <c r="B407" t="s">
        <v>0</v>
      </c>
      <c r="D407" t="s">
        <v>2523</v>
      </c>
      <c r="E407" t="str" cm="1">
        <f t="array" ref="E407">IF(COUNTIF(A:A, "*" &amp; LEFT(D407, FIND(" ", D407 &amp; " ") - 1) &amp; "*") &gt; 0,INDEX(A:A,FuzzyVLookup(D407,A:A,0,,,3)),"Non-PDL")</f>
        <v>LUCEMYRA (lofexidine)</v>
      </c>
      <c r="F407" t="str">
        <f t="shared" si="12"/>
        <v>Non-Preferred</v>
      </c>
      <c r="G407" s="1" cm="1">
        <f t="array" ref="G407">FuzzyPercent(D407,E407,3)</f>
        <v>0.4444444477558136</v>
      </c>
      <c r="H407" t="str">
        <f t="shared" si="13"/>
        <v/>
      </c>
    </row>
    <row r="408" spans="1:8" x14ac:dyDescent="0.2">
      <c r="A408" t="s">
        <v>808</v>
      </c>
      <c r="B408" t="s">
        <v>0</v>
      </c>
      <c r="D408" t="s">
        <v>2524</v>
      </c>
      <c r="E408" t="str" cm="1">
        <f t="array" ref="E408">IF(COUNTIF(A:A, "*" &amp; LEFT(D408, FIND(" ", D408 &amp; " ") - 1) &amp; "*") &gt; 0,INDEX(A:A,FuzzyVLookup(D408,A:A,0,,,3)),"Non-PDL")</f>
        <v>Non-PDL</v>
      </c>
      <c r="F408" t="str">
        <f t="shared" si="12"/>
        <v>Non-PDL</v>
      </c>
      <c r="G408" s="1" cm="1">
        <f t="array" ref="G408">FuzzyPercent(D408,E408,3)</f>
        <v>0</v>
      </c>
      <c r="H408" t="str">
        <f t="shared" si="13"/>
        <v/>
      </c>
    </row>
    <row r="409" spans="1:8" x14ac:dyDescent="0.2">
      <c r="A409" t="s">
        <v>810</v>
      </c>
      <c r="B409" t="s">
        <v>0</v>
      </c>
      <c r="D409" t="s">
        <v>2525</v>
      </c>
      <c r="E409" t="str" cm="1">
        <f t="array" ref="E409">IF(COUNTIF(A:A, "*" &amp; LEFT(D409, FIND(" ", D409 &amp; " ") - 1) &amp; "*") &gt; 0,INDEX(A:A,FuzzyVLookup(D409,A:A,0,,,3)),"Non-PDL")</f>
        <v>LUMAKRAS (sotorasib)</v>
      </c>
      <c r="F409" t="str">
        <f t="shared" si="12"/>
        <v>Non-Preferred</v>
      </c>
      <c r="G409" s="1" cm="1">
        <f t="array" ref="G409">FuzzyPercent(D409,E409,3)</f>
        <v>0.46511629223823547</v>
      </c>
      <c r="H409" t="str">
        <f t="shared" si="13"/>
        <v/>
      </c>
    </row>
    <row r="410" spans="1:8" x14ac:dyDescent="0.2">
      <c r="A410" t="s">
        <v>812</v>
      </c>
      <c r="B410" t="s">
        <v>0</v>
      </c>
      <c r="D410" t="s">
        <v>2526</v>
      </c>
      <c r="E410" t="str" cm="1">
        <f t="array" ref="E410">IF(COUNTIF(A:A, "*" &amp; LEFT(D410, FIND(" ", D410 &amp; " ") - 1) &amp; "*") &gt; 0,INDEX(A:A,FuzzyVLookup(D410,A:A,0,,,3)),"Non-PDL")</f>
        <v>LUMIGAN (bimatoprost)</v>
      </c>
      <c r="F410" t="str">
        <f t="shared" si="12"/>
        <v>Non-Preferred</v>
      </c>
      <c r="G410" s="1" cm="1">
        <f t="array" ref="G410">FuzzyPercent(D410,E410,3)</f>
        <v>0.36936935782432556</v>
      </c>
      <c r="H410" t="str">
        <f t="shared" si="13"/>
        <v/>
      </c>
    </row>
    <row r="411" spans="1:8" x14ac:dyDescent="0.2">
      <c r="A411" t="s">
        <v>814</v>
      </c>
      <c r="B411" t="s">
        <v>0</v>
      </c>
      <c r="D411" t="s">
        <v>2527</v>
      </c>
      <c r="E411" t="str" cm="1">
        <f t="array" ref="E411">IF(COUNTIF(A:A, "*" &amp; LEFT(D411, FIND(" ", D411 &amp; " ") - 1) &amp; "*") &gt; 0,INDEX(A:A,FuzzyVLookup(D411,A:A,0,,,3)),"Non-PDL")</f>
        <v>LUMIGAN (bimatoprost)</v>
      </c>
      <c r="F411" t="str">
        <f t="shared" si="12"/>
        <v>Non-Preferred</v>
      </c>
      <c r="G411" s="1" cm="1">
        <f t="array" ref="G411">FuzzyPercent(D411,E411,3)</f>
        <v>0.39047619700431824</v>
      </c>
      <c r="H411" t="str">
        <f t="shared" si="13"/>
        <v/>
      </c>
    </row>
    <row r="412" spans="1:8" x14ac:dyDescent="0.2">
      <c r="A412" t="s">
        <v>816</v>
      </c>
      <c r="B412" t="s">
        <v>0</v>
      </c>
      <c r="D412" t="s">
        <v>2528</v>
      </c>
      <c r="E412" t="str" cm="1">
        <f t="array" ref="E412">IF(COUNTIF(A:A, "*" &amp; LEFT(D412, FIND(" ", D412 &amp; " ") - 1) &amp; "*") &gt; 0,INDEX(A:A,FuzzyVLookup(D412,A:A,0,,,3)),"Non-PDL")</f>
        <v>LUMIGAN (bimatoprost)</v>
      </c>
      <c r="F412" t="str">
        <f t="shared" si="12"/>
        <v>Non-Preferred</v>
      </c>
      <c r="G412" s="1" cm="1">
        <f t="array" ref="G412">FuzzyPercent(D412,E412,3)</f>
        <v>0.36936935782432556</v>
      </c>
      <c r="H412" t="str">
        <f t="shared" si="13"/>
        <v/>
      </c>
    </row>
    <row r="413" spans="1:8" x14ac:dyDescent="0.2">
      <c r="A413" t="s">
        <v>818</v>
      </c>
      <c r="B413" t="s">
        <v>0</v>
      </c>
      <c r="D413" t="s">
        <v>2529</v>
      </c>
      <c r="E413" t="str" cm="1">
        <f t="array" ref="E413">IF(COUNTIF(A:A, "*" &amp; LEFT(D413, FIND(" ", D413 &amp; " ") - 1) &amp; "*") &gt; 0,INDEX(A:A,FuzzyVLookup(D413,A:A,0,,,3)),"Non-PDL")</f>
        <v>Non-PDL</v>
      </c>
      <c r="F413" t="str">
        <f t="shared" si="12"/>
        <v>Non-PDL</v>
      </c>
      <c r="G413" s="1" cm="1">
        <f t="array" ref="G413">FuzzyPercent(D413,E413,3)</f>
        <v>0</v>
      </c>
      <c r="H413" t="str">
        <f t="shared" si="13"/>
        <v/>
      </c>
    </row>
    <row r="414" spans="1:8" x14ac:dyDescent="0.2">
      <c r="A414" t="s">
        <v>820</v>
      </c>
      <c r="B414" t="s">
        <v>0</v>
      </c>
      <c r="D414" t="s">
        <v>2530</v>
      </c>
      <c r="E414" t="str" cm="1">
        <f t="array" ref="E414">IF(COUNTIF(A:A, "*" &amp; LEFT(D414, FIND(" ", D414 &amp; " ") - 1) &amp; "*") &gt; 0,INDEX(A:A,FuzzyVLookup(D414,A:A,0,,,3)),"Non-PDL")</f>
        <v>Non-PDL</v>
      </c>
      <c r="F414" t="str">
        <f t="shared" si="12"/>
        <v>Non-PDL</v>
      </c>
      <c r="G414" s="1" cm="1">
        <f t="array" ref="G414">FuzzyPercent(D414,E414,3)</f>
        <v>0</v>
      </c>
      <c r="H414" t="str">
        <f t="shared" si="13"/>
        <v/>
      </c>
    </row>
    <row r="415" spans="1:8" x14ac:dyDescent="0.2">
      <c r="A415" t="s">
        <v>822</v>
      </c>
      <c r="B415" t="s">
        <v>0</v>
      </c>
      <c r="D415" t="s">
        <v>2531</v>
      </c>
      <c r="E415" t="str" cm="1">
        <f t="array" ref="E415">IF(COUNTIF(A:A, "*" &amp; LEFT(D415, FIND(" ", D415 &amp; " ") - 1) &amp; "*") &gt; 0,INDEX(A:A,FuzzyVLookup(D415,A:A,0,,,3)),"Non-PDL")</f>
        <v>Non-PDL</v>
      </c>
      <c r="F415" t="str">
        <f t="shared" si="12"/>
        <v>Non-PDL</v>
      </c>
      <c r="G415" s="1" cm="1">
        <f t="array" ref="G415">FuzzyPercent(D415,E415,3)</f>
        <v>5.000000074505806E-2</v>
      </c>
      <c r="H415" t="str">
        <f t="shared" si="13"/>
        <v/>
      </c>
    </row>
    <row r="416" spans="1:8" x14ac:dyDescent="0.2">
      <c r="A416" t="s">
        <v>824</v>
      </c>
      <c r="B416" t="s">
        <v>0</v>
      </c>
      <c r="D416" t="s">
        <v>2532</v>
      </c>
      <c r="E416" t="str" cm="1">
        <f t="array" ref="E416">IF(COUNTIF(A:A, "*" &amp; LEFT(D416, FIND(" ", D416 &amp; " ") - 1) &amp; "*") &gt; 0,INDEX(A:A,FuzzyVLookup(D416,A:A,0,,,3)),"Non-PDL")</f>
        <v>Non-PDL</v>
      </c>
      <c r="F416" t="str">
        <f t="shared" si="12"/>
        <v>Non-PDL</v>
      </c>
      <c r="G416" s="1" cm="1">
        <f t="array" ref="G416">FuzzyPercent(D416,E416,3)</f>
        <v>3.5714287310838699E-2</v>
      </c>
      <c r="H416" t="str">
        <f t="shared" si="13"/>
        <v/>
      </c>
    </row>
    <row r="417" spans="1:8" x14ac:dyDescent="0.2">
      <c r="A417" t="s">
        <v>826</v>
      </c>
      <c r="B417" t="s">
        <v>0</v>
      </c>
      <c r="D417" t="s">
        <v>2533</v>
      </c>
      <c r="E417" t="str" cm="1">
        <f t="array" ref="E417">IF(COUNTIF(A:A, "*" &amp; LEFT(D417, FIND(" ", D417 &amp; " ") - 1) &amp; "*") &gt; 0,INDEX(A:A,FuzzyVLookup(D417,A:A,0,,,3)),"Non-PDL")</f>
        <v>Non-PDL</v>
      </c>
      <c r="F417" t="str">
        <f t="shared" si="12"/>
        <v>Non-PDL</v>
      </c>
      <c r="G417" s="1" cm="1">
        <f t="array" ref="G417">FuzzyPercent(D417,E417,3)</f>
        <v>3.5714287310838699E-2</v>
      </c>
      <c r="H417" t="str">
        <f t="shared" si="13"/>
        <v/>
      </c>
    </row>
    <row r="418" spans="1:8" x14ac:dyDescent="0.2">
      <c r="A418" t="s">
        <v>828</v>
      </c>
      <c r="B418" t="s">
        <v>0</v>
      </c>
      <c r="D418" t="s">
        <v>2534</v>
      </c>
      <c r="E418" t="str" cm="1">
        <f t="array" ref="E418">IF(COUNTIF(A:A, "*" &amp; LEFT(D418, FIND(" ", D418 &amp; " ") - 1) &amp; "*") &gt; 0,INDEX(A:A,FuzzyVLookup(D418,A:A,0,,,3)),"Non-PDL")</f>
        <v>lurasidone</v>
      </c>
      <c r="F418" t="str">
        <f t="shared" si="12"/>
        <v>Non-Preferred</v>
      </c>
      <c r="G418" s="1" cm="1">
        <f t="array" ref="G418">FuzzyPercent(D418,E418,3)</f>
        <v>1</v>
      </c>
      <c r="H418" t="str">
        <f t="shared" si="13"/>
        <v/>
      </c>
    </row>
    <row r="419" spans="1:8" x14ac:dyDescent="0.2">
      <c r="A419" t="s">
        <v>830</v>
      </c>
      <c r="B419" t="s">
        <v>0</v>
      </c>
      <c r="D419" t="s">
        <v>2535</v>
      </c>
      <c r="E419" t="str" cm="1">
        <f t="array" ref="E419">IF(COUNTIF(A:A, "*" &amp; LEFT(D419, FIND(" ", D419 &amp; " ") - 1) &amp; "*") &gt; 0,INDEX(A:A,FuzzyVLookup(D419,A:A,0,,,3)),"Non-PDL")</f>
        <v>Non-PDL</v>
      </c>
      <c r="F419" t="str">
        <f t="shared" si="12"/>
        <v>Non-PDL</v>
      </c>
      <c r="G419" s="1" cm="1">
        <f t="array" ref="G419">FuzzyPercent(D419,E419,3)</f>
        <v>0</v>
      </c>
      <c r="H419" t="str">
        <f t="shared" si="13"/>
        <v/>
      </c>
    </row>
    <row r="420" spans="1:8" x14ac:dyDescent="0.2">
      <c r="A420" t="s">
        <v>832</v>
      </c>
      <c r="B420" t="s">
        <v>0</v>
      </c>
      <c r="D420" t="s">
        <v>2536</v>
      </c>
      <c r="E420" t="str" cm="1">
        <f t="array" ref="E420">IF(COUNTIF(A:A, "*" &amp; LEFT(D420, FIND(" ", D420 &amp; " ") - 1) &amp; "*") &gt; 0,INDEX(A:A,FuzzyVLookup(D420,A:A,0,,,3)),"Non-PDL")</f>
        <v>LYBALVI (olanzapine/samidorphan)</v>
      </c>
      <c r="F420" t="str">
        <f t="shared" si="12"/>
        <v>Non-Preferred</v>
      </c>
      <c r="G420" s="1" cm="1">
        <f t="array" ref="G420">FuzzyPercent(D420,E420,3)</f>
        <v>0.23703703284263611</v>
      </c>
      <c r="H420" t="str">
        <f t="shared" si="13"/>
        <v>CHECK</v>
      </c>
    </row>
    <row r="421" spans="1:8" x14ac:dyDescent="0.2">
      <c r="A421" t="s">
        <v>834</v>
      </c>
      <c r="B421" t="s">
        <v>0</v>
      </c>
      <c r="D421" t="s">
        <v>2537</v>
      </c>
      <c r="E421" t="str" cm="1">
        <f t="array" ref="E421">IF(COUNTIF(A:A, "*" &amp; LEFT(D421, FIND(" ", D421 &amp; " ") - 1) &amp; "*") &gt; 0,INDEX(A:A,FuzzyVLookup(D421,A:A,0,,,3)),"Non-PDL")</f>
        <v>LYNPARZA (olaparib)</v>
      </c>
      <c r="F421" t="str">
        <f t="shared" si="12"/>
        <v>Non-Preferred</v>
      </c>
      <c r="G421" s="1" cm="1">
        <f t="array" ref="G421">FuzzyPercent(D421,E421,3)</f>
        <v>0.5</v>
      </c>
      <c r="H421" t="str">
        <f t="shared" si="13"/>
        <v/>
      </c>
    </row>
    <row r="422" spans="1:8" x14ac:dyDescent="0.2">
      <c r="A422" t="s">
        <v>836</v>
      </c>
      <c r="B422" t="s">
        <v>0</v>
      </c>
      <c r="D422" t="s">
        <v>2538</v>
      </c>
      <c r="E422" t="str" cm="1">
        <f t="array" ref="E422">IF(COUNTIF(A:A, "*" &amp; LEFT(D422, FIND(" ", D422 &amp; " ") - 1) &amp; "*") &gt; 0,INDEX(A:A,FuzzyVLookup(D422,A:A,0,,,3)),"Non-PDL")</f>
        <v>TRICARE</v>
      </c>
      <c r="F422" t="str">
        <f t="shared" si="12"/>
        <v>Preferred</v>
      </c>
      <c r="G422" s="1" cm="1">
        <f t="array" ref="G422">FuzzyPercent(D422,E422,3)</f>
        <v>0.30000001192092896</v>
      </c>
      <c r="H422" t="str">
        <f t="shared" si="13"/>
        <v/>
      </c>
    </row>
    <row r="423" spans="1:8" x14ac:dyDescent="0.2">
      <c r="A423" t="s">
        <v>838</v>
      </c>
      <c r="B423" t="s">
        <v>0</v>
      </c>
      <c r="D423" t="s">
        <v>2539</v>
      </c>
      <c r="E423" t="str" cm="1">
        <f t="array" ref="E423">IF(COUNTIF(A:A, "*" &amp; LEFT(D423, FIND(" ", D423 &amp; " ") - 1) &amp; "*") &gt; 0,INDEX(A:A,FuzzyVLookup(D423,A:A,0,,,3)),"Non-PDL")</f>
        <v>LYUMJEV (insulin lispro-aabc)</v>
      </c>
      <c r="F423" t="str">
        <f t="shared" si="12"/>
        <v>Non-Preferred</v>
      </c>
      <c r="G423" s="1" cm="1">
        <f t="array" ref="G423">FuzzyPercent(D423,E423,3)</f>
        <v>0.31159418821334839</v>
      </c>
      <c r="H423" t="str">
        <f t="shared" si="13"/>
        <v/>
      </c>
    </row>
    <row r="424" spans="1:8" x14ac:dyDescent="0.2">
      <c r="A424" t="s">
        <v>840</v>
      </c>
      <c r="B424" t="s">
        <v>0</v>
      </c>
      <c r="D424" t="s">
        <v>2540</v>
      </c>
      <c r="E424" t="str" cm="1">
        <f t="array" ref="E424">IF(COUNTIF(A:A, "*" &amp; LEFT(D424, FIND(" ", D424 &amp; " ") - 1) &amp; "*") &gt; 0,INDEX(A:A,FuzzyVLookup(D424,A:A,0,,,3)),"Non-PDL")</f>
        <v>LYUMJEV (insulin lispro-aabc)</v>
      </c>
      <c r="F424" t="str">
        <f t="shared" si="12"/>
        <v>Non-Preferred</v>
      </c>
      <c r="G424" s="1" cm="1">
        <f t="array" ref="G424">FuzzyPercent(D424,E424,3)</f>
        <v>0.24858756363391876</v>
      </c>
      <c r="H424" t="str">
        <f t="shared" si="13"/>
        <v>CHECK</v>
      </c>
    </row>
    <row r="425" spans="1:8" x14ac:dyDescent="0.2">
      <c r="A425" t="s">
        <v>842</v>
      </c>
      <c r="B425" t="s">
        <v>0</v>
      </c>
      <c r="D425" t="s">
        <v>2541</v>
      </c>
      <c r="E425" t="str" cm="1">
        <f t="array" ref="E425">IF(COUNTIF(A:A, "*" &amp; LEFT(D425, FIND(" ", D425 &amp; " ") - 1) &amp; "*") &gt; 0,INDEX(A:A,FuzzyVLookup(D425,A:A,0,,,3)),"Non-PDL")</f>
        <v>LYUMJEV (insulin lispro-aabc)</v>
      </c>
      <c r="F425" t="str">
        <f t="shared" si="12"/>
        <v>Non-Preferred</v>
      </c>
      <c r="G425" s="1" cm="1">
        <f t="array" ref="G425">FuzzyPercent(D425,E425,3)</f>
        <v>0.24858756363391876</v>
      </c>
      <c r="H425" t="str">
        <f t="shared" si="13"/>
        <v>CHECK</v>
      </c>
    </row>
    <row r="426" spans="1:8" x14ac:dyDescent="0.2">
      <c r="A426" t="s">
        <v>844</v>
      </c>
      <c r="B426" t="s">
        <v>0</v>
      </c>
      <c r="D426" t="s">
        <v>2542</v>
      </c>
      <c r="E426" t="str" cm="1">
        <f t="array" ref="E426">IF(COUNTIF(A:A, "*" &amp; LEFT(D426, FIND(" ", D426 &amp; " ") - 1) &amp; "*") &gt; 0,INDEX(A:A,FuzzyVLookup(D426,A:A,0,,,3)),"Non-PDL")</f>
        <v>Non-PDL</v>
      </c>
      <c r="F426" t="str">
        <f t="shared" si="12"/>
        <v>Non-PDL</v>
      </c>
      <c r="G426" s="1" cm="1">
        <f t="array" ref="G426">FuzzyPercent(D426,E426,3)</f>
        <v>0</v>
      </c>
      <c r="H426" t="str">
        <f t="shared" si="13"/>
        <v/>
      </c>
    </row>
    <row r="427" spans="1:8" x14ac:dyDescent="0.2">
      <c r="A427" t="s">
        <v>846</v>
      </c>
      <c r="B427" t="s">
        <v>0</v>
      </c>
      <c r="D427" t="s">
        <v>2543</v>
      </c>
      <c r="E427" t="str" cm="1">
        <f t="array" ref="E427">IF(COUNTIF(A:A, "*" &amp; LEFT(D427, FIND(" ", D427 &amp; " ") - 1) &amp; "*") &gt; 0,INDEX(A:A,FuzzyVLookup(D427,A:A,0,,,3)),"Non-PDL")</f>
        <v>paroxetine suspension, capsule</v>
      </c>
      <c r="F427" t="str">
        <f t="shared" si="12"/>
        <v>Non-Preferred</v>
      </c>
      <c r="G427" s="1" cm="1">
        <f t="array" ref="G427">FuzzyPercent(D427,E427,3)</f>
        <v>0.23831775784492493</v>
      </c>
      <c r="H427" t="str">
        <f t="shared" si="13"/>
        <v>CHECK</v>
      </c>
    </row>
    <row r="428" spans="1:8" x14ac:dyDescent="0.2">
      <c r="A428" t="s">
        <v>848</v>
      </c>
      <c r="B428" t="s">
        <v>0</v>
      </c>
      <c r="D428" t="s">
        <v>2544</v>
      </c>
      <c r="E428" t="str" cm="1">
        <f t="array" ref="E428">IF(COUNTIF(A:A, "*" &amp; LEFT(D428, FIND(" ", D428 &amp; " ") - 1) &amp; "*") &gt; 0,INDEX(A:A,FuzzyVLookup(D428,A:A,0,,,3)),"Non-PDL")</f>
        <v>calcitriol ointment</v>
      </c>
      <c r="F428" t="str">
        <f t="shared" si="12"/>
        <v>Non-Preferred</v>
      </c>
      <c r="G428" s="1" cm="1">
        <f t="array" ref="G428">FuzzyPercent(D428,E428,3)</f>
        <v>0.23762376606464386</v>
      </c>
      <c r="H428" t="str">
        <f t="shared" si="13"/>
        <v>CHECK</v>
      </c>
    </row>
    <row r="429" spans="1:8" x14ac:dyDescent="0.2">
      <c r="A429" t="s">
        <v>850</v>
      </c>
      <c r="B429" t="s">
        <v>0</v>
      </c>
      <c r="D429" t="s">
        <v>2545</v>
      </c>
      <c r="E429" t="str" cm="1">
        <f t="array" ref="E429">IF(COUNTIF(A:A, "*" &amp; LEFT(D429, FIND(" ", D429 &amp; " ") - 1) &amp; "*") &gt; 0,INDEX(A:A,FuzzyVLookup(D429,A:A,0,,,3)),"Non-PDL")</f>
        <v>ZONISADE (zonisamide) suspension</v>
      </c>
      <c r="F429" t="str">
        <f t="shared" si="12"/>
        <v>Non-Preferred</v>
      </c>
      <c r="G429" s="1" cm="1">
        <f t="array" ref="G429">FuzzyPercent(D429,E429,3)</f>
        <v>0.22608695924282074</v>
      </c>
      <c r="H429" t="str">
        <f t="shared" si="13"/>
        <v>CHECK</v>
      </c>
    </row>
    <row r="430" spans="1:8" x14ac:dyDescent="0.2">
      <c r="A430" t="s">
        <v>852</v>
      </c>
      <c r="B430" t="s">
        <v>0</v>
      </c>
      <c r="D430" t="s">
        <v>2546</v>
      </c>
      <c r="E430" t="str" cm="1">
        <f t="array" ref="E430">IF(COUNTIF(A:A, "*" &amp; LEFT(D430, FIND(" ", D430 &amp; " ") - 1) &amp; "*") &gt; 0,INDEX(A:A,FuzzyVLookup(D430,A:A,0,,,3)),"Non-PDL")</f>
        <v>memantine ER</v>
      </c>
      <c r="F430" t="str">
        <f t="shared" si="12"/>
        <v>Non-Preferred</v>
      </c>
      <c r="G430" s="1" cm="1">
        <f t="array" ref="G430">FuzzyPercent(D430,E430,3)</f>
        <v>0.3684210479259491</v>
      </c>
      <c r="H430" t="str">
        <f t="shared" si="13"/>
        <v/>
      </c>
    </row>
    <row r="431" spans="1:8" x14ac:dyDescent="0.2">
      <c r="A431" t="s">
        <v>854</v>
      </c>
      <c r="B431" t="s">
        <v>0</v>
      </c>
      <c r="D431" t="s">
        <v>2547</v>
      </c>
      <c r="E431" t="str" cm="1">
        <f t="array" ref="E431">IF(COUNTIF(A:A, "*" &amp; LEFT(D431, FIND(" ", D431 &amp; " ") - 1) &amp; "*") &gt; 0,INDEX(A:A,FuzzyVLookup(D431,A:A,0,,,3)),"Non-PDL")</f>
        <v>memantine ER</v>
      </c>
      <c r="F431" t="str">
        <f t="shared" si="12"/>
        <v>Non-Preferred</v>
      </c>
      <c r="G431" s="1" cm="1">
        <f t="array" ref="G431">FuzzyPercent(D431,E431,3)</f>
        <v>0.54000002145767212</v>
      </c>
      <c r="H431" t="str">
        <f t="shared" si="13"/>
        <v/>
      </c>
    </row>
    <row r="432" spans="1:8" x14ac:dyDescent="0.2">
      <c r="A432" t="s">
        <v>856</v>
      </c>
      <c r="B432" t="s">
        <v>0</v>
      </c>
      <c r="D432" t="s">
        <v>2548</v>
      </c>
      <c r="E432" t="str" cm="1">
        <f t="array" ref="E432">IF(COUNTIF(A:A, "*" &amp; LEFT(D432, FIND(" ", D432 &amp; " ") - 1) &amp; "*") &gt; 0,INDEX(A:A,FuzzyVLookup(D432,A:A,0,,,3)),"Non-PDL")</f>
        <v>memantine ER</v>
      </c>
      <c r="F432" t="str">
        <f t="shared" si="12"/>
        <v>Non-Preferred</v>
      </c>
      <c r="G432" s="1" cm="1">
        <f t="array" ref="G432">FuzzyPercent(D432,E432,3)</f>
        <v>0.80000001192092896</v>
      </c>
      <c r="H432" t="str">
        <f t="shared" si="13"/>
        <v/>
      </c>
    </row>
    <row r="433" spans="1:8" x14ac:dyDescent="0.2">
      <c r="A433" t="s">
        <v>858</v>
      </c>
      <c r="B433" t="s">
        <v>0</v>
      </c>
      <c r="D433" t="s">
        <v>2549</v>
      </c>
      <c r="E433" t="str" cm="1">
        <f t="array" ref="E433">IF(COUNTIF(A:A, "*" &amp; LEFT(D433, FIND(" ", D433 &amp; " ") - 1) &amp; "*") &gt; 0,INDEX(A:A,FuzzyVLookup(D433,A:A,0,,,3)),"Non-PDL")</f>
        <v>Non-PDL</v>
      </c>
      <c r="F433" t="str">
        <f t="shared" si="12"/>
        <v>Non-PDL</v>
      </c>
      <c r="G433" s="1" cm="1">
        <f t="array" ref="G433">FuzzyPercent(D433,E433,3)</f>
        <v>5.000000074505806E-2</v>
      </c>
      <c r="H433" t="str">
        <f t="shared" si="13"/>
        <v/>
      </c>
    </row>
    <row r="434" spans="1:8" x14ac:dyDescent="0.2">
      <c r="A434" t="s">
        <v>860</v>
      </c>
      <c r="B434" t="s">
        <v>0</v>
      </c>
      <c r="D434" t="s">
        <v>2550</v>
      </c>
      <c r="E434" t="str" cm="1">
        <f t="array" ref="E434">IF(COUNTIF(A:A, "*" &amp; LEFT(D434, FIND(" ", D434 &amp; " ") - 1) &amp; "*") &gt; 0,INDEX(A:A,FuzzyVLookup(D434,A:A,0,,,3)),"Non-PDL")</f>
        <v>metaxalone</v>
      </c>
      <c r="F434" t="str">
        <f t="shared" si="12"/>
        <v>Non-Preferred</v>
      </c>
      <c r="G434" s="1" cm="1">
        <f t="array" ref="G434">FuzzyPercent(D434,E434,3)</f>
        <v>1</v>
      </c>
      <c r="H434" t="str">
        <f t="shared" si="13"/>
        <v/>
      </c>
    </row>
    <row r="435" spans="1:8" x14ac:dyDescent="0.2">
      <c r="A435" t="s">
        <v>862</v>
      </c>
      <c r="B435" t="s">
        <v>0</v>
      </c>
      <c r="D435" t="s">
        <v>2551</v>
      </c>
      <c r="E435" t="str" cm="1">
        <f t="array" ref="E435">IF(COUNTIF(A:A, "*" &amp; LEFT(D435, FIND(" ", D435 &amp; " ") - 1) &amp; "*") &gt; 0,INDEX(A:A,FuzzyVLookup(D435,A:A,0,,,3)),"Non-PDL")</f>
        <v>metoprolol succinate</v>
      </c>
      <c r="F435" t="str">
        <f t="shared" si="12"/>
        <v>Preferred</v>
      </c>
      <c r="G435" s="1" cm="1">
        <f t="array" ref="G435">FuzzyPercent(D435,E435,3)</f>
        <v>0.59459459781646729</v>
      </c>
      <c r="H435" t="str">
        <f t="shared" si="13"/>
        <v/>
      </c>
    </row>
    <row r="436" spans="1:8" x14ac:dyDescent="0.2">
      <c r="A436" t="s">
        <v>864</v>
      </c>
      <c r="B436" t="s">
        <v>0</v>
      </c>
      <c r="D436" t="s">
        <v>2552</v>
      </c>
      <c r="E436" t="str" cm="1">
        <f t="array" ref="E436">IF(COUNTIF(A:A, "*" &amp; LEFT(D436, FIND(" ", D436 &amp; " ") - 1) &amp; "*") &gt; 0,INDEX(A:A,FuzzyVLookup(D436,A:A,0,,,3)),"Non-PDL")</f>
        <v>METROGEL (metronidazole)</v>
      </c>
      <c r="F436" t="str">
        <f t="shared" si="12"/>
        <v>Non-Preferred</v>
      </c>
      <c r="G436" s="1" cm="1">
        <f t="array" ref="G436">FuzzyPercent(D436,E436,3)</f>
        <v>0.36800000071525574</v>
      </c>
      <c r="H436" t="str">
        <f t="shared" si="13"/>
        <v/>
      </c>
    </row>
    <row r="437" spans="1:8" x14ac:dyDescent="0.2">
      <c r="A437" t="s">
        <v>866</v>
      </c>
      <c r="B437" t="s">
        <v>0</v>
      </c>
      <c r="D437" t="s">
        <v>2553</v>
      </c>
      <c r="E437" t="str" cm="1">
        <f t="array" ref="E437">IF(COUNTIF(A:A, "*" &amp; LEFT(D437, FIND(" ", D437 &amp; " ") - 1) &amp; "*") &gt; 0,INDEX(A:A,FuzzyVLookup(D437,A:A,0,,,3)),"Non-PDL")</f>
        <v>metronidazole tablet</v>
      </c>
      <c r="F437" t="str">
        <f t="shared" si="12"/>
        <v>Preferred</v>
      </c>
      <c r="G437" s="1" cm="1">
        <f t="array" ref="G437">FuzzyPercent(D437,E437,3)</f>
        <v>0.53947371244430542</v>
      </c>
      <c r="H437" t="str">
        <f t="shared" si="13"/>
        <v/>
      </c>
    </row>
    <row r="438" spans="1:8" x14ac:dyDescent="0.2">
      <c r="A438" t="s">
        <v>868</v>
      </c>
      <c r="B438" t="s">
        <v>0</v>
      </c>
      <c r="D438" t="s">
        <v>2554</v>
      </c>
      <c r="E438" t="str" cm="1">
        <f t="array" ref="E438">IF(COUNTIF(A:A, "*" &amp; LEFT(D438, FIND(" ", D438 &amp; " ") - 1) &amp; "*") &gt; 0,INDEX(A:A,FuzzyVLookup(D438,A:A,0,,,3)),"Non-PDL")</f>
        <v>FLEBOGAMMA</v>
      </c>
      <c r="F438" t="str">
        <f t="shared" si="12"/>
        <v>Preferred</v>
      </c>
      <c r="G438" s="1" cm="1">
        <f t="array" ref="G438">FuzzyPercent(D438,E438,3)</f>
        <v>0.21621622145175934</v>
      </c>
      <c r="H438" t="str">
        <f t="shared" si="13"/>
        <v>CHECK</v>
      </c>
    </row>
    <row r="439" spans="1:8" x14ac:dyDescent="0.2">
      <c r="A439" t="s">
        <v>870</v>
      </c>
      <c r="B439" t="s">
        <v>0</v>
      </c>
      <c r="D439" t="s">
        <v>2555</v>
      </c>
      <c r="E439" t="str" cm="1">
        <f t="array" ref="E439">IF(COUNTIF(A:A, "*" &amp; LEFT(D439, FIND(" ", D439 &amp; " ") - 1) &amp; "*") &gt; 0,INDEX(A:A,FuzzyVLookup(D439,A:A,0,,,3)),"Non-PDL")</f>
        <v>Non-PDL</v>
      </c>
      <c r="F439" t="str">
        <f t="shared" si="12"/>
        <v>Non-PDL</v>
      </c>
      <c r="G439" s="1" cm="1">
        <f t="array" ref="G439">FuzzyPercent(D439,E439,3)</f>
        <v>1.8018018454313278E-2</v>
      </c>
      <c r="H439" t="str">
        <f t="shared" si="13"/>
        <v/>
      </c>
    </row>
    <row r="440" spans="1:8" x14ac:dyDescent="0.2">
      <c r="A440" t="s">
        <v>872</v>
      </c>
      <c r="B440" t="s">
        <v>0</v>
      </c>
      <c r="D440" t="s">
        <v>2556</v>
      </c>
      <c r="E440" t="str" cm="1">
        <f t="array" ref="E440">IF(COUNTIF(A:A, "*" &amp; LEFT(D440, FIND(" ", D440 &amp; " ") - 1) &amp; "*") &gt; 0,INDEX(A:A,FuzzyVLookup(D440,A:A,0,,,3)),"Non-PDL")</f>
        <v>Non-PDL</v>
      </c>
      <c r="F440" t="str">
        <f t="shared" si="12"/>
        <v>Non-PDL</v>
      </c>
      <c r="G440" s="1" cm="1">
        <f t="array" ref="G440">FuzzyPercent(D440,E440,3)</f>
        <v>3.3333335071802139E-2</v>
      </c>
      <c r="H440" t="str">
        <f t="shared" si="13"/>
        <v/>
      </c>
    </row>
    <row r="441" spans="1:8" x14ac:dyDescent="0.2">
      <c r="A441" t="s">
        <v>874</v>
      </c>
      <c r="B441" t="s">
        <v>0</v>
      </c>
      <c r="D441" t="s">
        <v>255</v>
      </c>
      <c r="E441" t="str" cm="1">
        <f t="array" ref="E441">IF(COUNTIF(A:A, "*" &amp; LEFT(D441, FIND(" ", D441 &amp; " ") - 1) &amp; "*") &gt; 0,INDEX(A:A,FuzzyVLookup(D441,A:A,0,,,3)),"Non-PDL")</f>
        <v>Moexipril</v>
      </c>
      <c r="F441" t="str">
        <f t="shared" si="12"/>
        <v>Non-Preferred</v>
      </c>
      <c r="G441" s="1" cm="1">
        <f t="array" ref="G441">FuzzyPercent(D441,E441,3)</f>
        <v>1</v>
      </c>
      <c r="H441" t="str">
        <f t="shared" si="13"/>
        <v/>
      </c>
    </row>
    <row r="442" spans="1:8" x14ac:dyDescent="0.2">
      <c r="A442" t="s">
        <v>876</v>
      </c>
      <c r="B442" t="s">
        <v>0</v>
      </c>
      <c r="D442" t="s">
        <v>2557</v>
      </c>
      <c r="E442" t="str" cm="1">
        <f t="array" ref="E442">IF(COUNTIF(A:A, "*" &amp; LEFT(D442, FIND(" ", D442 &amp; " ") - 1) &amp; "*") &gt; 0,INDEX(A:A,FuzzyVLookup(D442,A:A,0,,,3)),"Non-PDL")</f>
        <v>MOUNJARO (tirzepatide)</v>
      </c>
      <c r="F442" t="str">
        <f t="shared" si="12"/>
        <v>Non-Preferred</v>
      </c>
      <c r="G442" s="1" cm="1">
        <f t="array" ref="G442">FuzzyPercent(D442,E442,3)</f>
        <v>0.42553192377090454</v>
      </c>
      <c r="H442" t="str">
        <f t="shared" si="13"/>
        <v/>
      </c>
    </row>
    <row r="443" spans="1:8" x14ac:dyDescent="0.2">
      <c r="A443" t="s">
        <v>878</v>
      </c>
      <c r="B443" t="s">
        <v>0</v>
      </c>
      <c r="D443" t="s">
        <v>2558</v>
      </c>
      <c r="E443" t="str" cm="1">
        <f t="array" ref="E443">IF(COUNTIF(A:A, "*" &amp; LEFT(D443, FIND(" ", D443 &amp; " ") - 1) &amp; "*") &gt; 0,INDEX(A:A,FuzzyVLookup(D443,A:A,0,,,3)),"Non-PDL")</f>
        <v>Non-PDL</v>
      </c>
      <c r="F443" t="str">
        <f t="shared" si="12"/>
        <v>Non-PDL</v>
      </c>
      <c r="G443" s="1" cm="1">
        <f t="array" ref="G443">FuzzyPercent(D443,E443,3)</f>
        <v>0.125</v>
      </c>
      <c r="H443" t="str">
        <f t="shared" si="13"/>
        <v/>
      </c>
    </row>
    <row r="444" spans="1:8" x14ac:dyDescent="0.2">
      <c r="A444" t="s">
        <v>880</v>
      </c>
      <c r="B444" t="s">
        <v>0</v>
      </c>
      <c r="D444" t="s">
        <v>2559</v>
      </c>
      <c r="E444" t="str" cm="1">
        <f t="array" ref="E444">IF(COUNTIF(A:A, "*" &amp; LEFT(D444, FIND(" ", D444 &amp; " ") - 1) &amp; "*") &gt; 0,INDEX(A:A,FuzzyVLookup(D444,A:A,0,,,3)),"Non-PDL")</f>
        <v>naloxone</v>
      </c>
      <c r="F444" t="str">
        <f t="shared" si="12"/>
        <v>Preferred</v>
      </c>
      <c r="G444" s="1" cm="1">
        <f t="array" ref="G444">FuzzyPercent(D444,E444,3)</f>
        <v>0.34482759237289429</v>
      </c>
      <c r="H444" t="str">
        <f t="shared" si="13"/>
        <v/>
      </c>
    </row>
    <row r="445" spans="1:8" x14ac:dyDescent="0.2">
      <c r="A445" t="s">
        <v>882</v>
      </c>
      <c r="B445" t="s">
        <v>0</v>
      </c>
      <c r="D445" t="s">
        <v>2560</v>
      </c>
      <c r="E445" t="str" cm="1">
        <f t="array" ref="E445">IF(COUNTIF(A:A, "*" &amp; LEFT(D445, FIND(" ", D445 &amp; " ") - 1) &amp; "*") &gt; 0,INDEX(A:A,FuzzyVLookup(D445,A:A,0,,,3)),"Non-PDL")</f>
        <v>NICOTROL NASAL SPRAY</v>
      </c>
      <c r="F445" t="str">
        <f t="shared" si="12"/>
        <v>Non-Preferred</v>
      </c>
      <c r="G445" s="1" cm="1">
        <f t="array" ref="G445">FuzzyPercent(D445,E445,3)</f>
        <v>0.34848484396934509</v>
      </c>
      <c r="H445" t="str">
        <f t="shared" si="13"/>
        <v/>
      </c>
    </row>
    <row r="446" spans="1:8" x14ac:dyDescent="0.2">
      <c r="A446" t="s">
        <v>884</v>
      </c>
      <c r="B446" t="s">
        <v>0</v>
      </c>
      <c r="D446" t="s">
        <v>2561</v>
      </c>
      <c r="E446" t="str" cm="1">
        <f t="array" ref="E446">IF(COUNTIF(A:A, "*" &amp; LEFT(D446, FIND(" ", D446 &amp; " ") - 1) &amp; "*") &gt; 0,INDEX(A:A,FuzzyVLookup(D446,A:A,0,,,3)),"Non-PDL")</f>
        <v>naloxone</v>
      </c>
      <c r="F446" t="str">
        <f t="shared" si="12"/>
        <v>Preferred</v>
      </c>
      <c r="G446" s="1" cm="1">
        <f t="array" ref="G446">FuzzyPercent(D446,E446,3)</f>
        <v>0.54054051637649536</v>
      </c>
      <c r="H446" t="str">
        <f t="shared" si="13"/>
        <v/>
      </c>
    </row>
    <row r="447" spans="1:8" x14ac:dyDescent="0.2">
      <c r="A447" t="s">
        <v>886</v>
      </c>
      <c r="B447" t="s">
        <v>0</v>
      </c>
      <c r="D447" t="s">
        <v>2562</v>
      </c>
      <c r="E447" t="str" cm="1">
        <f t="array" ref="E447">IF(COUNTIF(A:A, "*" &amp; LEFT(D447, FIND(" ", D447 &amp; " ") - 1) &amp; "*") &gt; 0,INDEX(A:A,FuzzyVLookup(D447,A:A,0,,,3)),"Non-PDL")</f>
        <v>NAMENDA (memantine)</v>
      </c>
      <c r="F447" t="str">
        <f t="shared" si="12"/>
        <v>Non-Preferred</v>
      </c>
      <c r="G447" s="1" cm="1">
        <f t="array" ref="G447">FuzzyPercent(D447,E447,3)</f>
        <v>0.42105263471603394</v>
      </c>
      <c r="H447" t="str">
        <f t="shared" si="13"/>
        <v/>
      </c>
    </row>
    <row r="448" spans="1:8" x14ac:dyDescent="0.2">
      <c r="A448" t="s">
        <v>888</v>
      </c>
      <c r="B448" t="s">
        <v>0</v>
      </c>
      <c r="D448" t="s">
        <v>2563</v>
      </c>
      <c r="E448" t="str" cm="1">
        <f t="array" ref="E448">IF(COUNTIF(A:A, "*" &amp; LEFT(D448, FIND(" ", D448 &amp; " ") - 1) &amp; "*") &gt; 0,INDEX(A:A,FuzzyVLookup(D448,A:A,0,,,3)),"Non-PDL")</f>
        <v>NAMENDA XR (memantine)</v>
      </c>
      <c r="F448" t="str">
        <f t="shared" si="12"/>
        <v>Non-Preferred</v>
      </c>
      <c r="G448" s="1" cm="1">
        <f t="array" ref="G448">FuzzyPercent(D448,E448,3)</f>
        <v>0.53465348482131958</v>
      </c>
      <c r="H448" t="str">
        <f t="shared" si="13"/>
        <v/>
      </c>
    </row>
    <row r="449" spans="1:8" x14ac:dyDescent="0.2">
      <c r="A449" t="s">
        <v>890</v>
      </c>
      <c r="B449" t="s">
        <v>0</v>
      </c>
      <c r="D449" t="s">
        <v>2564</v>
      </c>
      <c r="E449" t="str" cm="1">
        <f t="array" ref="E449">IF(COUNTIF(A:A, "*" &amp; LEFT(D449, FIND(" ", D449 &amp; " ") - 1) &amp; "*") &gt; 0,INDEX(A:A,FuzzyVLookup(D449,A:A,0,,,3)),"Non-PDL")</f>
        <v>NAMZARIC (memantine/donepezil)</v>
      </c>
      <c r="F449" t="str">
        <f t="shared" si="12"/>
        <v>Non-Preferred</v>
      </c>
      <c r="G449" s="1" cm="1">
        <f t="array" ref="G449">FuzzyPercent(D449,E449,3)</f>
        <v>0.30534350872039795</v>
      </c>
      <c r="H449" t="str">
        <f t="shared" si="13"/>
        <v/>
      </c>
    </row>
    <row r="450" spans="1:8" x14ac:dyDescent="0.2">
      <c r="A450" t="s">
        <v>892</v>
      </c>
      <c r="B450" t="s">
        <v>0</v>
      </c>
      <c r="D450" t="s">
        <v>2565</v>
      </c>
      <c r="E450" t="str" cm="1">
        <f t="array" ref="E450">IF(COUNTIF(A:A, "*" &amp; LEFT(D450, FIND(" ", D450 &amp; " ") - 1) &amp; "*") &gt; 0,INDEX(A:A,FuzzyVLookup(D450,A:A,0,,,3)),"Non-PDL")</f>
        <v>NARCAN (naloxone)</v>
      </c>
      <c r="F450" t="str">
        <f t="shared" si="12"/>
        <v>Preferred</v>
      </c>
      <c r="G450" s="1" cm="1">
        <f t="array" ref="G450">FuzzyPercent(D450,E450,3)</f>
        <v>0.42424243688583374</v>
      </c>
      <c r="H450" t="str">
        <f t="shared" si="13"/>
        <v/>
      </c>
    </row>
    <row r="451" spans="1:8" x14ac:dyDescent="0.2">
      <c r="A451" t="s">
        <v>894</v>
      </c>
      <c r="B451" t="s">
        <v>0</v>
      </c>
      <c r="D451" t="s">
        <v>2566</v>
      </c>
      <c r="E451" t="str" cm="1">
        <f t="array" ref="E451">IF(COUNTIF(A:A, "*" &amp; LEFT(D451, FIND(" ", D451 &amp; " ") - 1) &amp; "*") &gt; 0,INDEX(A:A,FuzzyVLookup(D451,A:A,0,,,3)),"Non-PDL")</f>
        <v>NATACYN (natamycin0</v>
      </c>
      <c r="F451" t="str">
        <f t="shared" ref="F451:F514" si="14">_xlfn.IFNA(_xlfn.XLOOKUP(E451,A:A,B:B),"Non-PDL")</f>
        <v>Non-Preferred</v>
      </c>
      <c r="G451" s="1" cm="1">
        <f t="array" ref="G451">FuzzyPercent(D451,E451,3)</f>
        <v>0.36250001192092896</v>
      </c>
      <c r="H451" t="str">
        <f t="shared" ref="H451:H514" si="15">IF(F451="Non-PDL","",IF(G451&lt;0.3,"CHECK",""))</f>
        <v/>
      </c>
    </row>
    <row r="452" spans="1:8" x14ac:dyDescent="0.2">
      <c r="A452" t="s">
        <v>896</v>
      </c>
      <c r="B452" t="s">
        <v>0</v>
      </c>
      <c r="D452" t="s">
        <v>2567</v>
      </c>
      <c r="E452" t="str" cm="1">
        <f t="array" ref="E452">IF(COUNTIF(A:A, "*" &amp; LEFT(D452, FIND(" ", D452 &amp; " ") - 1) &amp; "*") &gt; 0,INDEX(A:A,FuzzyVLookup(D452,A:A,0,,,3)),"Non-PDL")</f>
        <v>Non-PDL</v>
      </c>
      <c r="F452" t="str">
        <f t="shared" si="14"/>
        <v>Non-PDL</v>
      </c>
      <c r="G452" s="1" cm="1">
        <f t="array" ref="G452">FuzzyPercent(D452,E452,3)</f>
        <v>6.25E-2</v>
      </c>
      <c r="H452" t="str">
        <f t="shared" si="15"/>
        <v/>
      </c>
    </row>
    <row r="453" spans="1:8" x14ac:dyDescent="0.2">
      <c r="A453" t="s">
        <v>898</v>
      </c>
      <c r="B453" t="s">
        <v>0</v>
      </c>
      <c r="D453" t="s">
        <v>2568</v>
      </c>
      <c r="E453" t="str" cm="1">
        <f t="array" ref="E453">IF(COUNTIF(A:A, "*" &amp; LEFT(D453, FIND(" ", D453 &amp; " ") - 1) &amp; "*") &gt; 0,INDEX(A:A,FuzzyVLookup(D453,A:A,0,,,3)),"Non-PDL")</f>
        <v>NAYZILAM (midazolam)</v>
      </c>
      <c r="F453" t="str">
        <f t="shared" si="14"/>
        <v>Preferred</v>
      </c>
      <c r="G453" s="1" cm="1">
        <f t="array" ref="G453">FuzzyPercent(D453,E453,3)</f>
        <v>0.46511629223823547</v>
      </c>
      <c r="H453" t="str">
        <f t="shared" si="15"/>
        <v/>
      </c>
    </row>
    <row r="454" spans="1:8" x14ac:dyDescent="0.2">
      <c r="A454" t="s">
        <v>900</v>
      </c>
      <c r="B454" t="s">
        <v>0</v>
      </c>
      <c r="D454" t="s">
        <v>2569</v>
      </c>
      <c r="E454" t="str" cm="1">
        <f t="array" ref="E454">IF(COUNTIF(A:A, "*" &amp; LEFT(D454, FIND(" ", D454 &amp; " ") - 1) &amp; "*") &gt; 0,INDEX(A:A,FuzzyVLookup(D454,A:A,0,,,3)),"Non-PDL")</f>
        <v>simvastatin</v>
      </c>
      <c r="F454" t="str">
        <f t="shared" si="14"/>
        <v>Preferred</v>
      </c>
      <c r="G454" s="1" cm="1">
        <f t="array" ref="G454">FuzzyPercent(D454,E454,3)</f>
        <v>0.28571429848670959</v>
      </c>
      <c r="H454" t="str">
        <f t="shared" si="15"/>
        <v>CHECK</v>
      </c>
    </row>
    <row r="455" spans="1:8" x14ac:dyDescent="0.2">
      <c r="A455" t="s">
        <v>902</v>
      </c>
      <c r="B455" t="s">
        <v>0</v>
      </c>
      <c r="D455" t="s">
        <v>2570</v>
      </c>
      <c r="E455" t="str" cm="1">
        <f t="array" ref="E455">IF(COUNTIF(A:A, "*" &amp; LEFT(D455, FIND(" ", D455 &amp; " ") - 1) &amp; "*") &gt; 0,INDEX(A:A,FuzzyVLookup(D455,A:A,0,,,3)),"Non-PDL")</f>
        <v>NEULASTA, NEULASTA ONPRO (pegfilgrastim)</v>
      </c>
      <c r="F455" t="str">
        <f t="shared" si="14"/>
        <v>Non-Preferred</v>
      </c>
      <c r="G455" s="1" cm="1">
        <f t="array" ref="G455">FuzzyPercent(D455,E455,3)</f>
        <v>0.34170854091644287</v>
      </c>
      <c r="H455" t="str">
        <f t="shared" si="15"/>
        <v/>
      </c>
    </row>
    <row r="456" spans="1:8" x14ac:dyDescent="0.2">
      <c r="A456" t="s">
        <v>904</v>
      </c>
      <c r="B456" t="s">
        <v>0</v>
      </c>
      <c r="D456" t="s">
        <v>2571</v>
      </c>
      <c r="E456" t="str" cm="1">
        <f t="array" ref="E456">IF(COUNTIF(A:A, "*" &amp; LEFT(D456, FIND(" ", D456 &amp; " ") - 1) &amp; "*") &gt; 0,INDEX(A:A,FuzzyVLookup(D456,A:A,0,,,3)),"Non-PDL")</f>
        <v>paroxetine suspension, capsule</v>
      </c>
      <c r="F456" t="str">
        <f t="shared" si="14"/>
        <v>Non-Preferred</v>
      </c>
      <c r="G456" s="1" cm="1">
        <f t="array" ref="G456">FuzzyPercent(D456,E456,3)</f>
        <v>0.23364485800266266</v>
      </c>
      <c r="H456" t="str">
        <f t="shared" si="15"/>
        <v>CHECK</v>
      </c>
    </row>
    <row r="457" spans="1:8" x14ac:dyDescent="0.2">
      <c r="A457" t="s">
        <v>906</v>
      </c>
      <c r="B457" t="s">
        <v>0</v>
      </c>
      <c r="D457" t="s">
        <v>2572</v>
      </c>
      <c r="E457" t="str" cm="1">
        <f t="array" ref="E457">IF(COUNTIF(A:A, "*" &amp; LEFT(D457, FIND(" ", D457 &amp; " ") - 1) &amp; "*") &gt; 0,INDEX(A:A,FuzzyVLookup(D457,A:A,0,,,3)),"Non-PDL")</f>
        <v>NEXAVAR (sorafenib)</v>
      </c>
      <c r="F457" t="str">
        <f t="shared" si="14"/>
        <v>Preferred</v>
      </c>
      <c r="G457" s="1" cm="1">
        <f t="array" ref="G457">FuzzyPercent(D457,E457,3)</f>
        <v>0.42105263471603394</v>
      </c>
      <c r="H457" t="str">
        <f t="shared" si="15"/>
        <v/>
      </c>
    </row>
    <row r="458" spans="1:8" x14ac:dyDescent="0.2">
      <c r="A458" t="s">
        <v>908</v>
      </c>
      <c r="B458" t="s">
        <v>0</v>
      </c>
      <c r="D458" t="s">
        <v>2573</v>
      </c>
      <c r="E458" t="str" cm="1">
        <f t="array" ref="E458">IF(COUNTIF(A:A, "*" &amp; LEFT(D458, FIND(" ", D458 &amp; " ") - 1) &amp; "*") &gt; 0,INDEX(A:A,FuzzyVLookup(D458,A:A,0,,,3)),"Non-PDL")</f>
        <v>fluoxetine DR capsule</v>
      </c>
      <c r="F458" t="str">
        <f t="shared" si="14"/>
        <v>Non-Preferred</v>
      </c>
      <c r="G458" s="1" cm="1">
        <f t="array" ref="G458">FuzzyPercent(D458,E458,3)</f>
        <v>0.36885246634483337</v>
      </c>
      <c r="H458" t="str">
        <f t="shared" si="15"/>
        <v/>
      </c>
    </row>
    <row r="459" spans="1:8" x14ac:dyDescent="0.2">
      <c r="A459" t="s">
        <v>910</v>
      </c>
      <c r="B459" t="s">
        <v>0</v>
      </c>
      <c r="D459" t="s">
        <v>2574</v>
      </c>
      <c r="E459" t="str" cm="1">
        <f t="array" ref="E459">IF(COUNTIF(A:A, "*" &amp; LEFT(D459, FIND(" ", D459 &amp; " ") - 1) &amp; "*") &gt; 0,INDEX(A:A,FuzzyVLookup(D459,A:A,0,,,3)),"Non-PDL")</f>
        <v>NEXIUM (esomeprazole) packet</v>
      </c>
      <c r="F459" t="str">
        <f t="shared" si="14"/>
        <v>Preferred</v>
      </c>
      <c r="G459" s="1" cm="1">
        <f t="array" ref="G459">FuzzyPercent(D459,E459,3)</f>
        <v>0.20000000298023224</v>
      </c>
      <c r="H459" t="str">
        <f t="shared" si="15"/>
        <v>CHECK</v>
      </c>
    </row>
    <row r="460" spans="1:8" x14ac:dyDescent="0.2">
      <c r="A460" t="s">
        <v>912</v>
      </c>
      <c r="B460" t="s">
        <v>0</v>
      </c>
      <c r="D460" t="s">
        <v>2575</v>
      </c>
      <c r="E460" t="str" cm="1">
        <f t="array" ref="E460">IF(COUNTIF(A:A, "*" &amp; LEFT(D460, FIND(" ", D460 &amp; " ") - 1) &amp; "*") &gt; 0,INDEX(A:A,FuzzyVLookup(D460,A:A,0,,,3)),"Non-PDL")</f>
        <v>NEXTSTELLIS (drospirenone/estetrol)</v>
      </c>
      <c r="F460" t="str">
        <f t="shared" si="14"/>
        <v>Preferred</v>
      </c>
      <c r="G460" s="1" cm="1">
        <f t="array" ref="G460">FuzzyPercent(D460,E460,3)</f>
        <v>0.36250001192092896</v>
      </c>
      <c r="H460" t="str">
        <f t="shared" si="15"/>
        <v/>
      </c>
    </row>
    <row r="461" spans="1:8" x14ac:dyDescent="0.2">
      <c r="A461" t="s">
        <v>914</v>
      </c>
      <c r="B461" t="s">
        <v>0</v>
      </c>
      <c r="D461" t="s">
        <v>2576</v>
      </c>
      <c r="E461" t="str" cm="1">
        <f t="array" ref="E461">IF(COUNTIF(A:A, "*" &amp; LEFT(D461, FIND(" ", D461 &amp; " ") - 1) &amp; "*") &gt; 0,INDEX(A:A,FuzzyVLookup(D461,A:A,0,,,3)),"Non-PDL")</f>
        <v>Non-PDL</v>
      </c>
      <c r="F461" t="str">
        <f t="shared" si="14"/>
        <v>Non-PDL</v>
      </c>
      <c r="G461" s="1" cm="1">
        <f t="array" ref="G461">FuzzyPercent(D461,E461,3)</f>
        <v>3.7037037312984467E-2</v>
      </c>
      <c r="H461" t="str">
        <f t="shared" si="15"/>
        <v/>
      </c>
    </row>
    <row r="462" spans="1:8" x14ac:dyDescent="0.2">
      <c r="A462" t="s">
        <v>916</v>
      </c>
      <c r="B462" t="s">
        <v>0</v>
      </c>
      <c r="D462" t="s">
        <v>2577</v>
      </c>
      <c r="E462" t="str" cm="1">
        <f t="array" ref="E462">IF(COUNTIF(A:A, "*" &amp; LEFT(D462, FIND(" ", D462 &amp; " ") - 1) &amp; "*") &gt; 0,INDEX(A:A,FuzzyVLookup(D462,A:A,0,,,3)),"Non-PDL")</f>
        <v>NGENLA (somatrogon-ghla)</v>
      </c>
      <c r="F462" t="str">
        <f t="shared" si="14"/>
        <v>Non-Preferred</v>
      </c>
      <c r="G462" s="1" cm="1">
        <f t="array" ref="G462">FuzzyPercent(D462,E462,3)</f>
        <v>0.28571429848670959</v>
      </c>
      <c r="H462" t="str">
        <f t="shared" si="15"/>
        <v>CHECK</v>
      </c>
    </row>
    <row r="463" spans="1:8" x14ac:dyDescent="0.2">
      <c r="A463" t="s">
        <v>918</v>
      </c>
      <c r="B463" t="s">
        <v>0</v>
      </c>
      <c r="D463" t="s">
        <v>2578</v>
      </c>
      <c r="E463" t="str" cm="1">
        <f t="array" ref="E463">IF(COUNTIF(A:A, "*" &amp; LEFT(D463, FIND(" ", D463 &amp; " ") - 1) &amp; "*") &gt; 0,INDEX(A:A,FuzzyVLookup(D463,A:A,0,,,3)),"Non-PDL")</f>
        <v>Non-PDL</v>
      </c>
      <c r="F463" t="str">
        <f t="shared" si="14"/>
        <v>Non-PDL</v>
      </c>
      <c r="G463" s="1" cm="1">
        <f t="array" ref="G463">FuzzyPercent(D463,E463,3)</f>
        <v>8.6956523358821869E-2</v>
      </c>
      <c r="H463" t="str">
        <f t="shared" si="15"/>
        <v/>
      </c>
    </row>
    <row r="464" spans="1:8" x14ac:dyDescent="0.2">
      <c r="A464" t="s">
        <v>920</v>
      </c>
      <c r="B464" t="s">
        <v>0</v>
      </c>
      <c r="D464" t="s">
        <v>2579</v>
      </c>
      <c r="E464" t="str" cm="1">
        <f t="array" ref="E464">IF(COUNTIF(A:A, "*" &amp; LEFT(D464, FIND(" ", D464 &amp; " ") - 1) &amp; "*") &gt; 0,INDEX(A:A,FuzzyVLookup(D464,A:A,0,,,3)),"Non-PDL")</f>
        <v>Non-PDL</v>
      </c>
      <c r="F464" t="str">
        <f t="shared" si="14"/>
        <v>Non-PDL</v>
      </c>
      <c r="G464" s="1" cm="1">
        <f t="array" ref="G464">FuzzyPercent(D464,E464,3)</f>
        <v>0.1875</v>
      </c>
      <c r="H464" t="str">
        <f t="shared" si="15"/>
        <v/>
      </c>
    </row>
    <row r="465" spans="1:8" x14ac:dyDescent="0.2">
      <c r="A465" t="s">
        <v>922</v>
      </c>
      <c r="B465" t="s">
        <v>0</v>
      </c>
      <c r="D465" t="s">
        <v>2580</v>
      </c>
      <c r="E465" t="str" cm="1">
        <f t="array" ref="E465">IF(COUNTIF(A:A, "*" &amp; LEFT(D465, FIND(" ", D465 &amp; " ") - 1) &amp; "*") &gt; 0,INDEX(A:A,FuzzyVLookup(D465,A:A,0,,,3)),"Non-PDL")</f>
        <v>NORDITROPIN FLEXPRO (somatropin)</v>
      </c>
      <c r="F465" t="str">
        <f t="shared" si="14"/>
        <v>Preferred</v>
      </c>
      <c r="G465" s="1" cm="1">
        <f t="array" ref="G465">FuzzyPercent(D465,E465,3)</f>
        <v>0.39189189672470093</v>
      </c>
      <c r="H465" t="str">
        <f t="shared" si="15"/>
        <v/>
      </c>
    </row>
    <row r="466" spans="1:8" x14ac:dyDescent="0.2">
      <c r="A466" t="s">
        <v>924</v>
      </c>
      <c r="B466" t="s">
        <v>0</v>
      </c>
      <c r="D466" t="s">
        <v>2581</v>
      </c>
      <c r="E466" t="str" cm="1">
        <f t="array" ref="E466">IF(COUNTIF(A:A, "*" &amp; LEFT(D466, FIND(" ", D466 &amp; " ") - 1) &amp; "*") &gt; 0,INDEX(A:A,FuzzyVLookup(D466,A:A,0,,,3)),"Non-PDL")</f>
        <v>NORGESIC FORTE (orphenadrine/aspirin/caffeine)</v>
      </c>
      <c r="F466" t="str">
        <f t="shared" si="14"/>
        <v>Non-Preferred</v>
      </c>
      <c r="G466" s="1" cm="1">
        <f t="array" ref="G466">FuzzyPercent(D466,E466,3)</f>
        <v>0.36123347282409668</v>
      </c>
      <c r="H466" t="str">
        <f t="shared" si="15"/>
        <v/>
      </c>
    </row>
    <row r="467" spans="1:8" x14ac:dyDescent="0.2">
      <c r="A467" t="s">
        <v>926</v>
      </c>
      <c r="B467" t="s">
        <v>0</v>
      </c>
      <c r="D467" t="s">
        <v>2582</v>
      </c>
      <c r="E467" t="str" cm="1">
        <f t="array" ref="E467">IF(COUNTIF(A:A, "*" &amp; LEFT(D467, FIND(" ", D467 &amp; " ") - 1) &amp; "*") &gt; 0,INDEX(A:A,FuzzyVLookup(D467,A:A,0,,,3)),"Non-PDL")</f>
        <v>NOVOEIGHT</v>
      </c>
      <c r="F467" t="str">
        <f t="shared" si="14"/>
        <v>Preferred</v>
      </c>
      <c r="G467" s="1" cm="1">
        <f t="array" ref="G467">FuzzyPercent(D467,E467,3)</f>
        <v>1</v>
      </c>
      <c r="H467" t="str">
        <f t="shared" si="15"/>
        <v/>
      </c>
    </row>
    <row r="468" spans="1:8" x14ac:dyDescent="0.2">
      <c r="A468" t="s">
        <v>928</v>
      </c>
      <c r="B468" t="s">
        <v>0</v>
      </c>
      <c r="D468" t="s">
        <v>2583</v>
      </c>
      <c r="E468" t="str" cm="1">
        <f t="array" ref="E468">IF(COUNTIF(A:A, "*" &amp; LEFT(D468, FIND(" ", D468 &amp; " ") - 1) &amp; "*") &gt; 0,INDEX(A:A,FuzzyVLookup(D468,A:A,0,,,3)),"Non-PDL")</f>
        <v>NOVOLIN 70/30 (insulin NPH/regular)</v>
      </c>
      <c r="F468" t="str">
        <f t="shared" si="14"/>
        <v>Non-Preferred</v>
      </c>
      <c r="G468" s="1" cm="1">
        <f t="array" ref="G468">FuzzyPercent(D468,E468,3)</f>
        <v>0.4404761791229248</v>
      </c>
      <c r="H468" t="str">
        <f t="shared" si="15"/>
        <v/>
      </c>
    </row>
    <row r="469" spans="1:8" x14ac:dyDescent="0.2">
      <c r="A469" t="s">
        <v>930</v>
      </c>
      <c r="B469" t="s">
        <v>0</v>
      </c>
      <c r="D469" t="s">
        <v>2584</v>
      </c>
      <c r="E469" t="str" cm="1">
        <f t="array" ref="E469">IF(COUNTIF(A:A, "*" &amp; LEFT(D469, FIND(" ", D469 &amp; " ") - 1) &amp; "*") &gt; 0,INDEX(A:A,FuzzyVLookup(D469,A:A,0,,,3)),"Non-PDL")</f>
        <v>NOVOLIN 70/30 (insulin NPH/regular)</v>
      </c>
      <c r="F469" t="str">
        <f t="shared" si="14"/>
        <v>Non-Preferred</v>
      </c>
      <c r="G469" s="1" cm="1">
        <f t="array" ref="G469">FuzzyPercent(D469,E469,3)</f>
        <v>0.38990825414657593</v>
      </c>
      <c r="H469" t="str">
        <f t="shared" si="15"/>
        <v/>
      </c>
    </row>
    <row r="470" spans="1:8" x14ac:dyDescent="0.2">
      <c r="A470" t="s">
        <v>932</v>
      </c>
      <c r="B470" t="s">
        <v>0</v>
      </c>
      <c r="D470" t="s">
        <v>2585</v>
      </c>
      <c r="E470" t="str" cm="1">
        <f t="array" ref="E470">IF(COUNTIF(A:A, "*" &amp; LEFT(D470, FIND(" ", D470 &amp; " ") - 1) &amp; "*") &gt; 0,INDEX(A:A,FuzzyVLookup(D470,A:A,0,,,3)),"Non-PDL")</f>
        <v>NOVOEIGHT</v>
      </c>
      <c r="F470" t="str">
        <f t="shared" si="14"/>
        <v>Preferred</v>
      </c>
      <c r="G470" s="1" cm="1">
        <f t="array" ref="G470">FuzzyPercent(D470,E470,3)</f>
        <v>0.39130434393882751</v>
      </c>
      <c r="H470" t="str">
        <f t="shared" si="15"/>
        <v/>
      </c>
    </row>
    <row r="471" spans="1:8" x14ac:dyDescent="0.2">
      <c r="A471" t="s">
        <v>934</v>
      </c>
      <c r="B471" t="s">
        <v>0</v>
      </c>
      <c r="D471" t="s">
        <v>2586</v>
      </c>
      <c r="E471" t="str" cm="1">
        <f t="array" ref="E471">IF(COUNTIF(A:A, "*" &amp; LEFT(D471, FIND(" ", D471 &amp; " ") - 1) &amp; "*") &gt; 0,INDEX(A:A,FuzzyVLookup(D471,A:A,0,,,3)),"Non-PDL")</f>
        <v>NOVOEIGHT</v>
      </c>
      <c r="F471" t="str">
        <f t="shared" si="14"/>
        <v>Preferred</v>
      </c>
      <c r="G471" s="1" cm="1">
        <f t="array" ref="G471">FuzzyPercent(D471,E471,3)</f>
        <v>0.39130434393882751</v>
      </c>
      <c r="H471" t="str">
        <f t="shared" si="15"/>
        <v/>
      </c>
    </row>
    <row r="472" spans="1:8" x14ac:dyDescent="0.2">
      <c r="A472" t="s">
        <v>936</v>
      </c>
      <c r="B472" t="s">
        <v>0</v>
      </c>
      <c r="D472" t="s">
        <v>2587</v>
      </c>
      <c r="E472" t="str" cm="1">
        <f t="array" ref="E472">IF(COUNTIF(A:A, "*" &amp; LEFT(D472, FIND(" ", D472 &amp; " ") - 1) &amp; "*") &gt; 0,INDEX(A:A,FuzzyVLookup(D472,A:A,0,,,3)),"Non-PDL")</f>
        <v>NOVOEIGHT</v>
      </c>
      <c r="F472" t="str">
        <f t="shared" si="14"/>
        <v>Preferred</v>
      </c>
      <c r="G472" s="1" cm="1">
        <f t="array" ref="G472">FuzzyPercent(D472,E472,3)</f>
        <v>0.46153846383094788</v>
      </c>
      <c r="H472" t="str">
        <f t="shared" si="15"/>
        <v/>
      </c>
    </row>
    <row r="473" spans="1:8" x14ac:dyDescent="0.2">
      <c r="A473" t="s">
        <v>938</v>
      </c>
      <c r="B473" t="s">
        <v>0</v>
      </c>
      <c r="D473" t="s">
        <v>2588</v>
      </c>
      <c r="E473" t="str" cm="1">
        <f t="array" ref="E473">IF(COUNTIF(A:A, "*" &amp; LEFT(D473, FIND(" ", D473 &amp; " ") - 1) &amp; "*") &gt; 0,INDEX(A:A,FuzzyVLookup(D473,A:A,0,,,3)),"Non-PDL")</f>
        <v>NOVOLOG (insulin aspart)</v>
      </c>
      <c r="F473" t="str">
        <f t="shared" si="14"/>
        <v>Non-Preferred</v>
      </c>
      <c r="G473" s="1" cm="1">
        <f t="array" ref="G473">FuzzyPercent(D473,E473,3)</f>
        <v>0.32352942228317261</v>
      </c>
      <c r="H473" t="str">
        <f t="shared" si="15"/>
        <v/>
      </c>
    </row>
    <row r="474" spans="1:8" x14ac:dyDescent="0.2">
      <c r="A474" t="s">
        <v>940</v>
      </c>
      <c r="B474" t="s">
        <v>0</v>
      </c>
      <c r="D474" t="s">
        <v>2589</v>
      </c>
      <c r="E474" t="str" cm="1">
        <f t="array" ref="E474">IF(COUNTIF(A:A, "*" &amp; LEFT(D474, FIND(" ", D474 &amp; " ") - 1) &amp; "*") &gt; 0,INDEX(A:A,FuzzyVLookup(D474,A:A,0,,,3)),"Non-PDL")</f>
        <v>NOVOLOG (insulin aspart)</v>
      </c>
      <c r="F474" t="str">
        <f t="shared" si="14"/>
        <v>Non-Preferred</v>
      </c>
      <c r="G474" s="1" cm="1">
        <f t="array" ref="G474">FuzzyPercent(D474,E474,3)</f>
        <v>0.31782945990562439</v>
      </c>
      <c r="H474" t="str">
        <f t="shared" si="15"/>
        <v/>
      </c>
    </row>
    <row r="475" spans="1:8" x14ac:dyDescent="0.2">
      <c r="A475" t="s">
        <v>942</v>
      </c>
      <c r="B475" t="s">
        <v>0</v>
      </c>
      <c r="D475" t="s">
        <v>2590</v>
      </c>
      <c r="E475" t="str" cm="1">
        <f t="array" ref="E475">IF(COUNTIF(A:A, "*" &amp; LEFT(D475, FIND(" ", D475 &amp; " ") - 1) &amp; "*") &gt; 0,INDEX(A:A,FuzzyVLookup(D475,A:A,0,,,3)),"Non-PDL")</f>
        <v>NOVOLOG (insulin aspart)</v>
      </c>
      <c r="F475" t="str">
        <f t="shared" si="14"/>
        <v>Non-Preferred</v>
      </c>
      <c r="G475" s="1" cm="1">
        <f t="array" ref="G475">FuzzyPercent(D475,E475,3)</f>
        <v>0.3305785059928894</v>
      </c>
      <c r="H475" t="str">
        <f t="shared" si="15"/>
        <v/>
      </c>
    </row>
    <row r="476" spans="1:8" x14ac:dyDescent="0.2">
      <c r="A476" t="s">
        <v>943</v>
      </c>
      <c r="B476" t="s">
        <v>0</v>
      </c>
      <c r="D476" t="s">
        <v>2591</v>
      </c>
      <c r="E476" t="str" cm="1">
        <f t="array" ref="E476">IF(COUNTIF(A:A, "*" &amp; LEFT(D476, FIND(" ", D476 &amp; " ") - 1) &amp; "*") &gt; 0,INDEX(A:A,FuzzyVLookup(D476,A:A,0,,,3)),"Non-PDL")</f>
        <v>NOVOLOG (insulin aspart)</v>
      </c>
      <c r="F476" t="str">
        <f t="shared" si="14"/>
        <v>Non-Preferred</v>
      </c>
      <c r="G476" s="1" cm="1">
        <f t="array" ref="G476">FuzzyPercent(D476,E476,3)</f>
        <v>0.27922078967094421</v>
      </c>
      <c r="H476" t="str">
        <f t="shared" si="15"/>
        <v>CHECK</v>
      </c>
    </row>
    <row r="477" spans="1:8" x14ac:dyDescent="0.2">
      <c r="A477" t="s">
        <v>945</v>
      </c>
      <c r="B477" t="s">
        <v>0</v>
      </c>
      <c r="D477" t="s">
        <v>2592</v>
      </c>
      <c r="E477" t="str" cm="1">
        <f t="array" ref="E477">IF(COUNTIF(A:A, "*" &amp; LEFT(D477, FIND(" ", D477 &amp; " ") - 1) &amp; "*") &gt; 0,INDEX(A:A,FuzzyVLookup(D477,A:A,0,,,3)),"Non-PDL")</f>
        <v>NOVOSEVEN RT (factor VII)</v>
      </c>
      <c r="F477" t="str">
        <f t="shared" si="14"/>
        <v>Non-Preferred</v>
      </c>
      <c r="G477" s="1" cm="1">
        <f t="array" ref="G477">FuzzyPercent(D477,E477,3)</f>
        <v>0.57377046346664429</v>
      </c>
      <c r="H477" t="str">
        <f t="shared" si="15"/>
        <v/>
      </c>
    </row>
    <row r="478" spans="1:8" x14ac:dyDescent="0.2">
      <c r="A478" t="s">
        <v>947</v>
      </c>
      <c r="B478" t="s">
        <v>0</v>
      </c>
      <c r="D478" t="s">
        <v>2593</v>
      </c>
      <c r="E478" t="str" cm="1">
        <f t="array" ref="E478">IF(COUNTIF(A:A, "*" &amp; LEFT(D478, FIND(" ", D478 &amp; " ") - 1) &amp; "*") &gt; 0,INDEX(A:A,FuzzyVLookup(D478,A:A,0,,,3)),"Non-PDL")</f>
        <v>valproic acid</v>
      </c>
      <c r="F478" t="str">
        <f t="shared" si="14"/>
        <v>Preferred</v>
      </c>
      <c r="G478" s="1" cm="1">
        <f t="array" ref="G478">FuzzyPercent(D478,E478,3)</f>
        <v>0.15625</v>
      </c>
      <c r="H478" t="str">
        <f t="shared" si="15"/>
        <v>CHECK</v>
      </c>
    </row>
    <row r="479" spans="1:8" x14ac:dyDescent="0.2">
      <c r="A479" t="s">
        <v>948</v>
      </c>
      <c r="B479" t="s">
        <v>0</v>
      </c>
      <c r="D479" t="s">
        <v>2594</v>
      </c>
      <c r="E479" t="str" cm="1">
        <f t="array" ref="E479">IF(COUNTIF(A:A, "*" &amp; LEFT(D479, FIND(" ", D479 &amp; " ") - 1) &amp; "*") &gt; 0,INDEX(A:A,FuzzyVLookup(D479,A:A,0,,,3)),"Non-PDL")</f>
        <v>NUBEQA (darolutamide)</v>
      </c>
      <c r="F479" t="str">
        <f t="shared" si="14"/>
        <v>Non-Preferred</v>
      </c>
      <c r="G479" s="1" cm="1">
        <f t="array" ref="G479">FuzzyPercent(D479,E479,3)</f>
        <v>0.3333333432674408</v>
      </c>
      <c r="H479" t="str">
        <f t="shared" si="15"/>
        <v/>
      </c>
    </row>
    <row r="480" spans="1:8" x14ac:dyDescent="0.2">
      <c r="A480" t="s">
        <v>950</v>
      </c>
      <c r="B480" t="s">
        <v>0</v>
      </c>
      <c r="D480" t="s">
        <v>2595</v>
      </c>
      <c r="E480" t="str" cm="1">
        <f t="array" ref="E480">IF(COUNTIF(A:A, "*" &amp; LEFT(D480, FIND(" ", D480 &amp; " ") - 1) &amp; "*") &gt; 0,INDEX(A:A,FuzzyVLookup(D480,A:A,0,,,3)),"Non-PDL")</f>
        <v>DUOCAL</v>
      </c>
      <c r="F480" t="str">
        <f t="shared" si="14"/>
        <v>Preferred</v>
      </c>
      <c r="G480" s="1" cm="1">
        <f t="array" ref="G480">FuzzyPercent(D480,E480,3)</f>
        <v>0.3571428656578064</v>
      </c>
      <c r="H480" t="str">
        <f t="shared" si="15"/>
        <v/>
      </c>
    </row>
    <row r="481" spans="1:8" x14ac:dyDescent="0.2">
      <c r="A481" t="s">
        <v>952</v>
      </c>
      <c r="B481" t="s">
        <v>0</v>
      </c>
      <c r="D481" t="s">
        <v>2596</v>
      </c>
      <c r="E481" t="str" cm="1">
        <f t="array" ref="E481">IF(COUNTIF(A:A, "*" &amp; LEFT(D481, FIND(" ", D481 &amp; " ") - 1) &amp; "*") &gt; 0,INDEX(A:A,FuzzyVLookup(D481,A:A,0,,,3)),"Non-PDL")</f>
        <v>NUPLAZID (pimavanserin)</v>
      </c>
      <c r="F481" t="str">
        <f t="shared" si="14"/>
        <v>Non-Preferred</v>
      </c>
      <c r="G481" s="1" cm="1">
        <f t="array" ref="G481">FuzzyPercent(D481,E481,3)</f>
        <v>0.4166666567325592</v>
      </c>
      <c r="H481" t="str">
        <f t="shared" si="15"/>
        <v/>
      </c>
    </row>
    <row r="482" spans="1:8" x14ac:dyDescent="0.2">
      <c r="A482" t="s">
        <v>954</v>
      </c>
      <c r="B482" t="s">
        <v>0</v>
      </c>
      <c r="D482" t="s">
        <v>2597</v>
      </c>
      <c r="E482" t="str" cm="1">
        <f t="array" ref="E482">IF(COUNTIF(A:A, "*" &amp; LEFT(D482, FIND(" ", D482 &amp; " ") - 1) &amp; "*") &gt; 0,INDEX(A:A,FuzzyVLookup(D482,A:A,0,,,3)),"Non-PDL")</f>
        <v>NURTEC ODT (rimegepant)</v>
      </c>
      <c r="F482" t="str">
        <f t="shared" si="14"/>
        <v>Preferred</v>
      </c>
      <c r="G482" s="1" cm="1">
        <f t="array" ref="G482">FuzzyPercent(D482,E482,3)</f>
        <v>0.52427184581756592</v>
      </c>
      <c r="H482" t="str">
        <f t="shared" si="15"/>
        <v/>
      </c>
    </row>
    <row r="483" spans="1:8" x14ac:dyDescent="0.2">
      <c r="A483" t="s">
        <v>956</v>
      </c>
      <c r="B483" t="s">
        <v>0</v>
      </c>
      <c r="D483" t="s">
        <v>2598</v>
      </c>
      <c r="E483" t="str" cm="1">
        <f t="array" ref="E483">IF(COUNTIF(A:A, "*" &amp; LEFT(D483, FIND(" ", D483 &amp; " ") - 1) &amp; "*") &gt; 0,INDEX(A:A,FuzzyVLookup(D483,A:A,0,,,3)),"Non-PDL")</f>
        <v>Non-PDL</v>
      </c>
      <c r="F483" t="str">
        <f t="shared" si="14"/>
        <v>Non-PDL</v>
      </c>
      <c r="G483" s="1" cm="1">
        <f t="array" ref="G483">FuzzyPercent(D483,E483,3)</f>
        <v>3.4482758492231369E-2</v>
      </c>
      <c r="H483" t="str">
        <f t="shared" si="15"/>
        <v/>
      </c>
    </row>
    <row r="484" spans="1:8" x14ac:dyDescent="0.2">
      <c r="A484" t="s">
        <v>958</v>
      </c>
      <c r="B484" t="s">
        <v>0</v>
      </c>
      <c r="D484" t="s">
        <v>2599</v>
      </c>
      <c r="E484" t="str" cm="1">
        <f t="array" ref="E484">IF(COUNTIF(A:A, "*" &amp; LEFT(D484, FIND(" ", D484 &amp; " ") - 1) &amp; "*") &gt; 0,INDEX(A:A,FuzzyVLookup(D484,A:A,0,,,3)),"Non-PDL")</f>
        <v>Non-PDL</v>
      </c>
      <c r="F484" t="str">
        <f t="shared" si="14"/>
        <v>Non-PDL</v>
      </c>
      <c r="G484" s="1" cm="1">
        <f t="array" ref="G484">FuzzyPercent(D484,E484,3)</f>
        <v>5.000000074505806E-2</v>
      </c>
      <c r="H484" t="str">
        <f t="shared" si="15"/>
        <v/>
      </c>
    </row>
    <row r="485" spans="1:8" x14ac:dyDescent="0.2">
      <c r="A485" t="s">
        <v>960</v>
      </c>
      <c r="B485" t="s">
        <v>0</v>
      </c>
      <c r="D485" t="s">
        <v>2600</v>
      </c>
      <c r="E485" t="str" cm="1">
        <f t="array" ref="E485">IF(COUNTIF(A:A, "*" &amp; LEFT(D485, FIND(" ", D485 &amp; " ") - 1) &amp; "*") &gt; 0,INDEX(A:A,FuzzyVLookup(D485,A:A,0,,,3)),"Non-PDL")</f>
        <v>NUVESSA (metronidazole)</v>
      </c>
      <c r="F485" t="str">
        <f t="shared" si="14"/>
        <v>Preferred</v>
      </c>
      <c r="G485" s="1" cm="1">
        <f t="array" ref="G485">FuzzyPercent(D485,E485,3)</f>
        <v>0.34782609343528748</v>
      </c>
      <c r="H485" t="str">
        <f t="shared" si="15"/>
        <v/>
      </c>
    </row>
    <row r="486" spans="1:8" x14ac:dyDescent="0.2">
      <c r="A486" t="s">
        <v>962</v>
      </c>
      <c r="B486" t="s">
        <v>0</v>
      </c>
      <c r="D486" t="s">
        <v>2601</v>
      </c>
      <c r="E486" t="str" cm="1">
        <f t="array" ref="E486">IF(COUNTIF(A:A, "*" &amp; LEFT(D486, FIND(" ", D486 &amp; " ") - 1) &amp; "*") &gt; 0,INDEX(A:A,FuzzyVLookup(D486,A:A,0,,,3)),"Non-PDL")</f>
        <v>NUWIQ</v>
      </c>
      <c r="F486" t="str">
        <f t="shared" si="14"/>
        <v>Preferred</v>
      </c>
      <c r="G486" s="1" cm="1">
        <f t="array" ref="G486">FuzzyPercent(D486,E486,3)</f>
        <v>1</v>
      </c>
      <c r="H486" t="str">
        <f t="shared" si="15"/>
        <v/>
      </c>
    </row>
    <row r="487" spans="1:8" x14ac:dyDescent="0.2">
      <c r="A487" t="s">
        <v>964</v>
      </c>
      <c r="B487" t="s">
        <v>0</v>
      </c>
      <c r="D487" t="s">
        <v>2602</v>
      </c>
      <c r="E487" t="str" cm="1">
        <f t="array" ref="E487">IF(COUNTIF(A:A, "*" &amp; LEFT(D487, FIND(" ", D487 &amp; " ") - 1) &amp; "*") &gt; 0,INDEX(A:A,FuzzyVLookup(D487,A:A,0,,,3)),"Non-PDL")</f>
        <v>NYVEPRIA (pegfilgrastim-apgf)</v>
      </c>
      <c r="F487" t="str">
        <f t="shared" si="14"/>
        <v>Non-Preferred</v>
      </c>
      <c r="G487" s="1" cm="1">
        <f t="array" ref="G487">FuzzyPercent(D487,E487,3)</f>
        <v>0.32520323991775513</v>
      </c>
      <c r="H487" t="str">
        <f t="shared" si="15"/>
        <v/>
      </c>
    </row>
    <row r="488" spans="1:8" x14ac:dyDescent="0.2">
      <c r="A488" t="s">
        <v>966</v>
      </c>
      <c r="B488" t="s">
        <v>0</v>
      </c>
      <c r="D488" t="s">
        <v>2603</v>
      </c>
      <c r="E488" t="str" cm="1">
        <f t="array" ref="E488">IF(COUNTIF(A:A, "*" &amp; LEFT(D488, FIND(" ", D488 &amp; " ") - 1) &amp; "*") &gt; 0,INDEX(A:A,FuzzyVLookup(D488,A:A,0,,,3)),"Non-PDL")</f>
        <v>OCREVUS (ocrelizumab)</v>
      </c>
      <c r="F488" t="str">
        <f t="shared" si="14"/>
        <v>Non-Preferred</v>
      </c>
      <c r="G488" s="1" cm="1">
        <f t="array" ref="G488">FuzzyPercent(D488,E488,3)</f>
        <v>0.37209302186965942</v>
      </c>
      <c r="H488" t="str">
        <f t="shared" si="15"/>
        <v/>
      </c>
    </row>
    <row r="489" spans="1:8" x14ac:dyDescent="0.2">
      <c r="A489" t="s">
        <v>968</v>
      </c>
      <c r="B489" t="s">
        <v>0</v>
      </c>
      <c r="D489" t="s">
        <v>2604</v>
      </c>
      <c r="E489" t="str" cm="1">
        <f t="array" ref="E489">IF(COUNTIF(A:A, "*" &amp; LEFT(D489, FIND(" ", D489 &amp; " ") - 1) &amp; "*") &gt; 0,INDEX(A:A,FuzzyVLookup(D489,A:A,0,,,3)),"Non-PDL")</f>
        <v>OCREVUS ZUNOVO (ocrelizumab-hyaluronidase)</v>
      </c>
      <c r="F489" t="str">
        <f t="shared" si="14"/>
        <v>Non-Preferred</v>
      </c>
      <c r="G489" s="1" cm="1">
        <f t="array" ref="G489">FuzzyPercent(D489,E489,3)</f>
        <v>0.33797910809516907</v>
      </c>
      <c r="H489" t="str">
        <f t="shared" si="15"/>
        <v/>
      </c>
    </row>
    <row r="490" spans="1:8" x14ac:dyDescent="0.2">
      <c r="A490" t="s">
        <v>970</v>
      </c>
      <c r="B490" t="s">
        <v>0</v>
      </c>
      <c r="D490" t="s">
        <v>2605</v>
      </c>
      <c r="E490" t="str" cm="1">
        <f t="array" ref="E490">IF(COUNTIF(A:A, "*" &amp; LEFT(D490, FIND(" ", D490 &amp; " ") - 1) &amp; "*") &gt; 0,INDEX(A:A,FuzzyVLookup(D490,A:A,0,,,3)),"Non-PDL")</f>
        <v>Non-PDL</v>
      </c>
      <c r="F490" t="str">
        <f t="shared" si="14"/>
        <v>Non-PDL</v>
      </c>
      <c r="G490" s="1" cm="1">
        <f t="array" ref="G490">FuzzyPercent(D490,E490,3)</f>
        <v>0.125</v>
      </c>
      <c r="H490" t="str">
        <f t="shared" si="15"/>
        <v/>
      </c>
    </row>
    <row r="491" spans="1:8" x14ac:dyDescent="0.2">
      <c r="A491" t="s">
        <v>972</v>
      </c>
      <c r="B491" t="s">
        <v>0</v>
      </c>
      <c r="D491" t="s">
        <v>2606</v>
      </c>
      <c r="E491" t="str" cm="1">
        <f t="array" ref="E491">IF(COUNTIF(A:A, "*" &amp; LEFT(D491, FIND(" ", D491 &amp; " ") - 1) &amp; "*") &gt; 0,INDEX(A:A,FuzzyVLookup(D491,A:A,0,,,3)),"Non-PDL")</f>
        <v>codeine</v>
      </c>
      <c r="F491" t="str">
        <f t="shared" si="14"/>
        <v>Preferred</v>
      </c>
      <c r="G491" s="1" cm="1">
        <f t="array" ref="G491">FuzzyPercent(D491,E491,3)</f>
        <v>0.375</v>
      </c>
      <c r="H491" t="str">
        <f t="shared" si="15"/>
        <v/>
      </c>
    </row>
    <row r="492" spans="1:8" x14ac:dyDescent="0.2">
      <c r="A492" t="s">
        <v>973</v>
      </c>
      <c r="B492" t="s">
        <v>0</v>
      </c>
      <c r="D492" t="s">
        <v>2607</v>
      </c>
      <c r="E492" t="str" cm="1">
        <f t="array" ref="E492">IF(COUNTIF(A:A, "*" &amp; LEFT(D492, FIND(" ", D492 &amp; " ") - 1) &amp; "*") &gt; 0,INDEX(A:A,FuzzyVLookup(D492,A:A,0,,,3)),"Non-PDL")</f>
        <v>Non-PDL</v>
      </c>
      <c r="F492" t="str">
        <f t="shared" si="14"/>
        <v>Non-PDL</v>
      </c>
      <c r="G492" s="1" cm="1">
        <f t="array" ref="G492">FuzzyPercent(D492,E492,3)</f>
        <v>4.1666667908430099E-2</v>
      </c>
      <c r="H492" t="str">
        <f t="shared" si="15"/>
        <v/>
      </c>
    </row>
    <row r="493" spans="1:8" x14ac:dyDescent="0.2">
      <c r="A493" t="s">
        <v>975</v>
      </c>
      <c r="B493" t="s">
        <v>0</v>
      </c>
      <c r="D493" t="s">
        <v>2608</v>
      </c>
      <c r="E493" t="str" cm="1">
        <f t="array" ref="E493">IF(COUNTIF(A:A, "*" &amp; LEFT(D493, FIND(" ", D493 &amp; " ") - 1) &amp; "*") &gt; 0,INDEX(A:A,FuzzyVLookup(D493,A:A,0,,,3)),"Non-PDL")</f>
        <v>OGSIVEO (nirogacestat)</v>
      </c>
      <c r="F493" t="str">
        <f t="shared" si="14"/>
        <v>Non-Preferred</v>
      </c>
      <c r="G493" s="1" cm="1">
        <f t="array" ref="G493">FuzzyPercent(D493,E493,3)</f>
        <v>0.35555556416511536</v>
      </c>
      <c r="H493" t="str">
        <f t="shared" si="15"/>
        <v/>
      </c>
    </row>
    <row r="494" spans="1:8" x14ac:dyDescent="0.2">
      <c r="A494" t="s">
        <v>977</v>
      </c>
      <c r="B494" t="s">
        <v>0</v>
      </c>
      <c r="D494" t="s">
        <v>2609</v>
      </c>
      <c r="E494" t="str" cm="1">
        <f t="array" ref="E494">IF(COUNTIF(A:A, "*" &amp; LEFT(D494, FIND(" ", D494 &amp; " ") - 1) &amp; "*") &gt; 0,INDEX(A:A,FuzzyVLookup(D494,A:A,0,,,3)),"Non-PDL")</f>
        <v>OJEMDA (tovorafenib)</v>
      </c>
      <c r="F494" t="str">
        <f t="shared" si="14"/>
        <v>Non-Preferred</v>
      </c>
      <c r="G494" s="1" cm="1">
        <f t="array" ref="G494">FuzzyPercent(D494,E494,3)</f>
        <v>0.34999999403953552</v>
      </c>
      <c r="H494" t="str">
        <f t="shared" si="15"/>
        <v/>
      </c>
    </row>
    <row r="495" spans="1:8" x14ac:dyDescent="0.2">
      <c r="A495" t="s">
        <v>979</v>
      </c>
      <c r="B495" t="s">
        <v>0</v>
      </c>
      <c r="D495" t="s">
        <v>2610</v>
      </c>
      <c r="E495" t="str" cm="1">
        <f t="array" ref="E495">IF(COUNTIF(A:A, "*" &amp; LEFT(D495, FIND(" ", D495 &amp; " ") - 1) &amp; "*") &gt; 0,INDEX(A:A,FuzzyVLookup(D495,A:A,0,,,3)),"Non-PDL")</f>
        <v>olanzapine</v>
      </c>
      <c r="F495" t="str">
        <f t="shared" si="14"/>
        <v>Preferred</v>
      </c>
      <c r="G495" s="1" cm="1">
        <f t="array" ref="G495">FuzzyPercent(D495,E495,3)</f>
        <v>0.65853661298751831</v>
      </c>
      <c r="H495" t="str">
        <f t="shared" si="15"/>
        <v/>
      </c>
    </row>
    <row r="496" spans="1:8" x14ac:dyDescent="0.2">
      <c r="A496" t="s">
        <v>981</v>
      </c>
      <c r="B496" t="s">
        <v>0</v>
      </c>
      <c r="D496" t="s">
        <v>2611</v>
      </c>
      <c r="E496" t="str" cm="1">
        <f t="array" ref="E496">IF(COUNTIF(A:A, "*" &amp; LEFT(D496, FIND(" ", D496 &amp; " ") - 1) &amp; "*") &gt; 0,INDEX(A:A,FuzzyVLookup(D496,A:A,0,,,3)),"Non-PDL")</f>
        <v>olanzapine</v>
      </c>
      <c r="F496" t="str">
        <f t="shared" si="14"/>
        <v>Preferred</v>
      </c>
      <c r="G496" s="1" cm="1">
        <f t="array" ref="G496">FuzzyPercent(D496,E496,3)</f>
        <v>0.51923078298568726</v>
      </c>
      <c r="H496" t="str">
        <f t="shared" si="15"/>
        <v/>
      </c>
    </row>
    <row r="497" spans="1:8" x14ac:dyDescent="0.2">
      <c r="A497" t="s">
        <v>983</v>
      </c>
      <c r="B497" t="s">
        <v>0</v>
      </c>
      <c r="D497" t="s">
        <v>2612</v>
      </c>
      <c r="E497" t="str" cm="1">
        <f t="array" ref="E497">IF(COUNTIF(A:A, "*" &amp; LEFT(D497, FIND(" ", D497 &amp; " ") - 1) &amp; "*") &gt; 0,INDEX(A:A,FuzzyVLookup(D497,A:A,0,,,3)),"Non-PDL")</f>
        <v>olanzapine</v>
      </c>
      <c r="F497" t="str">
        <f t="shared" si="14"/>
        <v>Preferred</v>
      </c>
      <c r="G497" s="1" cm="1">
        <f t="array" ref="G497">FuzzyPercent(D497,E497,3)</f>
        <v>0.60000002384185791</v>
      </c>
      <c r="H497" t="str">
        <f t="shared" si="15"/>
        <v/>
      </c>
    </row>
    <row r="498" spans="1:8" x14ac:dyDescent="0.2">
      <c r="A498" t="s">
        <v>985</v>
      </c>
      <c r="B498" t="s">
        <v>0</v>
      </c>
      <c r="D498" t="s">
        <v>2613</v>
      </c>
      <c r="E498" t="str" cm="1">
        <f t="array" ref="E498">IF(COUNTIF(A:A, "*" &amp; LEFT(D498, FIND(" ", D498 &amp; " ") - 1) &amp; "*") &gt; 0,INDEX(A:A,FuzzyVLookup(D498,A:A,0,,,3)),"Non-PDL")</f>
        <v>olanzapine/fluoxetine</v>
      </c>
      <c r="F498" t="str">
        <f t="shared" si="14"/>
        <v>Non-Preferred</v>
      </c>
      <c r="G498" s="1" cm="1">
        <f t="array" ref="G498">FuzzyPercent(D498,E498,3)</f>
        <v>0.47126436233520508</v>
      </c>
      <c r="H498" t="str">
        <f t="shared" si="15"/>
        <v/>
      </c>
    </row>
    <row r="499" spans="1:8" x14ac:dyDescent="0.2">
      <c r="A499" t="s">
        <v>987</v>
      </c>
      <c r="B499" t="s">
        <v>0</v>
      </c>
      <c r="D499" t="s">
        <v>2614</v>
      </c>
      <c r="E499" t="str" cm="1">
        <f t="array" ref="E499">IF(COUNTIF(A:A, "*" &amp; LEFT(D499, FIND(" ", D499 &amp; " ") - 1) &amp; "*") &gt; 0,INDEX(A:A,FuzzyVLookup(D499,A:A,0,,,3)),"Non-PDL")</f>
        <v>olmesartan</v>
      </c>
      <c r="F499" t="str">
        <f t="shared" si="14"/>
        <v>Preferred</v>
      </c>
      <c r="G499" s="1" cm="1">
        <f t="array" ref="G499">FuzzyPercent(D499,E499,3)</f>
        <v>1</v>
      </c>
      <c r="H499" t="str">
        <f t="shared" si="15"/>
        <v/>
      </c>
    </row>
    <row r="500" spans="1:8" x14ac:dyDescent="0.2">
      <c r="A500" t="s">
        <v>989</v>
      </c>
      <c r="B500" t="s">
        <v>0</v>
      </c>
      <c r="D500" t="s">
        <v>2615</v>
      </c>
      <c r="E500" t="str" cm="1">
        <f t="array" ref="E500">IF(COUNTIF(A:A, "*" &amp; LEFT(D500, FIND(" ", D500 &amp; " ") - 1) &amp; "*") &gt; 0,INDEX(A:A,FuzzyVLookup(D500,A:A,0,,,3)),"Non-PDL")</f>
        <v>alprazolam</v>
      </c>
      <c r="F500" t="str">
        <f t="shared" si="14"/>
        <v>Preferred</v>
      </c>
      <c r="G500" s="1" cm="1">
        <f t="array" ref="G500">FuzzyPercent(D500,E500,3)</f>
        <v>0.27906978130340576</v>
      </c>
      <c r="H500" t="str">
        <f t="shared" si="15"/>
        <v>CHECK</v>
      </c>
    </row>
    <row r="501" spans="1:8" x14ac:dyDescent="0.2">
      <c r="A501" t="s">
        <v>991</v>
      </c>
      <c r="B501" t="s">
        <v>0</v>
      </c>
      <c r="D501" t="s">
        <v>2616</v>
      </c>
      <c r="E501" t="str" cm="1">
        <f t="array" ref="E501">IF(COUNTIF(A:A, "*" &amp; LEFT(D501, FIND(" ", D501 &amp; " ") - 1) &amp; "*") &gt; 0,INDEX(A:A,FuzzyVLookup(D501,A:A,0,,,3)),"Non-PDL")</f>
        <v>OLUMIANT (baricitinib)</v>
      </c>
      <c r="F501" t="str">
        <f t="shared" si="14"/>
        <v>Preferred</v>
      </c>
      <c r="G501" s="1" cm="1">
        <f t="array" ref="G501">FuzzyPercent(D501,E501,3)</f>
        <v>0.42553192377090454</v>
      </c>
      <c r="H501" t="str">
        <f t="shared" si="15"/>
        <v/>
      </c>
    </row>
    <row r="502" spans="1:8" x14ac:dyDescent="0.2">
      <c r="A502" t="s">
        <v>993</v>
      </c>
      <c r="B502" t="s">
        <v>0</v>
      </c>
      <c r="D502" t="s">
        <v>2617</v>
      </c>
      <c r="E502" t="str" cm="1">
        <f t="array" ref="E502">IF(COUNTIF(A:A, "*" &amp; LEFT(D502, FIND(" ", D502 &amp; " ") - 1) &amp; "*") &gt; 0,INDEX(A:A,FuzzyVLookup(D502,A:A,0,,,3)),"Non-PDL")</f>
        <v>Non-PDL</v>
      </c>
      <c r="F502" t="str">
        <f t="shared" si="14"/>
        <v>Non-PDL</v>
      </c>
      <c r="G502" s="1" cm="1">
        <f t="array" ref="G502">FuzzyPercent(D502,E502,3)</f>
        <v>5.4054055362939835E-2</v>
      </c>
      <c r="H502" t="str">
        <f t="shared" si="15"/>
        <v/>
      </c>
    </row>
    <row r="503" spans="1:8" x14ac:dyDescent="0.2">
      <c r="A503" t="s">
        <v>995</v>
      </c>
      <c r="B503" t="s">
        <v>0</v>
      </c>
      <c r="D503" t="s">
        <v>2618</v>
      </c>
      <c r="E503" t="str" cm="1">
        <f t="array" ref="E503">IF(COUNTIF(A:A, "*" &amp; LEFT(D503, FIND(" ", D503 &amp; " ") - 1) &amp; "*") &gt; 0,INDEX(A:A,FuzzyVLookup(D503,A:A,0,,,3)),"Non-PDL")</f>
        <v>metronidazole capsule</v>
      </c>
      <c r="F503" t="str">
        <f t="shared" si="14"/>
        <v>Non-Preferred</v>
      </c>
      <c r="G503" s="1" cm="1">
        <f t="array" ref="G503">FuzzyPercent(D503,E503,3)</f>
        <v>0.46875</v>
      </c>
      <c r="H503" t="str">
        <f t="shared" si="15"/>
        <v/>
      </c>
    </row>
    <row r="504" spans="1:8" x14ac:dyDescent="0.2">
      <c r="A504" t="s">
        <v>997</v>
      </c>
      <c r="B504" t="s">
        <v>0</v>
      </c>
      <c r="D504" t="s">
        <v>2619</v>
      </c>
      <c r="E504" t="str" cm="1">
        <f t="array" ref="E504">IF(COUNTIF(A:A, "*" &amp; LEFT(D504, FIND(" ", D504 &amp; " ") - 1) &amp; "*") &gt; 0,INDEX(A:A,FuzzyVLookup(D504,A:A,0,,,3)),"Non-PDL")</f>
        <v>omeprazole</v>
      </c>
      <c r="F504" t="str">
        <f t="shared" si="14"/>
        <v>Preferred</v>
      </c>
      <c r="G504" s="1" cm="1">
        <f t="array" ref="G504">FuzzyPercent(D504,E504,3)</f>
        <v>0.51923078298568726</v>
      </c>
      <c r="H504" t="str">
        <f t="shared" si="15"/>
        <v/>
      </c>
    </row>
    <row r="505" spans="1:8" x14ac:dyDescent="0.2">
      <c r="A505" t="s">
        <v>999</v>
      </c>
      <c r="B505" t="s">
        <v>0</v>
      </c>
      <c r="D505" t="s">
        <v>2620</v>
      </c>
      <c r="E505" t="str" cm="1">
        <f t="array" ref="E505">IF(COUNTIF(A:A, "*" &amp; LEFT(D505, FIND(" ", D505 &amp; " ") - 1) &amp; "*") &gt; 0,INDEX(A:A,FuzzyVLookup(D505,A:A,0,,,3)),"Non-PDL")</f>
        <v>Non-PDL</v>
      </c>
      <c r="F505" t="str">
        <f t="shared" si="14"/>
        <v>Non-PDL</v>
      </c>
      <c r="G505" s="1" cm="1">
        <f t="array" ref="G505">FuzzyPercent(D505,E505,3)</f>
        <v>6.25E-2</v>
      </c>
      <c r="H505" t="str">
        <f t="shared" si="15"/>
        <v/>
      </c>
    </row>
    <row r="506" spans="1:8" x14ac:dyDescent="0.2">
      <c r="A506" t="s">
        <v>1001</v>
      </c>
      <c r="B506" t="s">
        <v>0</v>
      </c>
      <c r="D506" t="s">
        <v>2621</v>
      </c>
      <c r="E506" t="str" cm="1">
        <f t="array" ref="E506">IF(COUNTIF(A:A, "*" &amp; LEFT(D506, FIND(" ", D506 &amp; " ") - 1) &amp; "*") &gt; 0,INDEX(A:A,FuzzyVLookup(D506,A:A,0,,,3)),"Non-PDL")</f>
        <v>OMNITROPE (somatropin)</v>
      </c>
      <c r="F506" t="str">
        <f t="shared" si="14"/>
        <v>Non-Preferred</v>
      </c>
      <c r="G506" s="1" cm="1">
        <f t="array" ref="G506">FuzzyPercent(D506,E506,3)</f>
        <v>0.47422680258750916</v>
      </c>
      <c r="H506" t="str">
        <f t="shared" si="15"/>
        <v/>
      </c>
    </row>
    <row r="507" spans="1:8" x14ac:dyDescent="0.2">
      <c r="A507" t="s">
        <v>1003</v>
      </c>
      <c r="B507" t="s">
        <v>0</v>
      </c>
      <c r="D507" t="s">
        <v>2622</v>
      </c>
      <c r="E507" t="str" cm="1">
        <f t="array" ref="E507">IF(COUNTIF(A:A, "*" &amp; LEFT(D507, FIND(" ", D507 &amp; " ") - 1) &amp; "*") &gt; 0,INDEX(A:A,FuzzyVLookup(D507,A:A,0,,,3)),"Non-PDL")</f>
        <v>cefaclor suspension</v>
      </c>
      <c r="F507" t="str">
        <f t="shared" si="14"/>
        <v>Non-Preferred</v>
      </c>
      <c r="G507" s="1" cm="1">
        <f t="array" ref="G507">FuzzyPercent(D507,E507,3)</f>
        <v>0.31818181276321411</v>
      </c>
      <c r="H507" t="str">
        <f t="shared" si="15"/>
        <v/>
      </c>
    </row>
    <row r="508" spans="1:8" x14ac:dyDescent="0.2">
      <c r="A508" t="s">
        <v>1005</v>
      </c>
      <c r="B508" t="s">
        <v>0</v>
      </c>
      <c r="D508" t="s">
        <v>2623</v>
      </c>
      <c r="E508" t="str" cm="1">
        <f t="array" ref="E508">IF(COUNTIF(A:A, "*" &amp; LEFT(D508, FIND(" ", D508 &amp; " ") - 1) &amp; "*") &gt; 0,INDEX(A:A,FuzzyVLookup(D508,A:A,0,,,3)),"Non-PDL")</f>
        <v>zolpidem tablet</v>
      </c>
      <c r="F508" t="str">
        <f t="shared" si="14"/>
        <v>Preferred</v>
      </c>
      <c r="G508" s="1" cm="1">
        <f t="array" ref="G508">FuzzyPercent(D508,E508,3)</f>
        <v>0.31081080436706543</v>
      </c>
      <c r="H508" t="str">
        <f t="shared" si="15"/>
        <v/>
      </c>
    </row>
    <row r="509" spans="1:8" x14ac:dyDescent="0.2">
      <c r="A509" t="s">
        <v>1006</v>
      </c>
      <c r="B509" t="s">
        <v>0</v>
      </c>
      <c r="D509" t="s">
        <v>2624</v>
      </c>
      <c r="E509" t="str" cm="1">
        <f t="array" ref="E509">IF(COUNTIF(A:A, "*" &amp; LEFT(D509, FIND(" ", D509 &amp; " ") - 1) &amp; "*") &gt; 0,INDEX(A:A,FuzzyVLookup(D509,A:A,0,,,3)),"Non-PDL")</f>
        <v>Non-PDL</v>
      </c>
      <c r="F509" t="str">
        <f t="shared" si="14"/>
        <v>Non-PDL</v>
      </c>
      <c r="G509" s="1" cm="1">
        <f t="array" ref="G509">FuzzyPercent(D509,E509,3)</f>
        <v>0.13333334028720856</v>
      </c>
      <c r="H509" t="str">
        <f t="shared" si="15"/>
        <v/>
      </c>
    </row>
    <row r="510" spans="1:8" x14ac:dyDescent="0.2">
      <c r="A510" t="s">
        <v>1008</v>
      </c>
      <c r="B510" t="s">
        <v>0</v>
      </c>
      <c r="D510" t="s">
        <v>2625</v>
      </c>
      <c r="E510" t="str" cm="1">
        <f t="array" ref="E510">IF(COUNTIF(A:A, "*" &amp; LEFT(D510, FIND(" ", D510 &amp; " ") - 1) &amp; "*") &gt; 0,INDEX(A:A,FuzzyVLookup(D510,A:A,0,,,3)),"Non-PDL")</f>
        <v>Non-PDL</v>
      </c>
      <c r="F510" t="str">
        <f t="shared" si="14"/>
        <v>Non-PDL</v>
      </c>
      <c r="G510" s="1" cm="1">
        <f t="array" ref="G510">FuzzyPercent(D510,E510,3)</f>
        <v>1.875000074505806E-2</v>
      </c>
      <c r="H510" t="str">
        <f t="shared" si="15"/>
        <v/>
      </c>
    </row>
    <row r="511" spans="1:8" x14ac:dyDescent="0.2">
      <c r="A511" t="s">
        <v>1010</v>
      </c>
      <c r="B511" t="s">
        <v>0</v>
      </c>
      <c r="D511" t="s">
        <v>2626</v>
      </c>
      <c r="E511" t="str" cm="1">
        <f t="array" ref="E511">IF(COUNTIF(A:A, "*" &amp; LEFT(D511, FIND(" ", D511 &amp; " ") - 1) &amp; "*") &gt; 0,INDEX(A:A,FuzzyVLookup(D511,A:A,0,,,3)),"Non-PDL")</f>
        <v>OPSUMIT (macitentan)</v>
      </c>
      <c r="F511" t="str">
        <f t="shared" si="14"/>
        <v>Non-Preferred</v>
      </c>
      <c r="G511" s="1" cm="1">
        <f t="array" ref="G511">FuzzyPercent(D511,E511,3)</f>
        <v>0.39024388790130615</v>
      </c>
      <c r="H511" t="str">
        <f t="shared" si="15"/>
        <v/>
      </c>
    </row>
    <row r="512" spans="1:8" x14ac:dyDescent="0.2">
      <c r="A512" t="s">
        <v>1012</v>
      </c>
      <c r="B512" t="s">
        <v>0</v>
      </c>
      <c r="D512" t="s">
        <v>2627</v>
      </c>
      <c r="E512" t="str" cm="1">
        <f t="array" ref="E512">IF(COUNTIF(A:A, "*" &amp; LEFT(D512, FIND(" ", D512 &amp; " ") - 1) &amp; "*") &gt; 0,INDEX(A:A,FuzzyVLookup(D512,A:A,0,,,3)),"Non-PDL")</f>
        <v>OPSYNVI (macitentan/tadalafil)</v>
      </c>
      <c r="F512" t="str">
        <f t="shared" si="14"/>
        <v>Non-Preferred</v>
      </c>
      <c r="G512" s="1" cm="1">
        <f t="array" ref="G512">FuzzyPercent(D512,E512,3)</f>
        <v>0.30263158679008484</v>
      </c>
      <c r="H512" t="str">
        <f t="shared" si="15"/>
        <v/>
      </c>
    </row>
    <row r="513" spans="1:8" x14ac:dyDescent="0.2">
      <c r="A513" t="s">
        <v>1014</v>
      </c>
      <c r="B513" t="s">
        <v>0</v>
      </c>
      <c r="D513" t="s">
        <v>2628</v>
      </c>
      <c r="E513" t="str" cm="1">
        <f t="array" ref="E513">IF(COUNTIF(A:A, "*" &amp; LEFT(D513, FIND(" ", D513 &amp; " ") - 1) &amp; "*") &gt; 0,INDEX(A:A,FuzzyVLookup(D513,A:A,0,,,3)),"Non-PDL")</f>
        <v>OPVEE (nalmefene)</v>
      </c>
      <c r="F513" t="str">
        <f t="shared" si="14"/>
        <v>Preferred</v>
      </c>
      <c r="G513" s="1" cm="1">
        <f t="array" ref="G513">FuzzyPercent(D513,E513,3)</f>
        <v>1</v>
      </c>
      <c r="H513" t="str">
        <f t="shared" si="15"/>
        <v/>
      </c>
    </row>
    <row r="514" spans="1:8" x14ac:dyDescent="0.2">
      <c r="A514" t="s">
        <v>1016</v>
      </c>
      <c r="B514" t="s">
        <v>0</v>
      </c>
      <c r="D514" t="s">
        <v>2629</v>
      </c>
      <c r="E514" t="str" cm="1">
        <f t="array" ref="E514">IF(COUNTIF(A:A, "*" &amp; LEFT(D514, FIND(" ", D514 &amp; " ") - 1) &amp; "*") &gt; 0,INDEX(A:A,FuzzyVLookup(D514,A:A,0,,,3)),"Non-PDL")</f>
        <v>ORALAIR</v>
      </c>
      <c r="F514" t="str">
        <f t="shared" si="14"/>
        <v>Non-Preferred</v>
      </c>
      <c r="G514" s="1" cm="1">
        <f t="array" ref="G514">FuzzyPercent(D514,E514,3)</f>
        <v>1</v>
      </c>
      <c r="H514" t="str">
        <f t="shared" si="15"/>
        <v/>
      </c>
    </row>
    <row r="515" spans="1:8" x14ac:dyDescent="0.2">
      <c r="A515" t="s">
        <v>1018</v>
      </c>
      <c r="B515" t="s">
        <v>0</v>
      </c>
      <c r="D515" t="s">
        <v>2630</v>
      </c>
      <c r="E515" t="str" cm="1">
        <f t="array" ref="E515">IF(COUNTIF(A:A, "*" &amp; LEFT(D515, FIND(" ", D515 &amp; " ") - 1) &amp; "*") &gt; 0,INDEX(A:A,FuzzyVLookup(D515,A:A,0,,,3)),"Non-PDL")</f>
        <v>ORENCIA (abatacept)</v>
      </c>
      <c r="F515" t="str">
        <f t="shared" ref="F515:F578" si="16">_xlfn.IFNA(_xlfn.XLOOKUP(E515,A:A,B:B),"Non-PDL")</f>
        <v>Non-Preferred</v>
      </c>
      <c r="G515" s="1" cm="1">
        <f t="array" ref="G515">FuzzyPercent(D515,E515,3)</f>
        <v>0.44210526347160339</v>
      </c>
      <c r="H515" t="str">
        <f t="shared" ref="H515:H578" si="17">IF(F515="Non-PDL","",IF(G515&lt;0.3,"CHECK",""))</f>
        <v/>
      </c>
    </row>
    <row r="516" spans="1:8" x14ac:dyDescent="0.2">
      <c r="A516" t="s">
        <v>1020</v>
      </c>
      <c r="B516" t="s">
        <v>0</v>
      </c>
      <c r="D516" t="s">
        <v>2631</v>
      </c>
      <c r="E516" t="str" cm="1">
        <f t="array" ref="E516">IF(COUNTIF(A:A, "*" &amp; LEFT(D516, FIND(" ", D516 &amp; " ") - 1) &amp; "*") &gt; 0,INDEX(A:A,FuzzyVLookup(D516,A:A,0,,,3)),"Non-PDL")</f>
        <v>ORENCIA (abatacept)</v>
      </c>
      <c r="F516" t="str">
        <f t="shared" si="16"/>
        <v>Non-Preferred</v>
      </c>
      <c r="G516" s="1" cm="1">
        <f t="array" ref="G516">FuzzyPercent(D516,E516,3)</f>
        <v>0.24137930572032928</v>
      </c>
      <c r="H516" t="str">
        <f t="shared" si="17"/>
        <v>CHECK</v>
      </c>
    </row>
    <row r="517" spans="1:8" x14ac:dyDescent="0.2">
      <c r="A517" t="s">
        <v>1022</v>
      </c>
      <c r="B517" t="s">
        <v>0</v>
      </c>
      <c r="D517" t="s">
        <v>2632</v>
      </c>
      <c r="E517" t="str" cm="1">
        <f t="array" ref="E517">IF(COUNTIF(A:A, "*" &amp; LEFT(D517, FIND(" ", D517 &amp; " ") - 1) &amp; "*") &gt; 0,INDEX(A:A,FuzzyVLookup(D517,A:A,0,,,3)),"Non-PDL")</f>
        <v>ORENITRAM ER (treprostinil)</v>
      </c>
      <c r="F517" t="str">
        <f t="shared" si="16"/>
        <v>Non-Preferred</v>
      </c>
      <c r="G517" s="1" cm="1">
        <f t="array" ref="G517">FuzzyPercent(D517,E517,3)</f>
        <v>0.53846156597137451</v>
      </c>
      <c r="H517" t="str">
        <f t="shared" si="17"/>
        <v/>
      </c>
    </row>
    <row r="518" spans="1:8" x14ac:dyDescent="0.2">
      <c r="A518" t="s">
        <v>1024</v>
      </c>
      <c r="B518" t="s">
        <v>0</v>
      </c>
      <c r="D518" t="s">
        <v>2633</v>
      </c>
      <c r="E518" t="str" cm="1">
        <f t="array" ref="E518">IF(COUNTIF(A:A, "*" &amp; LEFT(D518, FIND(" ", D518 &amp; " ") - 1) &amp; "*") &gt; 0,INDEX(A:A,FuzzyVLookup(D518,A:A,0,,,3)),"Non-PDL")</f>
        <v>Non-PDL</v>
      </c>
      <c r="F518" t="str">
        <f t="shared" si="16"/>
        <v>Non-PDL</v>
      </c>
      <c r="G518" s="1" cm="1">
        <f t="array" ref="G518">FuzzyPercent(D518,E518,3)</f>
        <v>6.25E-2</v>
      </c>
      <c r="H518" t="str">
        <f t="shared" si="17"/>
        <v/>
      </c>
    </row>
    <row r="519" spans="1:8" x14ac:dyDescent="0.2">
      <c r="A519" t="s">
        <v>1026</v>
      </c>
      <c r="B519" t="s">
        <v>0</v>
      </c>
      <c r="D519" t="s">
        <v>2634</v>
      </c>
      <c r="E519" t="str" cm="1">
        <f t="array" ref="E519">IF(COUNTIF(A:A, "*" &amp; LEFT(D519, FIND(" ", D519 &amp; " ") - 1) &amp; "*") &gt; 0,INDEX(A:A,FuzzyVLookup(D519,A:A,0,,,3)),"Non-PDL")</f>
        <v>Non-PDL</v>
      </c>
      <c r="F519" t="str">
        <f t="shared" si="16"/>
        <v>Non-PDL</v>
      </c>
      <c r="G519" s="1" cm="1">
        <f t="array" ref="G519">FuzzyPercent(D519,E519,3)</f>
        <v>0.10000000149011612</v>
      </c>
      <c r="H519" t="str">
        <f t="shared" si="17"/>
        <v/>
      </c>
    </row>
    <row r="520" spans="1:8" x14ac:dyDescent="0.2">
      <c r="A520" t="s">
        <v>1028</v>
      </c>
      <c r="B520" t="s">
        <v>0</v>
      </c>
      <c r="D520" t="s">
        <v>2635</v>
      </c>
      <c r="E520" t="str" cm="1">
        <f t="array" ref="E520">IF(COUNTIF(A:A, "*" &amp; LEFT(D520, FIND(" ", D520 &amp; " ") - 1) &amp; "*") &gt; 0,INDEX(A:A,FuzzyVLookup(D520,A:A,0,,,3)),"Non-PDL")</f>
        <v>ORLADEYO (berotralstat)</v>
      </c>
      <c r="F520" t="str">
        <f t="shared" si="16"/>
        <v>Non-Preferred</v>
      </c>
      <c r="G520" s="1" cm="1">
        <f t="array" ref="G520">FuzzyPercent(D520,E520,3)</f>
        <v>0.4166666567325592</v>
      </c>
      <c r="H520" t="str">
        <f t="shared" si="17"/>
        <v/>
      </c>
    </row>
    <row r="521" spans="1:8" x14ac:dyDescent="0.2">
      <c r="A521" t="s">
        <v>1030</v>
      </c>
      <c r="B521" t="s">
        <v>0</v>
      </c>
      <c r="D521" t="s">
        <v>2636</v>
      </c>
      <c r="E521" t="str" cm="1">
        <f t="array" ref="E521">IF(COUNTIF(A:A, "*" &amp; LEFT(D521, FIND(" ", D521 &amp; " ") - 1) &amp; "*") &gt; 0,INDEX(A:A,FuzzyVLookup(D521,A:A,0,,,3)),"Non-PDL")</f>
        <v>orphenadrine</v>
      </c>
      <c r="F521" t="str">
        <f t="shared" si="16"/>
        <v>Non-Preferred</v>
      </c>
      <c r="G521" s="1" cm="1">
        <f t="array" ref="G521">FuzzyPercent(D521,E521,3)</f>
        <v>0.77777779102325439</v>
      </c>
      <c r="H521" t="str">
        <f t="shared" si="17"/>
        <v/>
      </c>
    </row>
    <row r="522" spans="1:8" x14ac:dyDescent="0.2">
      <c r="A522" t="s">
        <v>1032</v>
      </c>
      <c r="B522" t="s">
        <v>0</v>
      </c>
      <c r="D522" t="s">
        <v>2637</v>
      </c>
      <c r="E522" t="str" cm="1">
        <f t="array" ref="E522">IF(COUNTIF(A:A, "*" &amp; LEFT(D522, FIND(" ", D522 &amp; " ") - 1) &amp; "*") &gt; 0,INDEX(A:A,FuzzyVLookup(D522,A:A,0,,,3)),"Non-PDL")</f>
        <v>TAMIFLU (oseltamivir)</v>
      </c>
      <c r="F522" t="str">
        <f t="shared" si="16"/>
        <v>Non-Preferred</v>
      </c>
      <c r="G522" s="1" cm="1">
        <f t="array" ref="G522">FuzzyPercent(D522,E522,3)</f>
        <v>0.31313130259513855</v>
      </c>
      <c r="H522" t="str">
        <f t="shared" si="17"/>
        <v/>
      </c>
    </row>
    <row r="523" spans="1:8" x14ac:dyDescent="0.2">
      <c r="A523" t="s">
        <v>1034</v>
      </c>
      <c r="B523" t="s">
        <v>0</v>
      </c>
      <c r="D523" t="s">
        <v>2638</v>
      </c>
      <c r="E523" t="str" cm="1">
        <f t="array" ref="E523">IF(COUNTIF(A:A, "*" &amp; LEFT(D523, FIND(" ", D523 &amp; " ") - 1) &amp; "*") &gt; 0,INDEX(A:A,FuzzyVLookup(D523,A:A,0,,,3)),"Non-PDL")</f>
        <v>OTEZLA (apremilast)</v>
      </c>
      <c r="F523" t="str">
        <f t="shared" si="16"/>
        <v>Preferred</v>
      </c>
      <c r="G523" s="1" cm="1">
        <f t="array" ref="G523">FuzzyPercent(D523,E523,3)</f>
        <v>0.37837839126586914</v>
      </c>
      <c r="H523" t="str">
        <f t="shared" si="17"/>
        <v/>
      </c>
    </row>
    <row r="524" spans="1:8" x14ac:dyDescent="0.2">
      <c r="A524" t="s">
        <v>1036</v>
      </c>
      <c r="B524" t="s">
        <v>0</v>
      </c>
      <c r="D524" t="s">
        <v>2639</v>
      </c>
      <c r="E524" t="str" cm="1">
        <f t="array" ref="E524">IF(COUNTIF(A:A, "*" &amp; LEFT(D524, FIND(" ", D524 &amp; " ") - 1) &amp; "*") &gt; 0,INDEX(A:A,FuzzyVLookup(D524,A:A,0,,,3)),"Non-PDL")</f>
        <v>Non-PDL</v>
      </c>
      <c r="F524" t="str">
        <f t="shared" si="16"/>
        <v>Non-PDL</v>
      </c>
      <c r="G524" s="1" cm="1">
        <f t="array" ref="G524">FuzzyPercent(D524,E524,3)</f>
        <v>6.25E-2</v>
      </c>
      <c r="H524" t="str">
        <f t="shared" si="17"/>
        <v/>
      </c>
    </row>
    <row r="525" spans="1:8" x14ac:dyDescent="0.2">
      <c r="A525" t="s">
        <v>1038</v>
      </c>
      <c r="B525" t="s">
        <v>0</v>
      </c>
      <c r="D525" t="s">
        <v>2640</v>
      </c>
      <c r="E525" t="str" cm="1">
        <f t="array" ref="E525">IF(COUNTIF(A:A, "*" &amp; LEFT(D525, FIND(" ", D525 &amp; " ") - 1) &amp; "*") &gt; 0,INDEX(A:A,FuzzyVLookup(D525,A:A,0,,,3)),"Non-PDL")</f>
        <v>OZEMPIC (semaglutide)</v>
      </c>
      <c r="F525" t="str">
        <f t="shared" si="16"/>
        <v>Non-Preferred</v>
      </c>
      <c r="G525" s="1" cm="1">
        <f t="array" ref="G525">FuzzyPercent(D525,E525,3)</f>
        <v>0.37209302186965942</v>
      </c>
      <c r="H525" t="str">
        <f t="shared" si="17"/>
        <v/>
      </c>
    </row>
    <row r="526" spans="1:8" x14ac:dyDescent="0.2">
      <c r="A526" t="s">
        <v>1040</v>
      </c>
      <c r="B526" t="s">
        <v>0</v>
      </c>
      <c r="D526" t="s">
        <v>2641</v>
      </c>
      <c r="E526" t="str" cm="1">
        <f t="array" ref="E526">IF(COUNTIF(A:A, "*" &amp; LEFT(D526, FIND(" ", D526 &amp; " ") - 1) &amp; "*") &gt; 0,INDEX(A:A,FuzzyVLookup(D526,A:A,0,,,3)),"Non-PDL")</f>
        <v>Non-PDL</v>
      </c>
      <c r="F526" t="str">
        <f t="shared" si="16"/>
        <v>Non-PDL</v>
      </c>
      <c r="G526" s="1" cm="1">
        <f t="array" ref="G526">FuzzyPercent(D526,E526,3)</f>
        <v>6.6666670143604279E-2</v>
      </c>
      <c r="H526" t="str">
        <f t="shared" si="17"/>
        <v/>
      </c>
    </row>
    <row r="527" spans="1:8" x14ac:dyDescent="0.2">
      <c r="A527" t="s">
        <v>1042</v>
      </c>
      <c r="B527" t="s">
        <v>0</v>
      </c>
      <c r="D527" t="s">
        <v>2642</v>
      </c>
      <c r="E527" t="str" cm="1">
        <f t="array" ref="E527">IF(COUNTIF(A:A, "*" &amp; LEFT(D527, FIND(" ", D527 &amp; " ") - 1) &amp; "*") &gt; 0,INDEX(A:A,FuzzyVLookup(D527,A:A,0,,,3)),"Non-PDL")</f>
        <v>Non-PDL</v>
      </c>
      <c r="F527" t="str">
        <f t="shared" si="16"/>
        <v>Non-PDL</v>
      </c>
      <c r="G527" s="1" cm="1">
        <f t="array" ref="G527">FuzzyPercent(D527,E527,3)</f>
        <v>0.125</v>
      </c>
      <c r="H527" t="str">
        <f t="shared" si="17"/>
        <v/>
      </c>
    </row>
    <row r="528" spans="1:8" x14ac:dyDescent="0.2">
      <c r="A528" t="s">
        <v>1044</v>
      </c>
      <c r="B528" t="s">
        <v>0</v>
      </c>
      <c r="D528" t="s">
        <v>2643</v>
      </c>
      <c r="E528" t="str" cm="1">
        <f t="array" ref="E528">IF(COUNTIF(A:A, "*" &amp; LEFT(D528, FIND(" ", D528 &amp; " ") - 1) &amp; "*") &gt; 0,INDEX(A:A,FuzzyVLookup(D528,A:A,0,,,3)),"Non-PDL")</f>
        <v>paliperidone ER</v>
      </c>
      <c r="F528" t="str">
        <f t="shared" si="16"/>
        <v>Non-Preferred</v>
      </c>
      <c r="G528" s="1" cm="1">
        <f t="array" ref="G528">FuzzyPercent(D528,E528,3)</f>
        <v>1</v>
      </c>
      <c r="H528" t="str">
        <f t="shared" si="17"/>
        <v/>
      </c>
    </row>
    <row r="529" spans="1:8" x14ac:dyDescent="0.2">
      <c r="A529" t="s">
        <v>1046</v>
      </c>
      <c r="B529" t="s">
        <v>0</v>
      </c>
      <c r="D529" t="s">
        <v>2644</v>
      </c>
      <c r="E529" t="str" cm="1">
        <f t="array" ref="E529">IF(COUNTIF(A:A, "*" &amp; LEFT(D529, FIND(" ", D529 &amp; " ") - 1) &amp; "*") &gt; 0,INDEX(A:A,FuzzyVLookup(D529,A:A,0,,,3)),"Non-PDL")</f>
        <v>pantoprazole</v>
      </c>
      <c r="F529" t="str">
        <f t="shared" si="16"/>
        <v>Preferred</v>
      </c>
      <c r="G529" s="1" cm="1">
        <f t="array" ref="G529">FuzzyPercent(D529,E529,3)</f>
        <v>0.2083333283662796</v>
      </c>
      <c r="H529" t="str">
        <f t="shared" si="17"/>
        <v>CHECK</v>
      </c>
    </row>
    <row r="530" spans="1:8" x14ac:dyDescent="0.2">
      <c r="A530" t="s">
        <v>1048</v>
      </c>
      <c r="B530" t="s">
        <v>0</v>
      </c>
      <c r="D530" t="s">
        <v>2645</v>
      </c>
      <c r="E530" t="str" cm="1">
        <f t="array" ref="E530">IF(COUNTIF(A:A, "*" &amp; LEFT(D530, FIND(" ", D530 &amp; " ") - 1) &amp; "*") &gt; 0,INDEX(A:A,FuzzyVLookup(D530,A:A,0,,,3)),"Non-PDL")</f>
        <v>pantoprazole</v>
      </c>
      <c r="F530" t="str">
        <f t="shared" si="16"/>
        <v>Preferred</v>
      </c>
      <c r="G530" s="1" cm="1">
        <f t="array" ref="G530">FuzzyPercent(D530,E530,3)</f>
        <v>0.58333331346511841</v>
      </c>
      <c r="H530" t="str">
        <f t="shared" si="17"/>
        <v/>
      </c>
    </row>
    <row r="531" spans="1:8" x14ac:dyDescent="0.2">
      <c r="A531" t="s">
        <v>1050</v>
      </c>
      <c r="B531" t="s">
        <v>0</v>
      </c>
      <c r="D531" t="s">
        <v>2646</v>
      </c>
      <c r="E531" t="str" cm="1">
        <f t="array" ref="E531">IF(COUNTIF(A:A, "*" &amp; LEFT(D531, FIND(" ", D531 &amp; " ") - 1) &amp; "*") &gt; 0,INDEX(A:A,FuzzyVLookup(D531,A:A,0,,,3)),"Non-PDL")</f>
        <v>Non-PDL</v>
      </c>
      <c r="F531" t="str">
        <f t="shared" si="16"/>
        <v>Non-PDL</v>
      </c>
      <c r="G531" s="1" cm="1">
        <f t="array" ref="G531">FuzzyPercent(D531,E531,3)</f>
        <v>7.042253389954567E-3</v>
      </c>
      <c r="H531" t="str">
        <f t="shared" si="17"/>
        <v/>
      </c>
    </row>
    <row r="532" spans="1:8" x14ac:dyDescent="0.2">
      <c r="A532" t="s">
        <v>382</v>
      </c>
      <c r="B532" t="s">
        <v>0</v>
      </c>
      <c r="D532" t="s">
        <v>2647</v>
      </c>
      <c r="E532" t="str" cm="1">
        <f t="array" ref="E532">IF(COUNTIF(A:A, "*" &amp; LEFT(D532, FIND(" ", D532 &amp; " ") - 1) &amp; "*") &gt; 0,INDEX(A:A,FuzzyVLookup(D532,A:A,0,,,3)),"Non-PDL")</f>
        <v>Non-PDL</v>
      </c>
      <c r="F532" t="str">
        <f t="shared" si="16"/>
        <v>Non-PDL</v>
      </c>
      <c r="G532" s="1" cm="1">
        <f t="array" ref="G532">FuzzyPercent(D532,E532,3)</f>
        <v>1.9801979884505272E-2</v>
      </c>
      <c r="H532" t="str">
        <f t="shared" si="17"/>
        <v/>
      </c>
    </row>
    <row r="533" spans="1:8" x14ac:dyDescent="0.2">
      <c r="A533" t="s">
        <v>1053</v>
      </c>
      <c r="B533" t="s">
        <v>0</v>
      </c>
      <c r="D533" t="s">
        <v>257</v>
      </c>
      <c r="E533" t="str" cm="1">
        <f t="array" ref="E533">IF(COUNTIF(A:A, "*" &amp; LEFT(D533, FIND(" ", D533 &amp; " ") - 1) &amp; "*") &gt; 0,INDEX(A:A,FuzzyVLookup(D533,A:A,0,,,3)),"Non-PDL")</f>
        <v>Perindopril</v>
      </c>
      <c r="F533" t="str">
        <f t="shared" si="16"/>
        <v>Non-Preferred</v>
      </c>
      <c r="G533" s="1" cm="1">
        <f t="array" ref="G533">FuzzyPercent(D533,E533,3)</f>
        <v>1</v>
      </c>
      <c r="H533" t="str">
        <f t="shared" si="17"/>
        <v/>
      </c>
    </row>
    <row r="534" spans="1:8" x14ac:dyDescent="0.2">
      <c r="A534" t="s">
        <v>1055</v>
      </c>
      <c r="B534" t="s">
        <v>0</v>
      </c>
      <c r="D534" t="s">
        <v>2648</v>
      </c>
      <c r="E534" t="str" cm="1">
        <f t="array" ref="E534">IF(COUNTIF(A:A, "*" &amp; LEFT(D534, FIND(" ", D534 &amp; " ") - 1) &amp; "*") &gt; 0,INDEX(A:A,FuzzyVLookup(D534,A:A,0,,,3)),"Non-PDL")</f>
        <v>PERSERIS (risperidone)</v>
      </c>
      <c r="F534" t="str">
        <f t="shared" si="16"/>
        <v>Preferred</v>
      </c>
      <c r="G534" s="1" cm="1">
        <f t="array" ref="G534">FuzzyPercent(D534,E534,3)</f>
        <v>0.42553192377090454</v>
      </c>
      <c r="H534" t="str">
        <f t="shared" si="17"/>
        <v/>
      </c>
    </row>
    <row r="535" spans="1:8" x14ac:dyDescent="0.2">
      <c r="A535" t="s">
        <v>1057</v>
      </c>
      <c r="B535" t="s">
        <v>0</v>
      </c>
      <c r="D535" t="s">
        <v>2649</v>
      </c>
      <c r="E535" t="str" cm="1">
        <f t="array" ref="E535">IF(COUNTIF(A:A, "*" &amp; LEFT(D535, FIND(" ", D535 &amp; " ") - 1) &amp; "*") &gt; 0,INDEX(A:A,FuzzyVLookup(D535,A:A,0,,,3)),"Non-PDL")</f>
        <v>PHEBURANE (sodium phenylbutyrate)</v>
      </c>
      <c r="F535" t="str">
        <f t="shared" si="16"/>
        <v>Non-Preferred</v>
      </c>
      <c r="G535" s="1" cm="1">
        <f t="array" ref="G535">FuzzyPercent(D535,E535,3)</f>
        <v>0.31506848335266113</v>
      </c>
      <c r="H535" t="str">
        <f t="shared" si="17"/>
        <v/>
      </c>
    </row>
    <row r="536" spans="1:8" x14ac:dyDescent="0.2">
      <c r="A536" t="s">
        <v>1059</v>
      </c>
      <c r="B536" t="s">
        <v>0</v>
      </c>
      <c r="D536" t="s">
        <v>2650</v>
      </c>
      <c r="E536" t="str" cm="1">
        <f t="array" ref="E536">IF(COUNTIF(A:A, "*" &amp; LEFT(D536, FIND(" ", D536 &amp; " ") - 1) &amp; "*") &gt; 0,INDEX(A:A,FuzzyVLookup(D536,A:A,0,,,3)),"Non-PDL")</f>
        <v>phenytoin</v>
      </c>
      <c r="F536" t="str">
        <f t="shared" si="16"/>
        <v>Preferred</v>
      </c>
      <c r="G536" s="1" cm="1">
        <f t="array" ref="G536">FuzzyPercent(D536,E536,3)</f>
        <v>0.29729729890823364</v>
      </c>
      <c r="H536" t="str">
        <f t="shared" si="17"/>
        <v>CHECK</v>
      </c>
    </row>
    <row r="537" spans="1:8" x14ac:dyDescent="0.2">
      <c r="A537" t="s">
        <v>1061</v>
      </c>
      <c r="B537" t="s">
        <v>0</v>
      </c>
      <c r="D537" t="s">
        <v>2651</v>
      </c>
      <c r="E537" t="str" cm="1">
        <f t="array" ref="E537">IF(COUNTIF(A:A, "*" &amp; LEFT(D537, FIND(" ", D537 &amp; " ") - 1) &amp; "*") &gt; 0,INDEX(A:A,FuzzyVLookup(D537,A:A,0,,,3)),"Non-PDL")</f>
        <v>Non-PDL</v>
      </c>
      <c r="F537" t="str">
        <f t="shared" si="16"/>
        <v>Non-PDL</v>
      </c>
      <c r="G537" s="1" cm="1">
        <f t="array" ref="G537">FuzzyPercent(D537,E537,3)</f>
        <v>6.6666670143604279E-2</v>
      </c>
      <c r="H537" t="str">
        <f t="shared" si="17"/>
        <v/>
      </c>
    </row>
    <row r="538" spans="1:8" x14ac:dyDescent="0.2">
      <c r="A538" t="s">
        <v>1063</v>
      </c>
      <c r="B538" t="s">
        <v>0</v>
      </c>
      <c r="D538" t="s">
        <v>2652</v>
      </c>
      <c r="E538" t="str" cm="1">
        <f t="array" ref="E538">IF(COUNTIF(A:A, "*" &amp; LEFT(D538, FIND(" ", D538 &amp; " ") - 1) &amp; "*") &gt; 0,INDEX(A:A,FuzzyVLookup(D538,A:A,0,,,3)),"Non-PDL")</f>
        <v>Non-PDL</v>
      </c>
      <c r="F538" t="str">
        <f t="shared" si="16"/>
        <v>Non-PDL</v>
      </c>
      <c r="G538" s="1" cm="1">
        <f t="array" ref="G538">FuzzyPercent(D538,E538,3)</f>
        <v>8.6956523358821869E-2</v>
      </c>
      <c r="H538" t="str">
        <f t="shared" si="17"/>
        <v/>
      </c>
    </row>
    <row r="539" spans="1:8" x14ac:dyDescent="0.2">
      <c r="A539" t="s">
        <v>610</v>
      </c>
      <c r="B539" t="s">
        <v>0</v>
      </c>
      <c r="D539" t="s">
        <v>2653</v>
      </c>
      <c r="E539" t="str" cm="1">
        <f t="array" ref="E539">IF(COUNTIF(A:A, "*" &amp; LEFT(D539, FIND(" ", D539 &amp; " ") - 1) &amp; "*") &gt; 0,INDEX(A:A,FuzzyVLookup(D539,A:A,0,,,3)),"Non-PDL")</f>
        <v>pravastatin</v>
      </c>
      <c r="F539" t="str">
        <f t="shared" si="16"/>
        <v>Preferred</v>
      </c>
      <c r="G539" s="1" cm="1">
        <f t="array" ref="G539">FuzzyPercent(D539,E539,3)</f>
        <v>0.28888890147209167</v>
      </c>
      <c r="H539" t="str">
        <f t="shared" si="17"/>
        <v>CHECK</v>
      </c>
    </row>
    <row r="540" spans="1:8" x14ac:dyDescent="0.2">
      <c r="A540" t="s">
        <v>1066</v>
      </c>
      <c r="B540" t="s">
        <v>0</v>
      </c>
      <c r="D540" t="s">
        <v>2654</v>
      </c>
      <c r="E540" t="str" cm="1">
        <f t="array" ref="E540">IF(COUNTIF(A:A, "*" &amp; LEFT(D540, FIND(" ", D540 &amp; " ") - 1) &amp; "*") &gt; 0,INDEX(A:A,FuzzyVLookup(D540,A:A,0,,,3)),"Non-PDL")</f>
        <v>PRADAXA (dabigatran) pellet pack</v>
      </c>
      <c r="F540" t="str">
        <f t="shared" si="16"/>
        <v>Non-Preferred</v>
      </c>
      <c r="G540" s="1" cm="1">
        <f t="array" ref="G540">FuzzyPercent(D540,E540,3)</f>
        <v>0.31874999403953552</v>
      </c>
      <c r="H540" t="str">
        <f t="shared" si="17"/>
        <v/>
      </c>
    </row>
    <row r="541" spans="1:8" x14ac:dyDescent="0.2">
      <c r="A541" t="s">
        <v>1068</v>
      </c>
      <c r="B541" t="s">
        <v>0</v>
      </c>
      <c r="D541" t="s">
        <v>2655</v>
      </c>
      <c r="E541" t="str" cm="1">
        <f t="array" ref="E541">IF(COUNTIF(A:A, "*" &amp; LEFT(D541, FIND(" ", D541 &amp; " ") - 1) &amp; "*") &gt; 0,INDEX(A:A,FuzzyVLookup(D541,A:A,0,,,3)),"Non-PDL")</f>
        <v>PRALUENT (alirocumab)</v>
      </c>
      <c r="F541" t="str">
        <f t="shared" si="16"/>
        <v>Preferred</v>
      </c>
      <c r="G541" s="1" cm="1">
        <f t="array" ref="G541">FuzzyPercent(D541,E541,3)</f>
        <v>0.4444444477558136</v>
      </c>
      <c r="H541" t="str">
        <f t="shared" si="17"/>
        <v/>
      </c>
    </row>
    <row r="542" spans="1:8" x14ac:dyDescent="0.2">
      <c r="A542" t="s">
        <v>1070</v>
      </c>
      <c r="B542" t="s">
        <v>0</v>
      </c>
      <c r="D542" t="s">
        <v>2656</v>
      </c>
      <c r="E542" t="str" cm="1">
        <f t="array" ref="E542">IF(COUNTIF(A:A, "*" &amp; LEFT(D542, FIND(" ", D542 &amp; " ") - 1) &amp; "*") &gt; 0,INDEX(A:A,FuzzyVLookup(D542,A:A,0,,,3)),"Non-PDL")</f>
        <v>PRED-G (gentamicin/prednisolone)</v>
      </c>
      <c r="F542" t="str">
        <f t="shared" si="16"/>
        <v>Preferred</v>
      </c>
      <c r="G542" s="1" cm="1">
        <f t="array" ref="G542">FuzzyPercent(D542,E542,3)</f>
        <v>0.19298245012760162</v>
      </c>
      <c r="H542" t="str">
        <f t="shared" si="17"/>
        <v>CHECK</v>
      </c>
    </row>
    <row r="543" spans="1:8" x14ac:dyDescent="0.2">
      <c r="A543" t="s">
        <v>1072</v>
      </c>
      <c r="B543" t="s">
        <v>0</v>
      </c>
      <c r="D543" t="s">
        <v>2657</v>
      </c>
      <c r="E543" t="str" cm="1">
        <f t="array" ref="E543">IF(COUNTIF(A:A, "*" &amp; LEFT(D543, FIND(" ", D543 &amp; " ") - 1) &amp; "*") &gt; 0,INDEX(A:A,FuzzyVLookup(D543,A:A,0,,,3)),"Non-PDL")</f>
        <v>PREVACID (lansoprazole)</v>
      </c>
      <c r="F543" t="str">
        <f t="shared" si="16"/>
        <v>Non-Preferred</v>
      </c>
      <c r="G543" s="1" cm="1">
        <f t="array" ref="G543">FuzzyPercent(D543,E543,3)</f>
        <v>0.4126984179019928</v>
      </c>
      <c r="H543" t="str">
        <f t="shared" si="17"/>
        <v/>
      </c>
    </row>
    <row r="544" spans="1:8" x14ac:dyDescent="0.2">
      <c r="A544" t="s">
        <v>1074</v>
      </c>
      <c r="B544" t="s">
        <v>0</v>
      </c>
      <c r="D544" t="s">
        <v>2658</v>
      </c>
      <c r="E544" t="str" cm="1">
        <f t="array" ref="E544">IF(COUNTIF(A:A, "*" &amp; LEFT(D544, FIND(" ", D544 &amp; " ") - 1) &amp; "*") &gt; 0,INDEX(A:A,FuzzyVLookup(D544,A:A,0,,,3)),"Non-PDL")</f>
        <v>PREVACID (lansoprazole)</v>
      </c>
      <c r="F544" t="str">
        <f t="shared" si="16"/>
        <v>Non-Preferred</v>
      </c>
      <c r="G544" s="1" cm="1">
        <f t="array" ref="G544">FuzzyPercent(D544,E544,3)</f>
        <v>0.3968254029750824</v>
      </c>
      <c r="H544" t="str">
        <f t="shared" si="17"/>
        <v/>
      </c>
    </row>
    <row r="545" spans="1:8" x14ac:dyDescent="0.2">
      <c r="A545" t="s">
        <v>1076</v>
      </c>
      <c r="B545" t="s">
        <v>0</v>
      </c>
      <c r="D545" t="s">
        <v>2659</v>
      </c>
      <c r="E545" t="str" cm="1">
        <f t="array" ref="E545">IF(COUNTIF(A:A, "*" &amp; LEFT(D545, FIND(" ", D545 &amp; " ") - 1) &amp; "*") &gt; 0,INDEX(A:A,FuzzyVLookup(D545,A:A,0,,,3)),"Non-PDL")</f>
        <v>Non-PDL</v>
      </c>
      <c r="F545" t="str">
        <f t="shared" si="16"/>
        <v>Non-PDL</v>
      </c>
      <c r="G545" s="1" cm="1">
        <f t="array" ref="G545">FuzzyPercent(D545,E545,3)</f>
        <v>6.25E-2</v>
      </c>
      <c r="H545" t="str">
        <f t="shared" si="17"/>
        <v/>
      </c>
    </row>
    <row r="546" spans="1:8" x14ac:dyDescent="0.2">
      <c r="A546" t="s">
        <v>1078</v>
      </c>
      <c r="B546" t="s">
        <v>0</v>
      </c>
      <c r="D546" t="s">
        <v>2660</v>
      </c>
      <c r="E546" t="str" cm="1">
        <f t="array" ref="E546">IF(COUNTIF(A:A, "*" &amp; LEFT(D546, FIND(" ", D546 &amp; " ") - 1) &amp; "*") &gt; 0,INDEX(A:A,FuzzyVLookup(D546,A:A,0,,,3)),"Non-PDL")</f>
        <v>PRILOSEC (omeprazole) packet</v>
      </c>
      <c r="F546" t="str">
        <f t="shared" si="16"/>
        <v>Non-Preferred</v>
      </c>
      <c r="G546" s="1" cm="1">
        <f t="array" ref="G546">FuzzyPercent(D546,E546,3)</f>
        <v>0.30434781312942505</v>
      </c>
      <c r="H546" t="str">
        <f t="shared" si="17"/>
        <v/>
      </c>
    </row>
    <row r="547" spans="1:8" x14ac:dyDescent="0.2">
      <c r="A547" t="s">
        <v>1080</v>
      </c>
      <c r="B547" t="s">
        <v>0</v>
      </c>
      <c r="D547" t="s">
        <v>2661</v>
      </c>
      <c r="E547" t="str" cm="1">
        <f t="array" ref="E547">IF(COUNTIF(A:A, "*" &amp; LEFT(D547, FIND(" ", D547 &amp; " ") - 1) &amp; "*") &gt; 0,INDEX(A:A,FuzzyVLookup(D547,A:A,0,,,3)),"Non-PDL")</f>
        <v>PRILOSEC (omeprazole) packet</v>
      </c>
      <c r="F547" t="str">
        <f t="shared" si="16"/>
        <v>Non-Preferred</v>
      </c>
      <c r="G547" s="1" cm="1">
        <f t="array" ref="G547">FuzzyPercent(D547,E547,3)</f>
        <v>0.23972602188587189</v>
      </c>
      <c r="H547" t="str">
        <f t="shared" si="17"/>
        <v>CHECK</v>
      </c>
    </row>
    <row r="548" spans="1:8" x14ac:dyDescent="0.2">
      <c r="A548" t="s">
        <v>1082</v>
      </c>
      <c r="B548" t="s">
        <v>0</v>
      </c>
      <c r="D548" t="s">
        <v>2662</v>
      </c>
      <c r="E548" t="str" cm="1">
        <f t="array" ref="E548">IF(COUNTIF(A:A, "*" &amp; LEFT(D548, FIND(" ", D548 &amp; " ") - 1) &amp; "*") &gt; 0,INDEX(A:A,FuzzyVLookup(D548,A:A,0,,,3)),"Non-PDL")</f>
        <v>PROAIR DIGIHALER (albuterol)</v>
      </c>
      <c r="F548" t="str">
        <f t="shared" si="16"/>
        <v>Non-Preferred</v>
      </c>
      <c r="G548" s="1" cm="1">
        <f t="array" ref="G548">FuzzyPercent(D548,E548,3)</f>
        <v>0.66225165128707886</v>
      </c>
      <c r="H548" t="str">
        <f t="shared" si="17"/>
        <v/>
      </c>
    </row>
    <row r="549" spans="1:8" x14ac:dyDescent="0.2">
      <c r="A549" t="s">
        <v>1084</v>
      </c>
      <c r="B549" t="s">
        <v>0</v>
      </c>
      <c r="D549" t="s">
        <v>2663</v>
      </c>
      <c r="E549" t="str" cm="1">
        <f t="array" ref="E549">IF(COUNTIF(A:A, "*" &amp; LEFT(D549, FIND(" ", D549 &amp; " ") - 1) &amp; "*") &gt; 0,INDEX(A:A,FuzzyVLookup(D549,A:A,0,,,3)),"Non-PDL")</f>
        <v>PROAIR DIGIHALER (albuterol)</v>
      </c>
      <c r="F549" t="str">
        <f t="shared" si="16"/>
        <v>Non-Preferred</v>
      </c>
      <c r="G549" s="1" cm="1">
        <f t="array" ref="G549">FuzzyPercent(D549,E549,3)</f>
        <v>0.2578125</v>
      </c>
      <c r="H549" t="str">
        <f t="shared" si="17"/>
        <v>CHECK</v>
      </c>
    </row>
    <row r="550" spans="1:8" x14ac:dyDescent="0.2">
      <c r="A550" t="s">
        <v>1086</v>
      </c>
      <c r="B550" t="s">
        <v>0</v>
      </c>
      <c r="D550" t="s">
        <v>2664</v>
      </c>
      <c r="E550" t="str" cm="1">
        <f t="array" ref="E550">IF(COUNTIF(A:A, "*" &amp; LEFT(D550, FIND(" ", D550 &amp; " ") - 1) &amp; "*") &gt; 0,INDEX(A:A,FuzzyVLookup(D550,A:A,0,,,3)),"Non-PDL")</f>
        <v>PROAIR DIGIHALER (albuterol)</v>
      </c>
      <c r="F550" t="str">
        <f t="shared" si="16"/>
        <v>Non-Preferred</v>
      </c>
      <c r="G550" s="1" cm="1">
        <f t="array" ref="G550">FuzzyPercent(D550,E550,3)</f>
        <v>0.22875817120075226</v>
      </c>
      <c r="H550" t="str">
        <f t="shared" si="17"/>
        <v>CHECK</v>
      </c>
    </row>
    <row r="551" spans="1:8" x14ac:dyDescent="0.2">
      <c r="A551" t="s">
        <v>1088</v>
      </c>
      <c r="B551" t="s">
        <v>0</v>
      </c>
      <c r="D551" t="s">
        <v>2665</v>
      </c>
      <c r="E551" t="str" cm="1">
        <f t="array" ref="E551">IF(COUNTIF(A:A, "*" &amp; LEFT(D551, FIND(" ", D551 &amp; " ") - 1) &amp; "*") &gt; 0,INDEX(A:A,FuzzyVLookup(D551,A:A,0,,,3)),"Non-PDL")</f>
        <v>ciprofloxacin suspension</v>
      </c>
      <c r="F551" t="str">
        <f t="shared" si="16"/>
        <v>Non-Preferred</v>
      </c>
      <c r="G551" s="1" cm="1">
        <f t="array" ref="G551">FuzzyPercent(D551,E551,3)</f>
        <v>0.28571429848670959</v>
      </c>
      <c r="H551" t="str">
        <f t="shared" si="17"/>
        <v>CHECK</v>
      </c>
    </row>
    <row r="552" spans="1:8" x14ac:dyDescent="0.2">
      <c r="A552" t="s">
        <v>1089</v>
      </c>
      <c r="B552" t="s">
        <v>0</v>
      </c>
      <c r="D552" t="s">
        <v>2666</v>
      </c>
      <c r="E552" t="str" cm="1">
        <f t="array" ref="E552">IF(COUNTIF(A:A, "*" &amp; LEFT(D552, FIND(" ", D552 &amp; " ") - 1) &amp; "*") &gt; 0,INDEX(A:A,FuzzyVLookup(D552,A:A,0,,,3)),"Non-PDL")</f>
        <v>PROMACTA (eltrombopag) tablet</v>
      </c>
      <c r="F552" t="str">
        <f t="shared" si="16"/>
        <v>Preferred</v>
      </c>
      <c r="G552" s="1" cm="1">
        <f t="array" ref="G552">FuzzyPercent(D552,E552,3)</f>
        <v>0.41216215491294861</v>
      </c>
      <c r="H552" t="str">
        <f t="shared" si="17"/>
        <v/>
      </c>
    </row>
    <row r="553" spans="1:8" x14ac:dyDescent="0.2">
      <c r="A553" t="s">
        <v>1091</v>
      </c>
      <c r="B553" t="s">
        <v>0</v>
      </c>
      <c r="D553" t="s">
        <v>2667</v>
      </c>
      <c r="E553" t="str" cm="1">
        <f t="array" ref="E553">IF(COUNTIF(A:A, "*" &amp; LEFT(D553, FIND(" ", D553 &amp; " ") - 1) &amp; "*") &gt; 0,INDEX(A:A,FuzzyVLookup(D553,A:A,0,,,3)),"Non-PDL")</f>
        <v>PROTONIX (pantoprazole)</v>
      </c>
      <c r="F553" t="str">
        <f t="shared" si="16"/>
        <v>Non-Preferred</v>
      </c>
      <c r="G553" s="1" cm="1">
        <f t="array" ref="G553">FuzzyPercent(D553,E553,3)</f>
        <v>0.22047244012355804</v>
      </c>
      <c r="H553" t="str">
        <f t="shared" si="17"/>
        <v>CHECK</v>
      </c>
    </row>
    <row r="554" spans="1:8" x14ac:dyDescent="0.2">
      <c r="A554" t="s">
        <v>1093</v>
      </c>
      <c r="B554" t="s">
        <v>0</v>
      </c>
      <c r="D554" t="s">
        <v>2668</v>
      </c>
      <c r="E554" t="str" cm="1">
        <f t="array" ref="E554">IF(COUNTIF(A:A, "*" &amp; LEFT(D554, FIND(" ", D554 &amp; " ") - 1) &amp; "*") &gt; 0,INDEX(A:A,FuzzyVLookup(D554,A:A,0,,,3)),"Non-PDL")</f>
        <v>PROTONIX (pantoprazole)</v>
      </c>
      <c r="F554" t="str">
        <f t="shared" si="16"/>
        <v>Non-Preferred</v>
      </c>
      <c r="G554" s="1" cm="1">
        <f t="array" ref="G554">FuzzyPercent(D554,E554,3)</f>
        <v>0.39552238583564758</v>
      </c>
      <c r="H554" t="str">
        <f t="shared" si="17"/>
        <v/>
      </c>
    </row>
    <row r="555" spans="1:8" x14ac:dyDescent="0.2">
      <c r="A555" t="s">
        <v>1095</v>
      </c>
      <c r="B555" t="s">
        <v>0</v>
      </c>
      <c r="D555" t="s">
        <v>2669</v>
      </c>
      <c r="E555" t="str" cm="1">
        <f t="array" ref="E555">IF(COUNTIF(A:A, "*" &amp; LEFT(D555, FIND(" ", D555 &amp; " ") - 1) &amp; "*") &gt; 0,INDEX(A:A,FuzzyVLookup(D555,A:A,0,,,3)),"Non-PDL")</f>
        <v>Non-PDL</v>
      </c>
      <c r="F555" t="str">
        <f t="shared" si="16"/>
        <v>Non-PDL</v>
      </c>
      <c r="G555" s="1" cm="1">
        <f t="array" ref="G555">FuzzyPercent(D555,E555,3)</f>
        <v>0</v>
      </c>
      <c r="H555" t="str">
        <f t="shared" si="17"/>
        <v/>
      </c>
    </row>
    <row r="556" spans="1:8" x14ac:dyDescent="0.2">
      <c r="A556" t="s">
        <v>1097</v>
      </c>
      <c r="B556" t="s">
        <v>0</v>
      </c>
      <c r="D556" t="s">
        <v>2670</v>
      </c>
      <c r="E556" t="str" cm="1">
        <f t="array" ref="E556">IF(COUNTIF(A:A, "*" &amp; LEFT(D556, FIND(" ", D556 &amp; " ") - 1) &amp; "*") &gt; 0,INDEX(A:A,FuzzyVLookup(D556,A:A,0,,,3)),"Non-PDL")</f>
        <v>PULMICORT FLEXHALER (budesonide)</v>
      </c>
      <c r="F556" t="str">
        <f t="shared" si="16"/>
        <v>Preferred</v>
      </c>
      <c r="G556" s="1" cm="1">
        <f t="array" ref="G556">FuzzyPercent(D556,E556,3)</f>
        <v>0.67039108276367188</v>
      </c>
      <c r="H556" t="str">
        <f t="shared" si="17"/>
        <v/>
      </c>
    </row>
    <row r="557" spans="1:8" x14ac:dyDescent="0.2">
      <c r="A557" t="s">
        <v>1099</v>
      </c>
      <c r="B557" t="s">
        <v>0</v>
      </c>
      <c r="D557" t="s">
        <v>2671</v>
      </c>
      <c r="E557" t="str" cm="1">
        <f t="array" ref="E557">IF(COUNTIF(A:A, "*" &amp; LEFT(D557, FIND(" ", D557 &amp; " ") - 1) &amp; "*") &gt; 0,INDEX(A:A,FuzzyVLookup(D557,A:A,0,,,3)),"Non-PDL")</f>
        <v>PULMICORT FLEXHALER (budesonide)</v>
      </c>
      <c r="F557" t="str">
        <f t="shared" si="16"/>
        <v>Preferred</v>
      </c>
      <c r="G557" s="1" cm="1">
        <f t="array" ref="G557">FuzzyPercent(D557,E557,3)</f>
        <v>0.31794872879981995</v>
      </c>
      <c r="H557" t="str">
        <f t="shared" si="17"/>
        <v/>
      </c>
    </row>
    <row r="558" spans="1:8" x14ac:dyDescent="0.2">
      <c r="A558" t="s">
        <v>1101</v>
      </c>
      <c r="B558" t="s">
        <v>0</v>
      </c>
      <c r="D558" t="s">
        <v>2672</v>
      </c>
      <c r="E558" t="str" cm="1">
        <f t="array" ref="E558">IF(COUNTIF(A:A, "*" &amp; LEFT(D558, FIND(" ", D558 &amp; " ") - 1) &amp; "*") &gt; 0,INDEX(A:A,FuzzyVLookup(D558,A:A,0,,,3)),"Non-PDL")</f>
        <v>PULMICORT FLEXHALER (budesonide)</v>
      </c>
      <c r="F558" t="str">
        <f t="shared" si="16"/>
        <v>Preferred</v>
      </c>
      <c r="G558" s="1" cm="1">
        <f t="array" ref="G558">FuzzyPercent(D558,E558,3)</f>
        <v>0.29047620296478271</v>
      </c>
      <c r="H558" t="str">
        <f t="shared" si="17"/>
        <v>CHECK</v>
      </c>
    </row>
    <row r="559" spans="1:8" x14ac:dyDescent="0.2">
      <c r="A559" t="s">
        <v>1103</v>
      </c>
      <c r="B559" t="s">
        <v>0</v>
      </c>
      <c r="D559" t="s">
        <v>2673</v>
      </c>
      <c r="E559" t="str" cm="1">
        <f t="array" ref="E559">IF(COUNTIF(A:A, "*" &amp; LEFT(D559, FIND(" ", D559 &amp; " ") - 1) &amp; "*") &gt; 0,INDEX(A:A,FuzzyVLookup(D559,A:A,0,,,3)),"Non-PDL")</f>
        <v>PULMICORT FLEXHALER (budesonide)</v>
      </c>
      <c r="F559" t="str">
        <f t="shared" si="16"/>
        <v>Preferred</v>
      </c>
      <c r="G559" s="1" cm="1">
        <f t="array" ref="G559">FuzzyPercent(D559,E559,3)</f>
        <v>0.30097088217735291</v>
      </c>
      <c r="H559" t="str">
        <f t="shared" si="17"/>
        <v/>
      </c>
    </row>
    <row r="560" spans="1:8" x14ac:dyDescent="0.2">
      <c r="A560" t="s">
        <v>1105</v>
      </c>
      <c r="B560" t="s">
        <v>0</v>
      </c>
      <c r="D560" t="s">
        <v>2674</v>
      </c>
      <c r="E560" t="str" cm="1">
        <f t="array" ref="E560">IF(COUNTIF(A:A, "*" &amp; LEFT(D560, FIND(" ", D560 &amp; " ") - 1) &amp; "*") &gt; 0,INDEX(A:A,FuzzyVLookup(D560,A:A,0,,,3)),"Non-PDL")</f>
        <v>Non-PDL</v>
      </c>
      <c r="F560" t="str">
        <f t="shared" si="16"/>
        <v>Non-PDL</v>
      </c>
      <c r="G560" s="1" cm="1">
        <f t="array" ref="G560">FuzzyPercent(D560,E560,3)</f>
        <v>0</v>
      </c>
      <c r="H560" t="str">
        <f t="shared" si="17"/>
        <v/>
      </c>
    </row>
    <row r="561" spans="1:8" x14ac:dyDescent="0.2">
      <c r="A561" t="s">
        <v>1107</v>
      </c>
      <c r="B561" t="s">
        <v>0</v>
      </c>
      <c r="D561" t="s">
        <v>2675</v>
      </c>
      <c r="E561" t="str" cm="1">
        <f t="array" ref="E561">IF(COUNTIF(A:A, "*" &amp; LEFT(D561, FIND(" ", D561 &amp; " ") - 1) &amp; "*") &gt; 0,INDEX(A:A,FuzzyVLookup(D561,A:A,0,,,3)),"Non-PDL")</f>
        <v>Non-PDL</v>
      </c>
      <c r="F561" t="str">
        <f t="shared" si="16"/>
        <v>Non-PDL</v>
      </c>
      <c r="G561" s="1" cm="1">
        <f t="array" ref="G561">FuzzyPercent(D561,E561,3)</f>
        <v>0</v>
      </c>
      <c r="H561" t="str">
        <f t="shared" si="17"/>
        <v/>
      </c>
    </row>
    <row r="562" spans="1:8" x14ac:dyDescent="0.2">
      <c r="A562" t="s">
        <v>1109</v>
      </c>
      <c r="B562" t="s">
        <v>0</v>
      </c>
      <c r="D562" t="s">
        <v>2676</v>
      </c>
      <c r="E562" t="str" cm="1">
        <f t="array" ref="E562">IF(COUNTIF(A:A, "*" &amp; LEFT(D562, FIND(" ", D562 &amp; " ") - 1) &amp; "*") &gt; 0,INDEX(A:A,FuzzyVLookup(D562,A:A,0,,,3)),"Non-PDL")</f>
        <v>quetiapine</v>
      </c>
      <c r="F562" t="str">
        <f t="shared" si="16"/>
        <v>Preferred</v>
      </c>
      <c r="G562" s="1" cm="1">
        <f t="array" ref="G562">FuzzyPercent(D562,E562,3)</f>
        <v>1</v>
      </c>
      <c r="H562" t="str">
        <f t="shared" si="17"/>
        <v/>
      </c>
    </row>
    <row r="563" spans="1:8" x14ac:dyDescent="0.2">
      <c r="A563" t="s">
        <v>1111</v>
      </c>
      <c r="B563" t="s">
        <v>0</v>
      </c>
      <c r="D563" t="s">
        <v>2677</v>
      </c>
      <c r="E563" t="str" cm="1">
        <f t="array" ref="E563">IF(COUNTIF(A:A, "*" &amp; LEFT(D563, FIND(" ", D563 &amp; " ") - 1) &amp; "*") &gt; 0,INDEX(A:A,FuzzyVLookup(D563,A:A,0,,,3)),"Non-PDL")</f>
        <v>quetiapine ER</v>
      </c>
      <c r="F563" t="str">
        <f t="shared" si="16"/>
        <v>Preferred</v>
      </c>
      <c r="G563" s="1" cm="1">
        <f t="array" ref="G563">FuzzyPercent(D563,E563,3)</f>
        <v>1</v>
      </c>
      <c r="H563" t="str">
        <f t="shared" si="17"/>
        <v/>
      </c>
    </row>
    <row r="564" spans="1:8" x14ac:dyDescent="0.2">
      <c r="A564" t="s">
        <v>1113</v>
      </c>
      <c r="B564" t="s">
        <v>0</v>
      </c>
      <c r="D564" t="s">
        <v>2678</v>
      </c>
      <c r="E564" t="str" cm="1">
        <f t="array" ref="E564">IF(COUNTIF(A:A, "*" &amp; LEFT(D564, FIND(" ", D564 &amp; " ") - 1) &amp; "*") &gt; 0,INDEX(A:A,FuzzyVLookup(D564,A:A,0,,,3)),"Non-PDL")</f>
        <v>QUILLICHEW ER (methylphenidate)</v>
      </c>
      <c r="F564" t="str">
        <f t="shared" si="16"/>
        <v>Preferred</v>
      </c>
      <c r="G564" s="1" cm="1">
        <f t="array" ref="G564">FuzzyPercent(D564,E564,3)</f>
        <v>0.40000000596046448</v>
      </c>
      <c r="H564" t="str">
        <f t="shared" si="17"/>
        <v/>
      </c>
    </row>
    <row r="565" spans="1:8" x14ac:dyDescent="0.2">
      <c r="A565" t="s">
        <v>1115</v>
      </c>
      <c r="B565" t="s">
        <v>0</v>
      </c>
      <c r="D565" t="s">
        <v>2679</v>
      </c>
      <c r="E565" t="str" cm="1">
        <f t="array" ref="E565">IF(COUNTIF(A:A, "*" &amp; LEFT(D565, FIND(" ", D565 &amp; " ") - 1) &amp; "*") &gt; 0,INDEX(A:A,FuzzyVLookup(D565,A:A,0,,,3)),"Non-PDL")</f>
        <v>QUILLIVANT XR (methylphenidate)</v>
      </c>
      <c r="F565" t="str">
        <f t="shared" si="16"/>
        <v>Preferred</v>
      </c>
      <c r="G565" s="1" cm="1">
        <f t="array" ref="G565">FuzzyPercent(D565,E565,3)</f>
        <v>0.49333333969116211</v>
      </c>
      <c r="H565" t="str">
        <f t="shared" si="17"/>
        <v/>
      </c>
    </row>
    <row r="566" spans="1:8" x14ac:dyDescent="0.2">
      <c r="A566" t="s">
        <v>1117</v>
      </c>
      <c r="B566" t="s">
        <v>0</v>
      </c>
      <c r="D566" t="s">
        <v>2680</v>
      </c>
      <c r="E566" t="str" cm="1">
        <f t="array" ref="E566">IF(COUNTIF(A:A, "*" &amp; LEFT(D566, FIND(" ", D566 &amp; " ") - 1) &amp; "*") &gt; 0,INDEX(A:A,FuzzyVLookup(D566,A:A,0,,,3)),"Non-PDL")</f>
        <v>quinapril</v>
      </c>
      <c r="F566" t="str">
        <f t="shared" si="16"/>
        <v>Preferred</v>
      </c>
      <c r="G566" s="1" cm="1">
        <f t="array" ref="G566">FuzzyPercent(D566,E566,3)</f>
        <v>1</v>
      </c>
      <c r="H566" t="str">
        <f t="shared" si="17"/>
        <v/>
      </c>
    </row>
    <row r="567" spans="1:8" x14ac:dyDescent="0.2">
      <c r="A567" t="s">
        <v>1119</v>
      </c>
      <c r="B567" t="s">
        <v>0</v>
      </c>
      <c r="D567" t="s">
        <v>2681</v>
      </c>
      <c r="E567" t="str" cm="1">
        <f t="array" ref="E567">IF(COUNTIF(A:A, "*" &amp; LEFT(D567, FIND(" ", D567 &amp; " ") - 1) &amp; "*") &gt; 0,INDEX(A:A,FuzzyVLookup(D567,A:A,0,,,3)),"Non-PDL")</f>
        <v>QULIPTA (atogepant)</v>
      </c>
      <c r="F567" t="str">
        <f t="shared" si="16"/>
        <v>Preferred</v>
      </c>
      <c r="G567" s="1" cm="1">
        <f t="array" ref="G567">FuzzyPercent(D567,E567,3)</f>
        <v>0.42105263471603394</v>
      </c>
      <c r="H567" t="str">
        <f t="shared" si="17"/>
        <v/>
      </c>
    </row>
    <row r="568" spans="1:8" x14ac:dyDescent="0.2">
      <c r="A568" t="s">
        <v>1121</v>
      </c>
      <c r="B568" t="s">
        <v>0</v>
      </c>
      <c r="D568" t="s">
        <v>2682</v>
      </c>
      <c r="E568" t="str" cm="1">
        <f t="array" ref="E568">IF(COUNTIF(A:A, "*" &amp; LEFT(D568, FIND(" ", D568 &amp; " ") - 1) &amp; "*") &gt; 0,INDEX(A:A,FuzzyVLookup(D568,A:A,0,,,3)),"Non-PDL")</f>
        <v>HYQVIA</v>
      </c>
      <c r="F568" t="str">
        <f t="shared" si="16"/>
        <v>Preferred</v>
      </c>
      <c r="G568" s="1" cm="1">
        <f t="array" ref="G568">FuzzyPercent(D568,E568,3)</f>
        <v>0.22727273404598236</v>
      </c>
      <c r="H568" t="str">
        <f t="shared" si="17"/>
        <v>CHECK</v>
      </c>
    </row>
    <row r="569" spans="1:8" x14ac:dyDescent="0.2">
      <c r="A569" t="s">
        <v>1123</v>
      </c>
      <c r="B569" t="s">
        <v>0</v>
      </c>
      <c r="D569" t="s">
        <v>2683</v>
      </c>
      <c r="E569" t="str" cm="1">
        <f t="array" ref="E569">IF(COUNTIF(A:A, "*" &amp; LEFT(D569, FIND(" ", D569 &amp; " ") - 1) &amp; "*") &gt; 0,INDEX(A:A,FuzzyVLookup(D569,A:A,0,,,3)),"Non-PDL")</f>
        <v>rabeprazole</v>
      </c>
      <c r="F569" t="str">
        <f t="shared" si="16"/>
        <v>Non-Preferred</v>
      </c>
      <c r="G569" s="1" cm="1">
        <f t="array" ref="G569">FuzzyPercent(D569,E569,3)</f>
        <v>0.28712871670722961</v>
      </c>
      <c r="H569" t="str">
        <f t="shared" si="17"/>
        <v>CHECK</v>
      </c>
    </row>
    <row r="570" spans="1:8" x14ac:dyDescent="0.2">
      <c r="A570" t="s">
        <v>1125</v>
      </c>
      <c r="B570" t="s">
        <v>0</v>
      </c>
      <c r="D570" t="s">
        <v>2684</v>
      </c>
      <c r="E570" t="str" cm="1">
        <f t="array" ref="E570">IF(COUNTIF(A:A, "*" &amp; LEFT(D570, FIND(" ", D570 &amp; " ") - 1) &amp; "*") &gt; 0,INDEX(A:A,FuzzyVLookup(D570,A:A,0,,,3)),"Non-PDL")</f>
        <v>rabeprazole</v>
      </c>
      <c r="F570" t="str">
        <f t="shared" si="16"/>
        <v>Non-Preferred</v>
      </c>
      <c r="G570" s="1" cm="1">
        <f t="array" ref="G570">FuzzyPercent(D570,E570,3)</f>
        <v>0.5</v>
      </c>
      <c r="H570" t="str">
        <f t="shared" si="17"/>
        <v/>
      </c>
    </row>
    <row r="571" spans="1:8" x14ac:dyDescent="0.2">
      <c r="A571" t="s">
        <v>1127</v>
      </c>
      <c r="B571" t="s">
        <v>0</v>
      </c>
      <c r="D571" t="s">
        <v>2685</v>
      </c>
      <c r="E571" t="str" cm="1">
        <f t="array" ref="E571">IF(COUNTIF(A:A, "*" &amp; LEFT(D571, FIND(" ", D571 &amp; " ") - 1) &amp; "*") &gt; 0,INDEX(A:A,FuzzyVLookup(D571,A:A,0,,,3)),"Non-PDL")</f>
        <v>RAGWITEK</v>
      </c>
      <c r="F571" t="str">
        <f t="shared" si="16"/>
        <v>Preferred</v>
      </c>
      <c r="G571" s="1" cm="1">
        <f t="array" ref="G571">FuzzyPercent(D571,E571,3)</f>
        <v>1</v>
      </c>
      <c r="H571" t="str">
        <f t="shared" si="17"/>
        <v/>
      </c>
    </row>
    <row r="572" spans="1:8" x14ac:dyDescent="0.2">
      <c r="A572" t="s">
        <v>1129</v>
      </c>
      <c r="B572" t="s">
        <v>0</v>
      </c>
      <c r="D572" t="s">
        <v>2686</v>
      </c>
      <c r="E572" t="str" cm="1">
        <f t="array" ref="E572">IF(COUNTIF(A:A, "*" &amp; LEFT(D572, FIND(" ", D572 &amp; " ") - 1) &amp; "*") &gt; 0,INDEX(A:A,FuzzyVLookup(D572,A:A,0,,,3)),"Non-PDL")</f>
        <v>ramipril</v>
      </c>
      <c r="F572" t="str">
        <f t="shared" si="16"/>
        <v>Preferred</v>
      </c>
      <c r="G572" s="1" cm="1">
        <f t="array" ref="G572">FuzzyPercent(D572,E572,3)</f>
        <v>1</v>
      </c>
      <c r="H572" t="str">
        <f t="shared" si="17"/>
        <v/>
      </c>
    </row>
    <row r="573" spans="1:8" x14ac:dyDescent="0.2">
      <c r="A573" t="s">
        <v>1131</v>
      </c>
      <c r="B573" t="s">
        <v>0</v>
      </c>
      <c r="D573" t="s">
        <v>2687</v>
      </c>
      <c r="E573" t="str" cm="1">
        <f t="array" ref="E573">IF(COUNTIF(A:A, "*" &amp; LEFT(D573, FIND(" ", D573 &amp; " ") - 1) &amp; "*") &gt; 0,INDEX(A:A,FuzzyVLookup(D573,A:A,0,,,3)),"Non-PDL")</f>
        <v>Non-PDL</v>
      </c>
      <c r="F573" t="str">
        <f t="shared" si="16"/>
        <v>Non-PDL</v>
      </c>
      <c r="G573" s="1" cm="1">
        <f t="array" ref="G573">FuzzyPercent(D573,E573,3)</f>
        <v>6.6666670143604279E-2</v>
      </c>
      <c r="H573" t="str">
        <f t="shared" si="17"/>
        <v/>
      </c>
    </row>
    <row r="574" spans="1:8" x14ac:dyDescent="0.2">
      <c r="A574" t="s">
        <v>1133</v>
      </c>
      <c r="B574" t="s">
        <v>0</v>
      </c>
      <c r="D574" t="s">
        <v>2688</v>
      </c>
      <c r="E574" t="str" cm="1">
        <f t="array" ref="E574">IF(COUNTIF(A:A, "*" &amp; LEFT(D574, FIND(" ", D574 &amp; " ") - 1) &amp; "*") &gt; 0,INDEX(A:A,FuzzyVLookup(D574,A:A,0,,,3)),"Non-PDL")</f>
        <v>maraviroc</v>
      </c>
      <c r="F574" t="str">
        <f t="shared" si="16"/>
        <v>Preferred</v>
      </c>
      <c r="G574" s="1" cm="1">
        <f t="array" ref="G574">FuzzyPercent(D574,E574,3)</f>
        <v>0.35897436738014221</v>
      </c>
      <c r="H574" t="str">
        <f t="shared" si="17"/>
        <v/>
      </c>
    </row>
    <row r="575" spans="1:8" x14ac:dyDescent="0.2">
      <c r="A575" t="s">
        <v>1135</v>
      </c>
      <c r="B575" t="s">
        <v>0</v>
      </c>
      <c r="D575" t="s">
        <v>2689</v>
      </c>
      <c r="E575" t="str" cm="1">
        <f t="array" ref="E575">IF(COUNTIF(A:A, "*" &amp; LEFT(D575, FIND(" ", D575 &amp; " ") - 1) &amp; "*") &gt; 0,INDEX(A:A,FuzzyVLookup(D575,A:A,0,,,3)),"Non-PDL")</f>
        <v>REBIF (interferon beta-1b)</v>
      </c>
      <c r="F575" t="str">
        <f t="shared" si="16"/>
        <v>Preferred</v>
      </c>
      <c r="G575" s="1" cm="1">
        <f t="array" ref="G575">FuzzyPercent(D575,E575,3)</f>
        <v>0.48295453190803528</v>
      </c>
      <c r="H575" t="str">
        <f t="shared" si="17"/>
        <v/>
      </c>
    </row>
    <row r="576" spans="1:8" x14ac:dyDescent="0.2">
      <c r="A576" t="s">
        <v>1137</v>
      </c>
      <c r="B576" t="s">
        <v>0</v>
      </c>
      <c r="D576" t="s">
        <v>2690</v>
      </c>
      <c r="E576" t="str" cm="1">
        <f t="array" ref="E576">IF(COUNTIF(A:A, "*" &amp; LEFT(D576, FIND(" ", D576 &amp; " ") - 1) &amp; "*") &gt; 0,INDEX(A:A,FuzzyVLookup(D576,A:A,0,,,3)),"Non-PDL")</f>
        <v>REBINYN</v>
      </c>
      <c r="F576" t="str">
        <f t="shared" si="16"/>
        <v>Non-Preferred</v>
      </c>
      <c r="G576" s="1" cm="1">
        <f t="array" ref="G576">FuzzyPercent(D576,E576,3)</f>
        <v>1</v>
      </c>
      <c r="H576" t="str">
        <f t="shared" si="17"/>
        <v/>
      </c>
    </row>
    <row r="577" spans="1:8" x14ac:dyDescent="0.2">
      <c r="A577" t="s">
        <v>1139</v>
      </c>
      <c r="B577" t="s">
        <v>0</v>
      </c>
      <c r="D577" t="s">
        <v>2691</v>
      </c>
      <c r="E577" t="str" cm="1">
        <f t="array" ref="E577">IF(COUNTIF(A:A, "*" &amp; LEFT(D577, FIND(" ", D577 &amp; " ") - 1) &amp; "*") &gt; 0,INDEX(A:A,FuzzyVLookup(D577,A:A,0,,,3)),"Non-PDL")</f>
        <v>Non-PDL</v>
      </c>
      <c r="F577" t="str">
        <f t="shared" si="16"/>
        <v>Non-PDL</v>
      </c>
      <c r="G577" s="1" cm="1">
        <f t="array" ref="G577">FuzzyPercent(D577,E577,3)</f>
        <v>8.1300809979438782E-3</v>
      </c>
      <c r="H577" t="str">
        <f t="shared" si="17"/>
        <v/>
      </c>
    </row>
    <row r="578" spans="1:8" x14ac:dyDescent="0.2">
      <c r="A578" t="s">
        <v>1141</v>
      </c>
      <c r="B578" t="s">
        <v>0</v>
      </c>
      <c r="D578" t="s">
        <v>2692</v>
      </c>
      <c r="E578" t="str" cm="1">
        <f t="array" ref="E578">IF(COUNTIF(A:A, "*" &amp; LEFT(D578, FIND(" ", D578 &amp; " ") - 1) &amp; "*") &gt; 0,INDEX(A:A,FuzzyVLookup(D578,A:A,0,,,3)),"Non-PDL")</f>
        <v>REBINYN</v>
      </c>
      <c r="F578" t="str">
        <f t="shared" si="16"/>
        <v>Non-Preferred</v>
      </c>
      <c r="G578" s="1" cm="1">
        <f t="array" ref="G578">FuzzyPercent(D578,E578,3)</f>
        <v>0.375</v>
      </c>
      <c r="H578" t="str">
        <f t="shared" si="17"/>
        <v/>
      </c>
    </row>
    <row r="579" spans="1:8" x14ac:dyDescent="0.2">
      <c r="A579" t="s">
        <v>1143</v>
      </c>
      <c r="B579" t="s">
        <v>0</v>
      </c>
      <c r="D579" t="s">
        <v>2693</v>
      </c>
      <c r="E579" t="str" cm="1">
        <f t="array" ref="E579">IF(COUNTIF(A:A, "*" &amp; LEFT(D579, FIND(" ", D579 &amp; " ") - 1) &amp; "*") &gt; 0,INDEX(A:A,FuzzyVLookup(D579,A:A,0,,,3)),"Non-PDL")</f>
        <v>Non-PDL</v>
      </c>
      <c r="F579" t="str">
        <f t="shared" ref="F579:F642" si="18">_xlfn.IFNA(_xlfn.XLOOKUP(E579,A:A,B:B),"Non-PDL")</f>
        <v>Non-PDL</v>
      </c>
      <c r="G579" s="1" cm="1">
        <f t="array" ref="G579">FuzzyPercent(D579,E579,3)</f>
        <v>0</v>
      </c>
      <c r="H579" t="str">
        <f t="shared" ref="H579:H642" si="19">IF(F579="Non-PDL","",IF(G579&lt;0.3,"CHECK",""))</f>
        <v/>
      </c>
    </row>
    <row r="580" spans="1:8" x14ac:dyDescent="0.2">
      <c r="A580" t="s">
        <v>1145</v>
      </c>
      <c r="B580" t="s">
        <v>0</v>
      </c>
      <c r="D580" t="s">
        <v>2694</v>
      </c>
      <c r="E580" t="str" cm="1">
        <f t="array" ref="E580">IF(COUNTIF(A:A, "*" &amp; LEFT(D580, FIND(" ", D580 &amp; " ") - 1) &amp; "*") &gt; 0,INDEX(A:A,FuzzyVLookup(D580,A:A,0,,,3)),"Non-PDL")</f>
        <v>Non-PDL</v>
      </c>
      <c r="F580" t="str">
        <f t="shared" si="18"/>
        <v>Non-PDL</v>
      </c>
      <c r="G580" s="1" cm="1">
        <f t="array" ref="G580">FuzzyPercent(D580,E580,3)</f>
        <v>0.125</v>
      </c>
      <c r="H580" t="str">
        <f t="shared" si="19"/>
        <v/>
      </c>
    </row>
    <row r="581" spans="1:8" x14ac:dyDescent="0.2">
      <c r="A581" t="s">
        <v>1147</v>
      </c>
      <c r="B581" t="s">
        <v>0</v>
      </c>
      <c r="D581" t="s">
        <v>2695</v>
      </c>
      <c r="E581" t="str" cm="1">
        <f t="array" ref="E581">IF(COUNTIF(A:A, "*" &amp; LEFT(D581, FIND(" ", D581 &amp; " ") - 1) &amp; "*") &gt; 0,INDEX(A:A,FuzzyVLookup(D581,A:A,0,,,3)),"Non-PDL")</f>
        <v>RENVELA (sevelamer)</v>
      </c>
      <c r="F581" t="str">
        <f t="shared" si="18"/>
        <v>Non-Preferred</v>
      </c>
      <c r="G581" s="1" cm="1">
        <f t="array" ref="G581">FuzzyPercent(D581,E581,3)</f>
        <v>0.42105263471603394</v>
      </c>
      <c r="H581" t="str">
        <f t="shared" si="19"/>
        <v/>
      </c>
    </row>
    <row r="582" spans="1:8" x14ac:dyDescent="0.2">
      <c r="A582" t="s">
        <v>1149</v>
      </c>
      <c r="B582" t="s">
        <v>0</v>
      </c>
      <c r="D582" t="s">
        <v>2696</v>
      </c>
      <c r="E582" t="str" cm="1">
        <f t="array" ref="E582">IF(COUNTIF(A:A, "*" &amp; LEFT(D582, FIND(" ", D582 &amp; " ") - 1) &amp; "*") &gt; 0,INDEX(A:A,FuzzyVLookup(D582,A:A,0,,,3)),"Non-PDL")</f>
        <v>Non-PDL</v>
      </c>
      <c r="F582" t="str">
        <f t="shared" si="18"/>
        <v>Non-PDL</v>
      </c>
      <c r="G582" s="1" cm="1">
        <f t="array" ref="G582">FuzzyPercent(D582,E582,3)</f>
        <v>6.25E-2</v>
      </c>
      <c r="H582" t="str">
        <f t="shared" si="19"/>
        <v/>
      </c>
    </row>
    <row r="583" spans="1:8" x14ac:dyDescent="0.2">
      <c r="A583" t="s">
        <v>1151</v>
      </c>
      <c r="B583" t="s">
        <v>0</v>
      </c>
      <c r="D583" t="s">
        <v>2697</v>
      </c>
      <c r="E583" t="str" cm="1">
        <f t="array" ref="E583">IF(COUNTIF(A:A, "*" &amp; LEFT(D583, FIND(" ", D583 &amp; " ") - 1) &amp; "*") &gt; 0,INDEX(A:A,FuzzyVLookup(D583,A:A,0,,,3)),"Non-PDL")</f>
        <v>RESTASIS MULTIDOSE (cyclosporine)</v>
      </c>
      <c r="F583" t="str">
        <f t="shared" si="18"/>
        <v>Non-Preferred</v>
      </c>
      <c r="G583" s="1" cm="1">
        <f t="array" ref="G583">FuzzyPercent(D583,E583,3)</f>
        <v>0.27972027659416199</v>
      </c>
      <c r="H583" t="str">
        <f t="shared" si="19"/>
        <v>CHECK</v>
      </c>
    </row>
    <row r="584" spans="1:8" x14ac:dyDescent="0.2">
      <c r="A584" t="s">
        <v>1153</v>
      </c>
      <c r="B584" t="s">
        <v>0</v>
      </c>
      <c r="D584" t="s">
        <v>2698</v>
      </c>
      <c r="E584" t="str" cm="1">
        <f t="array" ref="E584">IF(COUNTIF(A:A, "*" &amp; LEFT(D584, FIND(" ", D584 &amp; " ") - 1) &amp; "*") &gt; 0,INDEX(A:A,FuzzyVLookup(D584,A:A,0,,,3)),"Non-PDL")</f>
        <v>RETEVMO (selpercatinib)</v>
      </c>
      <c r="F584" t="str">
        <f t="shared" si="18"/>
        <v>Non-Preferred</v>
      </c>
      <c r="G584" s="1" cm="1">
        <f t="array" ref="G584">FuzzyPercent(D584,E584,3)</f>
        <v>0.34782609343528748</v>
      </c>
      <c r="H584" t="str">
        <f t="shared" si="19"/>
        <v/>
      </c>
    </row>
    <row r="585" spans="1:8" x14ac:dyDescent="0.2">
      <c r="A585" t="s">
        <v>1155</v>
      </c>
      <c r="B585" t="s">
        <v>0</v>
      </c>
      <c r="D585" t="s">
        <v>2699</v>
      </c>
      <c r="E585" t="str" cm="1">
        <f t="array" ref="E585">IF(COUNTIF(A:A, "*" &amp; LEFT(D585, FIND(" ", D585 &amp; " ") - 1) &amp; "*") &gt; 0,INDEX(A:A,FuzzyVLookup(D585,A:A,0,,,3)),"Non-PDL")</f>
        <v>REVATIO (sildenafil)</v>
      </c>
      <c r="F585" t="str">
        <f t="shared" si="18"/>
        <v>Non-Preferred</v>
      </c>
      <c r="G585" s="1" cm="1">
        <f t="array" ref="G585">FuzzyPercent(D585,E585,3)</f>
        <v>0.27631577849388123</v>
      </c>
      <c r="H585" t="str">
        <f t="shared" si="19"/>
        <v>CHECK</v>
      </c>
    </row>
    <row r="586" spans="1:8" x14ac:dyDescent="0.2">
      <c r="A586" t="s">
        <v>1157</v>
      </c>
      <c r="B586" t="s">
        <v>0</v>
      </c>
      <c r="D586" t="s">
        <v>2700</v>
      </c>
      <c r="E586" t="str" cm="1">
        <f t="array" ref="E586">IF(COUNTIF(A:A, "*" &amp; LEFT(D586, FIND(" ", D586 &amp; " ") - 1) &amp; "*") &gt; 0,INDEX(A:A,FuzzyVLookup(D586,A:A,0,,,3)),"Non-PDL")</f>
        <v>REVATIO (sildenafil)</v>
      </c>
      <c r="F586" t="str">
        <f t="shared" si="18"/>
        <v>Non-Preferred</v>
      </c>
      <c r="G586" s="1" cm="1">
        <f t="array" ref="G586">FuzzyPercent(D586,E586,3)</f>
        <v>0.40186914801597595</v>
      </c>
      <c r="H586" t="str">
        <f t="shared" si="19"/>
        <v/>
      </c>
    </row>
    <row r="587" spans="1:8" x14ac:dyDescent="0.2">
      <c r="A587" t="s">
        <v>1159</v>
      </c>
      <c r="B587" t="s">
        <v>0</v>
      </c>
      <c r="D587" t="s">
        <v>2701</v>
      </c>
      <c r="E587" t="str" cm="1">
        <f t="array" ref="E587">IF(COUNTIF(A:A, "*" &amp; LEFT(D587, FIND(" ", D587 &amp; " ") - 1) &amp; "*") &gt; 0,INDEX(A:A,FuzzyVLookup(D587,A:A,0,,,3)),"Non-PDL")</f>
        <v>REXULTI (brexpiprazole)</v>
      </c>
      <c r="F587" t="str">
        <f t="shared" si="18"/>
        <v>Non-Preferred</v>
      </c>
      <c r="G587" s="1" cm="1">
        <f t="array" ref="G587">FuzzyPercent(D587,E587,3)</f>
        <v>0.34782609343528748</v>
      </c>
      <c r="H587" t="str">
        <f t="shared" si="19"/>
        <v/>
      </c>
    </row>
    <row r="588" spans="1:8" x14ac:dyDescent="0.2">
      <c r="A588" t="s">
        <v>1161</v>
      </c>
      <c r="B588" t="s">
        <v>0</v>
      </c>
      <c r="D588" t="s">
        <v>2702</v>
      </c>
      <c r="E588" t="str" cm="1">
        <f t="array" ref="E588">IF(COUNTIF(A:A, "*" &amp; LEFT(D588, FIND(" ", D588 &amp; " ") - 1) &amp; "*") &gt; 0,INDEX(A:A,FuzzyVLookup(D588,A:A,0,,,3)),"Non-PDL")</f>
        <v>REYVOW (lasmiditan)</v>
      </c>
      <c r="F588" t="str">
        <f t="shared" si="18"/>
        <v>Non-Preferred</v>
      </c>
      <c r="G588" s="1" cm="1">
        <f t="array" ref="G588">FuzzyPercent(D588,E588,3)</f>
        <v>0.37837839126586914</v>
      </c>
      <c r="H588" t="str">
        <f t="shared" si="19"/>
        <v/>
      </c>
    </row>
    <row r="589" spans="1:8" x14ac:dyDescent="0.2">
      <c r="A589" t="s">
        <v>1163</v>
      </c>
      <c r="B589" t="s">
        <v>0</v>
      </c>
      <c r="D589" t="s">
        <v>2703</v>
      </c>
      <c r="E589" t="str" cm="1">
        <f t="array" ref="E589">IF(COUNTIF(A:A, "*" &amp; LEFT(D589, FIND(" ", D589 &amp; " ") - 1) &amp; "*") &gt; 0,INDEX(A:A,FuzzyVLookup(D589,A:A,0,,,3)),"Non-PDL")</f>
        <v>Non-PDL</v>
      </c>
      <c r="F589" t="str">
        <f t="shared" si="18"/>
        <v>Non-PDL</v>
      </c>
      <c r="G589" s="1" cm="1">
        <f t="array" ref="G589">FuzzyPercent(D589,E589,3)</f>
        <v>4.3478261679410934E-2</v>
      </c>
      <c r="H589" t="str">
        <f t="shared" si="19"/>
        <v/>
      </c>
    </row>
    <row r="590" spans="1:8" x14ac:dyDescent="0.2">
      <c r="A590" t="s">
        <v>1165</v>
      </c>
      <c r="B590" t="s">
        <v>0</v>
      </c>
      <c r="D590" t="s">
        <v>2704</v>
      </c>
      <c r="E590" t="str" cm="1">
        <f t="array" ref="E590">IF(COUNTIF(A:A, "*" &amp; LEFT(D590, FIND(" ", D590 &amp; " ") - 1) &amp; "*") &gt; 0,INDEX(A:A,FuzzyVLookup(D590,A:A,0,,,3)),"Non-PDL")</f>
        <v>REZUROCK (belumosudil)</v>
      </c>
      <c r="F590" t="str">
        <f t="shared" si="18"/>
        <v>Non-Preferred</v>
      </c>
      <c r="G590" s="1" cm="1">
        <f t="array" ref="G590">FuzzyPercent(D590,E590,3)</f>
        <v>0.42553192377090454</v>
      </c>
      <c r="H590" t="str">
        <f t="shared" si="19"/>
        <v/>
      </c>
    </row>
    <row r="591" spans="1:8" x14ac:dyDescent="0.2">
      <c r="A591" t="s">
        <v>1167</v>
      </c>
      <c r="B591" t="s">
        <v>0</v>
      </c>
      <c r="D591" t="s">
        <v>2705</v>
      </c>
      <c r="E591" t="str" cm="1">
        <f t="array" ref="E591">IF(COUNTIF(A:A, "*" &amp; LEFT(D591, FIND(" ", D591 &amp; " ") - 1) &amp; "*") &gt; 0,INDEX(A:A,FuzzyVLookup(D591,A:A,0,,,3)),"Non-PDL")</f>
        <v>Non-PDL</v>
      </c>
      <c r="F591" t="str">
        <f t="shared" si="18"/>
        <v>Non-PDL</v>
      </c>
      <c r="G591" s="1" cm="1">
        <f t="array" ref="G591">FuzzyPercent(D591,E591,3)</f>
        <v>3.3333335071802139E-2</v>
      </c>
      <c r="H591" t="str">
        <f t="shared" si="19"/>
        <v/>
      </c>
    </row>
    <row r="592" spans="1:8" x14ac:dyDescent="0.2">
      <c r="A592" t="s">
        <v>1169</v>
      </c>
      <c r="B592" t="s">
        <v>0</v>
      </c>
      <c r="D592" t="s">
        <v>2706</v>
      </c>
      <c r="E592" t="str" cm="1">
        <f t="array" ref="E592">IF(COUNTIF(A:A, "*" &amp; LEFT(D592, FIND(" ", D592 &amp; " ") - 1) &amp; "*") &gt; 0,INDEX(A:A,FuzzyVLookup(D592,A:A,0,,,3)),"Non-PDL")</f>
        <v>RINVOQ (upadacitinib)</v>
      </c>
      <c r="F592" t="str">
        <f t="shared" si="18"/>
        <v>Preferred</v>
      </c>
      <c r="G592" s="1" cm="1">
        <f t="array" ref="G592">FuzzyPercent(D592,E592,3)</f>
        <v>0.3333333432674408</v>
      </c>
      <c r="H592" t="str">
        <f t="shared" si="19"/>
        <v/>
      </c>
    </row>
    <row r="593" spans="1:8" x14ac:dyDescent="0.2">
      <c r="A593" t="s">
        <v>1171</v>
      </c>
      <c r="B593" t="s">
        <v>0</v>
      </c>
      <c r="D593" t="s">
        <v>2707</v>
      </c>
      <c r="E593" t="str" cm="1">
        <f t="array" ref="E593">IF(COUNTIF(A:A, "*" &amp; LEFT(D593, FIND(" ", D593 &amp; " ") - 1) &amp; "*") &gt; 0,INDEX(A:A,FuzzyVLookup(D593,A:A,0,,,3)),"Non-PDL")</f>
        <v>RISPERDAL (risperidone)</v>
      </c>
      <c r="F593" t="str">
        <f t="shared" si="18"/>
        <v>Non-Preferred</v>
      </c>
      <c r="G593" s="1" cm="1">
        <f t="array" ref="G593">FuzzyPercent(D593,E593,3)</f>
        <v>0.3815789520740509</v>
      </c>
      <c r="H593" t="str">
        <f t="shared" si="19"/>
        <v/>
      </c>
    </row>
    <row r="594" spans="1:8" x14ac:dyDescent="0.2">
      <c r="A594" t="s">
        <v>1173</v>
      </c>
      <c r="B594" t="s">
        <v>0</v>
      </c>
      <c r="D594" t="s">
        <v>2708</v>
      </c>
      <c r="E594" t="str" cm="1">
        <f t="array" ref="E594">IF(COUNTIF(A:A, "*" &amp; LEFT(D594, FIND(" ", D594 &amp; " ") - 1) &amp; "*") &gt; 0,INDEX(A:A,FuzzyVLookup(D594,A:A,0,,,3)),"Non-PDL")</f>
        <v>RISPERDAL (risperidone)</v>
      </c>
      <c r="F594" t="str">
        <f t="shared" si="18"/>
        <v>Non-Preferred</v>
      </c>
      <c r="G594" s="1" cm="1">
        <f t="array" ref="G594">FuzzyPercent(D594,E594,3)</f>
        <v>0.4365079402923584</v>
      </c>
      <c r="H594" t="str">
        <f t="shared" si="19"/>
        <v/>
      </c>
    </row>
    <row r="595" spans="1:8" x14ac:dyDescent="0.2">
      <c r="A595" t="s">
        <v>1175</v>
      </c>
      <c r="B595" t="s">
        <v>0</v>
      </c>
      <c r="D595" t="s">
        <v>2709</v>
      </c>
      <c r="E595" t="str" cm="1">
        <f t="array" ref="E595">IF(COUNTIF(A:A, "*" &amp; LEFT(D595, FIND(" ", D595 &amp; " ") - 1) &amp; "*") &gt; 0,INDEX(A:A,FuzzyVLookup(D595,A:A,0,,,3)),"Non-PDL")</f>
        <v>RISPERDAL (risperidone)</v>
      </c>
      <c r="F595" t="str">
        <f t="shared" si="18"/>
        <v>Non-Preferred</v>
      </c>
      <c r="G595" s="1" cm="1">
        <f t="array" ref="G595">FuzzyPercent(D595,E595,3)</f>
        <v>0.4444444477558136</v>
      </c>
      <c r="H595" t="str">
        <f t="shared" si="19"/>
        <v/>
      </c>
    </row>
    <row r="596" spans="1:8" x14ac:dyDescent="0.2">
      <c r="A596" t="s">
        <v>1177</v>
      </c>
      <c r="B596" t="s">
        <v>0</v>
      </c>
      <c r="D596" t="s">
        <v>2710</v>
      </c>
      <c r="E596" t="str" cm="1">
        <f t="array" ref="E596">IF(COUNTIF(A:A, "*" &amp; LEFT(D596, FIND(" ", D596 &amp; " ") - 1) &amp; "*") &gt; 0,INDEX(A:A,FuzzyVLookup(D596,A:A,0,,,3)),"Non-PDL")</f>
        <v>risperidone ER</v>
      </c>
      <c r="F596" t="str">
        <f t="shared" si="18"/>
        <v>Non-Preferred</v>
      </c>
      <c r="G596" s="1" cm="1">
        <f t="array" ref="G596">FuzzyPercent(D596,E596,3)</f>
        <v>0.77777779102325439</v>
      </c>
      <c r="H596" t="str">
        <f t="shared" si="19"/>
        <v/>
      </c>
    </row>
    <row r="597" spans="1:8" x14ac:dyDescent="0.2">
      <c r="A597" t="s">
        <v>1179</v>
      </c>
      <c r="B597" t="s">
        <v>0</v>
      </c>
      <c r="D597" t="s">
        <v>2711</v>
      </c>
      <c r="E597" t="str" cm="1">
        <f t="array" ref="E597">IF(COUNTIF(A:A, "*" &amp; LEFT(D597, FIND(" ", D597 &amp; " ") - 1) &amp; "*") &gt; 0,INDEX(A:A,FuzzyVLookup(D597,A:A,0,,,3)),"Non-PDL")</f>
        <v>risperidone ER</v>
      </c>
      <c r="F597" t="str">
        <f t="shared" si="18"/>
        <v>Non-Preferred</v>
      </c>
      <c r="G597" s="1" cm="1">
        <f t="array" ref="G597">FuzzyPercent(D597,E597,3)</f>
        <v>0.41379311680793762</v>
      </c>
      <c r="H597" t="str">
        <f t="shared" si="19"/>
        <v/>
      </c>
    </row>
    <row r="598" spans="1:8" x14ac:dyDescent="0.2">
      <c r="A598" t="s">
        <v>1181</v>
      </c>
      <c r="B598" t="s">
        <v>0</v>
      </c>
      <c r="D598" t="s">
        <v>2712</v>
      </c>
      <c r="E598" t="str" cm="1">
        <f t="array" ref="E598">IF(COUNTIF(A:A, "*" &amp; LEFT(D598, FIND(" ", D598 &amp; " ") - 1) &amp; "*") &gt; 0,INDEX(A:A,FuzzyVLookup(D598,A:A,0,,,3)),"Non-PDL")</f>
        <v>risperidone ER</v>
      </c>
      <c r="F598" t="str">
        <f t="shared" si="18"/>
        <v>Non-Preferred</v>
      </c>
      <c r="G598" s="1" cm="1">
        <f t="array" ref="G598">FuzzyPercent(D598,E598,3)</f>
        <v>0.60344827175140381</v>
      </c>
      <c r="H598" t="str">
        <f t="shared" si="19"/>
        <v/>
      </c>
    </row>
    <row r="599" spans="1:8" x14ac:dyDescent="0.2">
      <c r="A599" t="s">
        <v>1183</v>
      </c>
      <c r="B599" t="s">
        <v>0</v>
      </c>
      <c r="D599" t="s">
        <v>2713</v>
      </c>
      <c r="E599" t="str" cm="1">
        <f t="array" ref="E599">IF(COUNTIF(A:A, "*" &amp; LEFT(D599, FIND(" ", D599 &amp; " ") - 1) &amp; "*") &gt; 0,INDEX(A:A,FuzzyVLookup(D599,A:A,0,,,3)),"Non-PDL")</f>
        <v>Non-PDL</v>
      </c>
      <c r="F599" t="str">
        <f t="shared" si="18"/>
        <v>Non-PDL</v>
      </c>
      <c r="G599" s="1" cm="1">
        <f t="array" ref="G599">FuzzyPercent(D599,E599,3)</f>
        <v>0</v>
      </c>
      <c r="H599" t="str">
        <f t="shared" si="19"/>
        <v/>
      </c>
    </row>
    <row r="600" spans="1:8" x14ac:dyDescent="0.2">
      <c r="A600" t="s">
        <v>1185</v>
      </c>
      <c r="B600" t="s">
        <v>0</v>
      </c>
      <c r="D600" t="s">
        <v>2714</v>
      </c>
      <c r="E600" t="str" cm="1">
        <f t="array" ref="E600">IF(COUNTIF(A:A, "*" &amp; LEFT(D600, FIND(" ", D600 &amp; " ") - 1) &amp; "*") &gt; 0,INDEX(A:A,FuzzyVLookup(D600,A:A,0,,,3)),"Non-PDL")</f>
        <v>Non-PDL</v>
      </c>
      <c r="F600" t="str">
        <f t="shared" si="18"/>
        <v>Non-PDL</v>
      </c>
      <c r="G600" s="1" cm="1">
        <f t="array" ref="G600">FuzzyPercent(D600,E600,3)</f>
        <v>0</v>
      </c>
      <c r="H600" t="str">
        <f t="shared" si="19"/>
        <v/>
      </c>
    </row>
    <row r="601" spans="1:8" x14ac:dyDescent="0.2">
      <c r="A601" t="s">
        <v>1187</v>
      </c>
      <c r="B601" t="s">
        <v>0</v>
      </c>
      <c r="D601" t="s">
        <v>2715</v>
      </c>
      <c r="E601" t="str" cm="1">
        <f t="array" ref="E601">IF(COUNTIF(A:A, "*" &amp; LEFT(D601, FIND(" ", D601 &amp; " ") - 1) &amp; "*") &gt; 0,INDEX(A:A,FuzzyVLookup(D601,A:A,0,,,3)),"Non-PDL")</f>
        <v>rivastigmine</v>
      </c>
      <c r="F601" t="str">
        <f t="shared" si="18"/>
        <v>Preferred</v>
      </c>
      <c r="G601" s="1" cm="1">
        <f t="array" ref="G601">FuzzyPercent(D601,E601,3)</f>
        <v>0.53030300140380859</v>
      </c>
      <c r="H601" t="str">
        <f t="shared" si="19"/>
        <v/>
      </c>
    </row>
    <row r="602" spans="1:8" x14ac:dyDescent="0.2">
      <c r="A602" t="s">
        <v>1189</v>
      </c>
      <c r="B602" t="s">
        <v>0</v>
      </c>
      <c r="D602" t="s">
        <v>2716</v>
      </c>
      <c r="E602" t="str" cm="1">
        <f t="array" ref="E602">IF(COUNTIF(A:A, "*" &amp; LEFT(D602, FIND(" ", D602 &amp; " ") - 1) &amp; "*") &gt; 0,INDEX(A:A,FuzzyVLookup(D602,A:A,0,,,3)),"Non-PDL")</f>
        <v>rivastigmine</v>
      </c>
      <c r="F602" t="str">
        <f t="shared" si="18"/>
        <v>Preferred</v>
      </c>
      <c r="G602" s="1" cm="1">
        <f t="array" ref="G602">FuzzyPercent(D602,E602,3)</f>
        <v>0.60344827175140381</v>
      </c>
      <c r="H602" t="str">
        <f t="shared" si="19"/>
        <v/>
      </c>
    </row>
    <row r="603" spans="1:8" x14ac:dyDescent="0.2">
      <c r="A603" t="s">
        <v>1191</v>
      </c>
      <c r="B603" t="s">
        <v>0</v>
      </c>
      <c r="D603" t="s">
        <v>2717</v>
      </c>
      <c r="E603" t="str" cm="1">
        <f t="array" ref="E603">IF(COUNTIF(A:A, "*" &amp; LEFT(D603, FIND(" ", D603 &amp; " ") - 1) &amp; "*") &gt; 0,INDEX(A:A,FuzzyVLookup(D603,A:A,0,,,3)),"Non-PDL")</f>
        <v>rivastigmine</v>
      </c>
      <c r="F603" t="str">
        <f t="shared" si="18"/>
        <v>Preferred</v>
      </c>
      <c r="G603" s="1" cm="1">
        <f t="array" ref="G603">FuzzyPercent(D603,E603,3)</f>
        <v>0.38461539149284363</v>
      </c>
      <c r="H603" t="str">
        <f t="shared" si="19"/>
        <v/>
      </c>
    </row>
    <row r="604" spans="1:8" x14ac:dyDescent="0.2">
      <c r="A604" t="s">
        <v>1193</v>
      </c>
      <c r="B604" t="s">
        <v>0</v>
      </c>
      <c r="D604" t="s">
        <v>2718</v>
      </c>
      <c r="E604" t="str" cm="1">
        <f t="array" ref="E604">IF(COUNTIF(A:A, "*" &amp; LEFT(D604, FIND(" ", D604 &amp; " ") - 1) &amp; "*") &gt; 0,INDEX(A:A,FuzzyVLookup(D604,A:A,0,,,3)),"Non-PDL")</f>
        <v>Non-PDL</v>
      </c>
      <c r="F604" t="str">
        <f t="shared" si="18"/>
        <v>Non-PDL</v>
      </c>
      <c r="G604" s="1" cm="1">
        <f t="array" ref="G604">FuzzyPercent(D604,E604,3)</f>
        <v>0</v>
      </c>
      <c r="H604" t="str">
        <f t="shared" si="19"/>
        <v/>
      </c>
    </row>
    <row r="605" spans="1:8" x14ac:dyDescent="0.2">
      <c r="A605" t="s">
        <v>1195</v>
      </c>
      <c r="B605" t="s">
        <v>0</v>
      </c>
      <c r="D605" t="s">
        <v>2719</v>
      </c>
      <c r="E605" t="str" cm="1">
        <f t="array" ref="E605">IF(COUNTIF(A:A, "*" &amp; LEFT(D605, FIND(" ", D605 &amp; " ") - 1) &amp; "*") &gt; 0,INDEX(A:A,FuzzyVLookup(D605,A:A,0,,,3)),"Non-PDL")</f>
        <v>ROLVEDON (eflapegrastim-xnst)</v>
      </c>
      <c r="F605" t="str">
        <f t="shared" si="18"/>
        <v>Non-Preferred</v>
      </c>
      <c r="G605" s="1" cm="1">
        <f t="array" ref="G605">FuzzyPercent(D605,E605,3)</f>
        <v>0.27319586277008057</v>
      </c>
      <c r="H605" t="str">
        <f t="shared" si="19"/>
        <v>CHECK</v>
      </c>
    </row>
    <row r="606" spans="1:8" x14ac:dyDescent="0.2">
      <c r="A606" t="s">
        <v>1197</v>
      </c>
      <c r="B606" t="s">
        <v>0</v>
      </c>
      <c r="D606" t="s">
        <v>2720</v>
      </c>
      <c r="E606" t="str" cm="1">
        <f t="array" ref="E606">IF(COUNTIF(A:A, "*" &amp; LEFT(D606, FIND(" ", D606 &amp; " ") - 1) &amp; "*") &gt; 0,INDEX(A:A,FuzzyVLookup(D606,A:A,0,,,3)),"Non-PDL")</f>
        <v>ROZLYTREK (entrectinib)</v>
      </c>
      <c r="F606" t="str">
        <f t="shared" si="18"/>
        <v>Preferred</v>
      </c>
      <c r="G606" s="1" cm="1">
        <f t="array" ref="G606">FuzzyPercent(D606,E606,3)</f>
        <v>0.67256635427474976</v>
      </c>
      <c r="H606" t="str">
        <f t="shared" si="19"/>
        <v/>
      </c>
    </row>
    <row r="607" spans="1:8" x14ac:dyDescent="0.2">
      <c r="A607" t="s">
        <v>1199</v>
      </c>
      <c r="B607" t="s">
        <v>0</v>
      </c>
      <c r="D607" t="s">
        <v>2721</v>
      </c>
      <c r="E607" t="str" cm="1">
        <f t="array" ref="E607">IF(COUNTIF(A:A, "*" &amp; LEFT(D607, FIND(" ", D607 &amp; " ") - 1) &amp; "*") &gt; 0,INDEX(A:A,FuzzyVLookup(D607,A:A,0,,,3)),"Non-PDL")</f>
        <v>ROZLYTREK (entrectinib)</v>
      </c>
      <c r="F607" t="str">
        <f t="shared" si="18"/>
        <v>Preferred</v>
      </c>
      <c r="G607" s="1" cm="1">
        <f t="array" ref="G607">FuzzyPercent(D607,E607,3)</f>
        <v>0.53521126508712769</v>
      </c>
      <c r="H607" t="str">
        <f t="shared" si="19"/>
        <v/>
      </c>
    </row>
    <row r="608" spans="1:8" x14ac:dyDescent="0.2">
      <c r="A608" t="s">
        <v>1201</v>
      </c>
      <c r="B608" t="s">
        <v>0</v>
      </c>
      <c r="D608" t="s">
        <v>2722</v>
      </c>
      <c r="E608" t="str" cm="1">
        <f t="array" ref="E608">IF(COUNTIF(A:A, "*" &amp; LEFT(D608, FIND(" ", D608 &amp; " ") - 1) &amp; "*") &gt; 0,INDEX(A:A,FuzzyVLookup(D608,A:A,0,,,3)),"Non-PDL")</f>
        <v>RUBRACA (rucaparib)</v>
      </c>
      <c r="F608" t="str">
        <f t="shared" si="18"/>
        <v>Non-Preferred</v>
      </c>
      <c r="G608" s="1" cm="1">
        <f t="array" ref="G608">FuzzyPercent(D608,E608,3)</f>
        <v>0.42105263471603394</v>
      </c>
      <c r="H608" t="str">
        <f t="shared" si="19"/>
        <v/>
      </c>
    </row>
    <row r="609" spans="1:8" x14ac:dyDescent="0.2">
      <c r="A609" t="s">
        <v>1203</v>
      </c>
      <c r="B609" t="s">
        <v>0</v>
      </c>
      <c r="D609" t="s">
        <v>2723</v>
      </c>
      <c r="E609" t="str" cm="1">
        <f t="array" ref="E609">IF(COUNTIF(A:A, "*" &amp; LEFT(D609, FIND(" ", D609 &amp; " ") - 1) &amp; "*") &gt; 0,INDEX(A:A,FuzzyVLookup(D609,A:A,0,,,3)),"Non-PDL")</f>
        <v>RUCONEST (C1 esterase inhibitor)</v>
      </c>
      <c r="F609" t="str">
        <f t="shared" si="18"/>
        <v>Non-Preferred</v>
      </c>
      <c r="G609" s="1" cm="1">
        <f t="array" ref="G609">FuzzyPercent(D609,E609,3)</f>
        <v>0.28776979446411133</v>
      </c>
      <c r="H609" t="str">
        <f t="shared" si="19"/>
        <v>CHECK</v>
      </c>
    </row>
    <row r="610" spans="1:8" x14ac:dyDescent="0.2">
      <c r="A610" t="s">
        <v>1205</v>
      </c>
      <c r="B610" t="s">
        <v>0</v>
      </c>
      <c r="D610" t="s">
        <v>2724</v>
      </c>
      <c r="E610" t="str" cm="1">
        <f t="array" ref="E610">IF(COUNTIF(A:A, "*" &amp; LEFT(D610, FIND(" ", D610 &amp; " ") - 1) &amp; "*") &gt; 0,INDEX(A:A,FuzzyVLookup(D610,A:A,0,,,3)),"Non-PDL")</f>
        <v>Non-PDL</v>
      </c>
      <c r="F610" t="str">
        <f t="shared" si="18"/>
        <v>Non-PDL</v>
      </c>
      <c r="G610" s="1" cm="1">
        <f t="array" ref="G610">FuzzyPercent(D610,E610,3)</f>
        <v>0</v>
      </c>
      <c r="H610" t="str">
        <f t="shared" si="19"/>
        <v/>
      </c>
    </row>
    <row r="611" spans="1:8" x14ac:dyDescent="0.2">
      <c r="A611" t="s">
        <v>1207</v>
      </c>
      <c r="B611" t="s">
        <v>0</v>
      </c>
      <c r="D611" t="s">
        <v>2725</v>
      </c>
      <c r="E611" t="str" cm="1">
        <f t="array" ref="E611">IF(COUNTIF(A:A, "*" &amp; LEFT(D611, FIND(" ", D611 &amp; " ") - 1) &amp; "*") &gt; 0,INDEX(A:A,FuzzyVLookup(D611,A:A,0,,,3)),"Non-PDL")</f>
        <v>RYBELSUS (semaglutide)</v>
      </c>
      <c r="F611" t="str">
        <f t="shared" si="18"/>
        <v>Non-Preferred</v>
      </c>
      <c r="G611" s="1" cm="1">
        <f t="array" ref="G611">FuzzyPercent(D611,E611,3)</f>
        <v>0.42553192377090454</v>
      </c>
      <c r="H611" t="str">
        <f t="shared" si="19"/>
        <v/>
      </c>
    </row>
    <row r="612" spans="1:8" x14ac:dyDescent="0.2">
      <c r="A612" t="s">
        <v>170</v>
      </c>
      <c r="B612" t="s">
        <v>0</v>
      </c>
      <c r="D612" t="s">
        <v>2726</v>
      </c>
      <c r="E612" t="str" cm="1">
        <f t="array" ref="E612">IF(COUNTIF(A:A, "*" &amp; LEFT(D612, FIND(" ", D612 &amp; " ") - 1) &amp; "*") &gt; 0,INDEX(A:A,FuzzyVLookup(D612,A:A,0,,,3)),"Non-PDL")</f>
        <v>RYDAPT (midostaurin)</v>
      </c>
      <c r="F612" t="str">
        <f t="shared" si="18"/>
        <v>Non-Preferred</v>
      </c>
      <c r="G612" s="1" cm="1">
        <f t="array" ref="G612">FuzzyPercent(D612,E612,3)</f>
        <v>0.34999999403953552</v>
      </c>
      <c r="H612" t="str">
        <f t="shared" si="19"/>
        <v/>
      </c>
    </row>
    <row r="613" spans="1:8" x14ac:dyDescent="0.2">
      <c r="A613" t="s">
        <v>1210</v>
      </c>
      <c r="B613" t="s">
        <v>0</v>
      </c>
      <c r="D613" t="s">
        <v>2727</v>
      </c>
      <c r="E613" t="str" cm="1">
        <f t="array" ref="E613">IF(COUNTIF(A:A, "*" &amp; LEFT(D613, FIND(" ", D613 &amp; " ") - 1) &amp; "*") &gt; 0,INDEX(A:A,FuzzyVLookup(D613,A:A,0,,,3)),"Non-PDL")</f>
        <v>RYKINDO (risperidone)</v>
      </c>
      <c r="F613" t="str">
        <f t="shared" si="18"/>
        <v>Non-Preferred</v>
      </c>
      <c r="G613" s="1" cm="1">
        <f t="array" ref="G613">FuzzyPercent(D613,E613,3)</f>
        <v>0.37209302186965942</v>
      </c>
      <c r="H613" t="str">
        <f t="shared" si="19"/>
        <v/>
      </c>
    </row>
    <row r="614" spans="1:8" x14ac:dyDescent="0.2">
      <c r="A614" t="s">
        <v>1212</v>
      </c>
      <c r="B614" t="s">
        <v>0</v>
      </c>
      <c r="D614" t="s">
        <v>2728</v>
      </c>
      <c r="E614" t="str" cm="1">
        <f t="array" ref="E614">IF(COUNTIF(A:A, "*" &amp; LEFT(D614, FIND(" ", D614 &amp; " ") - 1) &amp; "*") &gt; 0,INDEX(A:A,FuzzyVLookup(D614,A:A,0,,,3)),"Non-PDL")</f>
        <v>Non-PDL</v>
      </c>
      <c r="F614" t="str">
        <f t="shared" si="18"/>
        <v>Non-PDL</v>
      </c>
      <c r="G614" s="1" cm="1">
        <f t="array" ref="G614">FuzzyPercent(D614,E614,3)</f>
        <v>0</v>
      </c>
      <c r="H614" t="str">
        <f t="shared" si="19"/>
        <v/>
      </c>
    </row>
    <row r="615" spans="1:8" x14ac:dyDescent="0.2">
      <c r="A615" t="s">
        <v>1214</v>
      </c>
      <c r="B615" t="s">
        <v>0</v>
      </c>
      <c r="D615" t="s">
        <v>2729</v>
      </c>
      <c r="E615" t="str" cm="1">
        <f t="array" ref="E615">IF(COUNTIF(A:A, "*" &amp; LEFT(D615, FIND(" ", D615 &amp; " ") - 1) &amp; "*") &gt; 0,INDEX(A:A,FuzzyVLookup(D615,A:A,0,,,3)),"Non-PDL")</f>
        <v>Non-PDL</v>
      </c>
      <c r="F615" t="str">
        <f t="shared" si="18"/>
        <v>Non-PDL</v>
      </c>
      <c r="G615" s="1" cm="1">
        <f t="array" ref="G615">FuzzyPercent(D615,E615,3)</f>
        <v>0</v>
      </c>
      <c r="H615" t="str">
        <f t="shared" si="19"/>
        <v/>
      </c>
    </row>
    <row r="616" spans="1:8" x14ac:dyDescent="0.2">
      <c r="A616" t="s">
        <v>1216</v>
      </c>
      <c r="B616" t="s">
        <v>0</v>
      </c>
      <c r="D616" t="s">
        <v>2730</v>
      </c>
      <c r="E616" t="str" cm="1">
        <f t="array" ref="E616">IF(COUNTIF(A:A, "*" &amp; LEFT(D616, FIND(" ", D616 &amp; " ") - 1) &amp; "*") &gt; 0,INDEX(A:A,FuzzyVLookup(D616,A:A,0,,,3)),"Non-PDL")</f>
        <v>Non-PDL</v>
      </c>
      <c r="F616" t="str">
        <f t="shared" si="18"/>
        <v>Non-PDL</v>
      </c>
      <c r="G616" s="1" cm="1">
        <f t="array" ref="G616">FuzzyPercent(D616,E616,3)</f>
        <v>0</v>
      </c>
      <c r="H616" t="str">
        <f t="shared" si="19"/>
        <v/>
      </c>
    </row>
    <row r="617" spans="1:8" x14ac:dyDescent="0.2">
      <c r="A617" t="s">
        <v>1218</v>
      </c>
      <c r="B617" t="s">
        <v>0</v>
      </c>
      <c r="D617" t="s">
        <v>2731</v>
      </c>
      <c r="E617" t="str" cm="1">
        <f t="array" ref="E617">IF(COUNTIF(A:A, "*" &amp; LEFT(D617, FIND(" ", D617 &amp; " ") - 1) &amp; "*") &gt; 0,INDEX(A:A,FuzzyVLookup(D617,A:A,0,,,3)),"Non-PDL")</f>
        <v>vancomycin oral solution</v>
      </c>
      <c r="F617" t="str">
        <f t="shared" si="18"/>
        <v>Preferred</v>
      </c>
      <c r="G617" s="1" cm="1">
        <f t="array" ref="G617">FuzzyPercent(D617,E617,3)</f>
        <v>0.20353981852531433</v>
      </c>
      <c r="H617" t="str">
        <f t="shared" si="19"/>
        <v>CHECK</v>
      </c>
    </row>
    <row r="618" spans="1:8" x14ac:dyDescent="0.2">
      <c r="A618" t="s">
        <v>1220</v>
      </c>
      <c r="B618" t="s">
        <v>0</v>
      </c>
      <c r="D618" t="s">
        <v>2732</v>
      </c>
      <c r="E618" t="str" cm="1">
        <f t="array" ref="E618">IF(COUNTIF(A:A, "*" &amp; LEFT(D618, FIND(" ", D618 &amp; " ") - 1) &amp; "*") &gt; 0,INDEX(A:A,FuzzyVLookup(D618,A:A,0,,,3)),"Non-PDL")</f>
        <v>SABRIL (vigabatrin)</v>
      </c>
      <c r="F618" t="str">
        <f t="shared" si="18"/>
        <v>Non-Preferred</v>
      </c>
      <c r="G618" s="1" cm="1">
        <f t="array" ref="G618">FuzzyPercent(D618,E618,3)</f>
        <v>0.36082473397254944</v>
      </c>
      <c r="H618" t="str">
        <f t="shared" si="19"/>
        <v/>
      </c>
    </row>
    <row r="619" spans="1:8" x14ac:dyDescent="0.2">
      <c r="A619" t="s">
        <v>1222</v>
      </c>
      <c r="B619" t="s">
        <v>0</v>
      </c>
      <c r="D619" t="s">
        <v>2733</v>
      </c>
      <c r="E619" t="str" cm="1">
        <f t="array" ref="E619">IF(COUNTIF(A:A, "*" &amp; LEFT(D619, FIND(" ", D619 &amp; " ") - 1) &amp; "*") &gt; 0,INDEX(A:A,FuzzyVLookup(D619,A:A,0,,,3)),"Non-PDL")</f>
        <v>Non-PDL</v>
      </c>
      <c r="F619" t="str">
        <f t="shared" si="18"/>
        <v>Non-PDL</v>
      </c>
      <c r="G619" s="1" cm="1">
        <f t="array" ref="G619">FuzzyPercent(D619,E619,3)</f>
        <v>3.3333335071802139E-2</v>
      </c>
      <c r="H619" t="str">
        <f t="shared" si="19"/>
        <v/>
      </c>
    </row>
    <row r="620" spans="1:8" x14ac:dyDescent="0.2">
      <c r="A620" t="s">
        <v>1224</v>
      </c>
      <c r="B620" t="s">
        <v>0</v>
      </c>
      <c r="D620" t="s">
        <v>2734</v>
      </c>
      <c r="E620" t="str" cm="1">
        <f t="array" ref="E620">IF(COUNTIF(A:A, "*" &amp; LEFT(D620, FIND(" ", D620 &amp; " ") - 1) &amp; "*") &gt; 0,INDEX(A:A,FuzzyVLookup(D620,A:A,0,,,3)),"Non-PDL")</f>
        <v>Non-PDL</v>
      </c>
      <c r="F620" t="str">
        <f t="shared" si="18"/>
        <v>Non-PDL</v>
      </c>
      <c r="G620" s="1" cm="1">
        <f t="array" ref="G620">FuzzyPercent(D620,E620,3)</f>
        <v>5.000000074505806E-2</v>
      </c>
      <c r="H620" t="str">
        <f t="shared" si="19"/>
        <v/>
      </c>
    </row>
    <row r="621" spans="1:8" x14ac:dyDescent="0.2">
      <c r="A621" t="s">
        <v>1226</v>
      </c>
      <c r="B621" t="s">
        <v>0</v>
      </c>
      <c r="D621" t="s">
        <v>2735</v>
      </c>
      <c r="E621" t="str" cm="1">
        <f t="array" ref="E621">IF(COUNTIF(A:A, "*" &amp; LEFT(D621, FIND(" ", D621 &amp; " ") - 1) &amp; "*") &gt; 0,INDEX(A:A,FuzzyVLookup(D621,A:A,0,,,3)),"Non-PDL")</f>
        <v>SAPHRIS (asenapine)</v>
      </c>
      <c r="F621" t="str">
        <f t="shared" si="18"/>
        <v>Non-Preferred</v>
      </c>
      <c r="G621" s="1" cm="1">
        <f t="array" ref="G621">FuzzyPercent(D621,E621,3)</f>
        <v>0.42105263471603394</v>
      </c>
      <c r="H621" t="str">
        <f t="shared" si="19"/>
        <v/>
      </c>
    </row>
    <row r="622" spans="1:8" x14ac:dyDescent="0.2">
      <c r="A622" t="s">
        <v>1228</v>
      </c>
      <c r="B622" t="s">
        <v>0</v>
      </c>
      <c r="D622" t="s">
        <v>2736</v>
      </c>
      <c r="E622" t="str" cm="1">
        <f t="array" ref="E622">IF(COUNTIF(A:A, "*" &amp; LEFT(D622, FIND(" ", D622 &amp; " ") - 1) &amp; "*") &gt; 0,INDEX(A:A,FuzzyVLookup(D622,A:A,0,,,3)),"Non-PDL")</f>
        <v>Non-PDL</v>
      </c>
      <c r="F622" t="str">
        <f t="shared" si="18"/>
        <v>Non-PDL</v>
      </c>
      <c r="G622" s="1" cm="1">
        <f t="array" ref="G622">FuzzyPercent(D622,E622,3)</f>
        <v>5.000000074505806E-2</v>
      </c>
      <c r="H622" t="str">
        <f t="shared" si="19"/>
        <v/>
      </c>
    </row>
    <row r="623" spans="1:8" x14ac:dyDescent="0.2">
      <c r="A623" t="s">
        <v>1230</v>
      </c>
      <c r="B623" t="s">
        <v>0</v>
      </c>
      <c r="D623" t="s">
        <v>2737</v>
      </c>
      <c r="E623" t="str" cm="1">
        <f t="array" ref="E623">IF(COUNTIF(A:A, "*" &amp; LEFT(D623, FIND(" ", D623 &amp; " ") - 1) &amp; "*") &gt; 0,INDEX(A:A,FuzzyVLookup(D623,A:A,0,,,3)),"Non-PDL")</f>
        <v>Non-PDL</v>
      </c>
      <c r="F623" t="str">
        <f t="shared" si="18"/>
        <v>Non-PDL</v>
      </c>
      <c r="G623" s="1" cm="1">
        <f t="array" ref="G623">FuzzyPercent(D623,E623,3)</f>
        <v>6.25E-2</v>
      </c>
      <c r="H623" t="str">
        <f t="shared" si="19"/>
        <v/>
      </c>
    </row>
    <row r="624" spans="1:8" x14ac:dyDescent="0.2">
      <c r="A624" t="s">
        <v>1232</v>
      </c>
      <c r="B624" t="s">
        <v>0</v>
      </c>
      <c r="D624" t="s">
        <v>2738</v>
      </c>
      <c r="E624" t="str" cm="1">
        <f t="array" ref="E624">IF(COUNTIF(A:A, "*" &amp; LEFT(D624, FIND(" ", D624 &amp; " ") - 1) &amp; "*") &gt; 0,INDEX(A:A,FuzzyVLookup(D624,A:A,0,,,3)),"Non-PDL")</f>
        <v>SECUADO (asenapine)</v>
      </c>
      <c r="F624" t="str">
        <f t="shared" si="18"/>
        <v>Non-Preferred</v>
      </c>
      <c r="G624" s="1" cm="1">
        <f t="array" ref="G624">FuzzyPercent(D624,E624,3)</f>
        <v>0.42105263471603394</v>
      </c>
      <c r="H624" t="str">
        <f t="shared" si="19"/>
        <v/>
      </c>
    </row>
    <row r="625" spans="1:8" x14ac:dyDescent="0.2">
      <c r="A625" t="s">
        <v>1234</v>
      </c>
      <c r="B625" t="s">
        <v>0</v>
      </c>
      <c r="D625" t="s">
        <v>2739</v>
      </c>
      <c r="E625" t="str" cm="1">
        <f t="array" ref="E625">IF(COUNTIF(A:A, "*" &amp; LEFT(D625, FIND(" ", D625 &amp; " ") - 1) &amp; "*") &gt; 0,INDEX(A:A,FuzzyVLookup(D625,A:A,0,,,3)),"Non-PDL")</f>
        <v>SEGLUROMET (ertugliflozin/metformin)</v>
      </c>
      <c r="F625" t="str">
        <f t="shared" si="18"/>
        <v>Non-Preferred</v>
      </c>
      <c r="G625" s="1" cm="1">
        <f t="array" ref="G625">FuzzyPercent(D625,E625,3)</f>
        <v>0.32335329055786133</v>
      </c>
      <c r="H625" t="str">
        <f t="shared" si="19"/>
        <v/>
      </c>
    </row>
    <row r="626" spans="1:8" x14ac:dyDescent="0.2">
      <c r="A626" t="s">
        <v>1236</v>
      </c>
      <c r="B626" t="s">
        <v>0</v>
      </c>
      <c r="D626" t="s">
        <v>2740</v>
      </c>
      <c r="E626" t="str" cm="1">
        <f t="array" ref="E626">IF(COUNTIF(A:A, "*" &amp; LEFT(D626, FIND(" ", D626 &amp; " ") - 1) &amp; "*") &gt; 0,INDEX(A:A,FuzzyVLookup(D626,A:A,0,,,3)),"Non-PDL")</f>
        <v>Non-PDL</v>
      </c>
      <c r="F626" t="str">
        <f t="shared" si="18"/>
        <v>Non-PDL</v>
      </c>
      <c r="G626" s="1" cm="1">
        <f t="array" ref="G626">FuzzyPercent(D626,E626,3)</f>
        <v>0</v>
      </c>
      <c r="H626" t="str">
        <f t="shared" si="19"/>
        <v/>
      </c>
    </row>
    <row r="627" spans="1:8" x14ac:dyDescent="0.2">
      <c r="A627" t="s">
        <v>1238</v>
      </c>
      <c r="B627" t="s">
        <v>0</v>
      </c>
      <c r="D627" t="s">
        <v>2741</v>
      </c>
      <c r="E627" t="str" cm="1">
        <f t="array" ref="E627">IF(COUNTIF(A:A, "*" &amp; LEFT(D627, FIND(" ", D627 &amp; " ") - 1) &amp; "*") &gt; 0,INDEX(A:A,FuzzyVLookup(D627,A:A,0,,,3)),"Non-PDL")</f>
        <v>Non-PDL</v>
      </c>
      <c r="F627" t="str">
        <f t="shared" si="18"/>
        <v>Non-PDL</v>
      </c>
      <c r="G627" s="1" cm="1">
        <f t="array" ref="G627">FuzzyPercent(D627,E627,3)</f>
        <v>0</v>
      </c>
      <c r="H627" t="str">
        <f t="shared" si="19"/>
        <v/>
      </c>
    </row>
    <row r="628" spans="1:8" x14ac:dyDescent="0.2">
      <c r="A628" t="s">
        <v>1240</v>
      </c>
      <c r="B628" t="s">
        <v>0</v>
      </c>
      <c r="D628" t="s">
        <v>2742</v>
      </c>
      <c r="E628" t="str" cm="1">
        <f t="array" ref="E628">IF(COUNTIF(A:A, "*" &amp; LEFT(D628, FIND(" ", D628 &amp; " ") - 1) &amp; "*") &gt; 0,INDEX(A:A,FuzzyVLookup(D628,A:A,0,,,3)),"Non-PDL")</f>
        <v>SEMGLEE (YFGN) (insulin glargine-yfgn)</v>
      </c>
      <c r="F628" t="str">
        <f t="shared" si="18"/>
        <v>Non-Preferred</v>
      </c>
      <c r="G628" s="1" cm="1">
        <f t="array" ref="G628">FuzzyPercent(D628,E628,3)</f>
        <v>0.19753086566925049</v>
      </c>
      <c r="H628" t="str">
        <f t="shared" si="19"/>
        <v>CHECK</v>
      </c>
    </row>
    <row r="629" spans="1:8" x14ac:dyDescent="0.2">
      <c r="A629" t="s">
        <v>1187</v>
      </c>
      <c r="B629" t="s">
        <v>0</v>
      </c>
      <c r="D629" t="s">
        <v>2743</v>
      </c>
      <c r="E629" t="str" cm="1">
        <f t="array" ref="E629">IF(COUNTIF(A:A, "*" &amp; LEFT(D629, FIND(" ", D629 &amp; " ") - 1) &amp; "*") &gt; 0,INDEX(A:A,FuzzyVLookup(D629,A:A,0,,,3)),"Non-PDL")</f>
        <v>SEROQUEL (quetiapine)</v>
      </c>
      <c r="F629" t="str">
        <f t="shared" si="18"/>
        <v>Non-Preferred</v>
      </c>
      <c r="G629" s="1" cm="1">
        <f t="array" ref="G629">FuzzyPercent(D629,E629,3)</f>
        <v>0.4444444477558136</v>
      </c>
      <c r="H629" t="str">
        <f t="shared" si="19"/>
        <v/>
      </c>
    </row>
    <row r="630" spans="1:8" x14ac:dyDescent="0.2">
      <c r="A630" t="s">
        <v>1243</v>
      </c>
      <c r="B630" t="s">
        <v>0</v>
      </c>
      <c r="D630" t="s">
        <v>2744</v>
      </c>
      <c r="E630" t="str" cm="1">
        <f t="array" ref="E630">IF(COUNTIF(A:A, "*" &amp; LEFT(D630, FIND(" ", D630 &amp; " ") - 1) &amp; "*") &gt; 0,INDEX(A:A,FuzzyVLookup(D630,A:A,0,,,3)),"Non-PDL")</f>
        <v>SEROQUEL XR (quetiapine)</v>
      </c>
      <c r="F630" t="str">
        <f t="shared" si="18"/>
        <v>Non-Preferred</v>
      </c>
      <c r="G630" s="1" cm="1">
        <f t="array" ref="G630">FuzzyPercent(D630,E630,3)</f>
        <v>0.51327431201934814</v>
      </c>
      <c r="H630" t="str">
        <f t="shared" si="19"/>
        <v/>
      </c>
    </row>
    <row r="631" spans="1:8" x14ac:dyDescent="0.2">
      <c r="A631" t="s">
        <v>1195</v>
      </c>
      <c r="B631" t="s">
        <v>0</v>
      </c>
      <c r="D631" t="s">
        <v>2745</v>
      </c>
      <c r="E631" t="str" cm="1">
        <f t="array" ref="E631">IF(COUNTIF(A:A, "*" &amp; LEFT(D631, FIND(" ", D631 &amp; " ") - 1) &amp; "*") &gt; 0,INDEX(A:A,FuzzyVLookup(D631,A:A,0,,,3)),"Non-PDL")</f>
        <v>sevelamer carbonate tablet</v>
      </c>
      <c r="F631" t="str">
        <f t="shared" si="18"/>
        <v>Preferred</v>
      </c>
      <c r="G631" s="1" cm="1">
        <f t="array" ref="G631">FuzzyPercent(D631,E631,3)</f>
        <v>0.95789474248886108</v>
      </c>
      <c r="H631" t="str">
        <f t="shared" si="19"/>
        <v/>
      </c>
    </row>
    <row r="632" spans="1:8" x14ac:dyDescent="0.2">
      <c r="A632" t="s">
        <v>1246</v>
      </c>
      <c r="B632" t="s">
        <v>0</v>
      </c>
      <c r="D632" t="s">
        <v>2746</v>
      </c>
      <c r="E632" t="str" cm="1">
        <f t="array" ref="E632">IF(COUNTIF(A:A, "*" &amp; LEFT(D632, FIND(" ", D632 &amp; " ") - 1) &amp; "*") &gt; 0,INDEX(A:A,FuzzyVLookup(D632,A:A,0,,,3)),"Non-PDL")</f>
        <v>sevelamer carbonate tablet</v>
      </c>
      <c r="F632" t="str">
        <f t="shared" si="18"/>
        <v>Preferred</v>
      </c>
      <c r="G632" s="1" cm="1">
        <f t="array" ref="G632">FuzzyPercent(D632,E632,3)</f>
        <v>0.33628317713737488</v>
      </c>
      <c r="H632" t="str">
        <f t="shared" si="19"/>
        <v/>
      </c>
    </row>
    <row r="633" spans="1:8" x14ac:dyDescent="0.2">
      <c r="A633" t="s">
        <v>1248</v>
      </c>
      <c r="B633" t="s">
        <v>0</v>
      </c>
      <c r="D633" t="s">
        <v>2747</v>
      </c>
      <c r="E633" t="str" cm="1">
        <f t="array" ref="E633">IF(COUNTIF(A:A, "*" &amp; LEFT(D633, FIND(" ", D633 &amp; " ") - 1) &amp; "*") &gt; 0,INDEX(A:A,FuzzyVLookup(D633,A:A,0,,,3)),"Non-PDL")</f>
        <v>SEVENFACT (factor VII)</v>
      </c>
      <c r="F633" t="str">
        <f t="shared" si="18"/>
        <v>Non-Preferred</v>
      </c>
      <c r="G633" s="1" cm="1">
        <f t="array" ref="G633">FuzzyPercent(D633,E633,3)</f>
        <v>0.47422680258750916</v>
      </c>
      <c r="H633" t="str">
        <f t="shared" si="19"/>
        <v/>
      </c>
    </row>
    <row r="634" spans="1:8" x14ac:dyDescent="0.2">
      <c r="A634" t="s">
        <v>1250</v>
      </c>
      <c r="B634" t="s">
        <v>0</v>
      </c>
      <c r="D634" t="s">
        <v>2748</v>
      </c>
      <c r="E634" t="str" cm="1">
        <f t="array" ref="E634">IF(COUNTIF(A:A, "*" &amp; LEFT(D634, FIND(" ", D634 &amp; " ") - 1) &amp; "*") &gt; 0,INDEX(A:A,FuzzyVLookup(D634,A:A,0,,,3)),"Non-PDL")</f>
        <v>LIQREV (sildenafil)</v>
      </c>
      <c r="F634" t="str">
        <f t="shared" si="18"/>
        <v>Non-Preferred</v>
      </c>
      <c r="G634" s="1" cm="1">
        <f t="array" ref="G634">FuzzyPercent(D634,E634,3)</f>
        <v>0.33636364340782166</v>
      </c>
      <c r="H634" t="str">
        <f t="shared" si="19"/>
        <v/>
      </c>
    </row>
    <row r="635" spans="1:8" x14ac:dyDescent="0.2">
      <c r="A635" t="s">
        <v>1252</v>
      </c>
      <c r="B635" t="s">
        <v>0</v>
      </c>
      <c r="D635" t="s">
        <v>2749</v>
      </c>
      <c r="E635" t="str" cm="1">
        <f t="array" ref="E635">IF(COUNTIF(A:A, "*" &amp; LEFT(D635, FIND(" ", D635 &amp; " ") - 1) &amp; "*") &gt; 0,INDEX(A:A,FuzzyVLookup(D635,A:A,0,,,3)),"Non-PDL")</f>
        <v>sulfacetamide sodium suspension</v>
      </c>
      <c r="F635" t="str">
        <f t="shared" si="18"/>
        <v>Non-Preferred</v>
      </c>
      <c r="G635" s="1" cm="1">
        <f t="array" ref="G635">FuzzyPercent(D635,E635,3)</f>
        <v>0.25980392098426819</v>
      </c>
      <c r="H635" t="str">
        <f t="shared" si="19"/>
        <v>CHECK</v>
      </c>
    </row>
    <row r="636" spans="1:8" x14ac:dyDescent="0.2">
      <c r="A636" t="s">
        <v>1254</v>
      </c>
      <c r="B636" t="s">
        <v>0</v>
      </c>
      <c r="D636" t="s">
        <v>2750</v>
      </c>
      <c r="E636" t="str" cm="1">
        <f t="array" ref="E636">IF(COUNTIF(A:A, "*" &amp; LEFT(D636, FIND(" ", D636 &amp; " ") - 1) &amp; "*") &gt; 0,INDEX(A:A,FuzzyVLookup(D636,A:A,0,,,3)),"Non-PDL")</f>
        <v>SIMLANDI (adalimumab-ryvk)</v>
      </c>
      <c r="F636" t="str">
        <f t="shared" si="18"/>
        <v>Non-Preferred</v>
      </c>
      <c r="G636" s="1" cm="1">
        <f t="array" ref="G636">FuzzyPercent(D636,E636,3)</f>
        <v>0.2969697117805481</v>
      </c>
      <c r="H636" t="str">
        <f t="shared" si="19"/>
        <v>CHECK</v>
      </c>
    </row>
    <row r="637" spans="1:8" x14ac:dyDescent="0.2">
      <c r="A637" t="s">
        <v>1256</v>
      </c>
      <c r="B637" t="s">
        <v>0</v>
      </c>
      <c r="D637" t="s">
        <v>2751</v>
      </c>
      <c r="E637" t="str" cm="1">
        <f t="array" ref="E637">IF(COUNTIF(A:A, "*" &amp; LEFT(D637, FIND(" ", D637 &amp; " ") - 1) &amp; "*") &gt; 0,INDEX(A:A,FuzzyVLookup(D637,A:A,0,,,3)),"Non-PDL")</f>
        <v>SIMPONI (golimumab)</v>
      </c>
      <c r="F637" t="str">
        <f t="shared" si="18"/>
        <v>Preferred</v>
      </c>
      <c r="G637" s="1" cm="1">
        <f t="array" ref="G637">FuzzyPercent(D637,E637,3)</f>
        <v>0.42105263471603394</v>
      </c>
      <c r="H637" t="str">
        <f t="shared" si="19"/>
        <v/>
      </c>
    </row>
    <row r="638" spans="1:8" x14ac:dyDescent="0.2">
      <c r="A638" t="s">
        <v>1258</v>
      </c>
      <c r="B638" t="s">
        <v>0</v>
      </c>
      <c r="D638" t="s">
        <v>2752</v>
      </c>
      <c r="E638" t="str" cm="1">
        <f t="array" ref="E638">IF(COUNTIF(A:A, "*" &amp; LEFT(D638, FIND(" ", D638 &amp; " ") - 1) &amp; "*") &gt; 0,INDEX(A:A,FuzzyVLookup(D638,A:A,0,,,3)),"Non-PDL")</f>
        <v>Non-PDL</v>
      </c>
      <c r="F638" t="str">
        <f t="shared" si="18"/>
        <v>Non-PDL</v>
      </c>
      <c r="G638" s="1" cm="1">
        <f t="array" ref="G638">FuzzyPercent(D638,E638,3)</f>
        <v>5.000000074505806E-2</v>
      </c>
      <c r="H638" t="str">
        <f t="shared" si="19"/>
        <v/>
      </c>
    </row>
    <row r="639" spans="1:8" x14ac:dyDescent="0.2">
      <c r="A639" t="s">
        <v>1260</v>
      </c>
      <c r="B639" t="s">
        <v>0</v>
      </c>
      <c r="D639" t="s">
        <v>2753</v>
      </c>
      <c r="E639" t="str" cm="1">
        <f t="array" ref="E639">IF(COUNTIF(A:A, "*" &amp; LEFT(D639, FIND(" ", D639 &amp; " ") - 1) &amp; "*") &gt; 0,INDEX(A:A,FuzzyVLookup(D639,A:A,0,,,3)),"Non-PDL")</f>
        <v>Non-PDL</v>
      </c>
      <c r="F639" t="str">
        <f t="shared" si="18"/>
        <v>Non-PDL</v>
      </c>
      <c r="G639" s="1" cm="1">
        <f t="array" ref="G639">FuzzyPercent(D639,E639,3)</f>
        <v>4.3478261679410934E-2</v>
      </c>
      <c r="H639" t="str">
        <f t="shared" si="19"/>
        <v/>
      </c>
    </row>
    <row r="640" spans="1:8" x14ac:dyDescent="0.2">
      <c r="A640" t="s">
        <v>1262</v>
      </c>
      <c r="B640" t="s">
        <v>0</v>
      </c>
      <c r="D640" t="s">
        <v>2754</v>
      </c>
      <c r="E640" t="str" cm="1">
        <f t="array" ref="E640">IF(COUNTIF(A:A, "*" &amp; LEFT(D640, FIND(" ", D640 &amp; " ") - 1) &amp; "*") &gt; 0,INDEX(A:A,FuzzyVLookup(D640,A:A,0,,,3)),"Non-PDL")</f>
        <v>Non-PDL</v>
      </c>
      <c r="F640" t="str">
        <f t="shared" si="18"/>
        <v>Non-PDL</v>
      </c>
      <c r="G640" s="1" cm="1">
        <f t="array" ref="G640">FuzzyPercent(D640,E640,3)</f>
        <v>3.8461539894342422E-2</v>
      </c>
      <c r="H640" t="str">
        <f t="shared" si="19"/>
        <v/>
      </c>
    </row>
    <row r="641" spans="1:8" x14ac:dyDescent="0.2">
      <c r="A641" t="s">
        <v>1264</v>
      </c>
      <c r="B641" t="s">
        <v>0</v>
      </c>
      <c r="D641" t="s">
        <v>2755</v>
      </c>
      <c r="E641" t="str" cm="1">
        <f t="array" ref="E641">IF(COUNTIF(A:A, "*" &amp; LEFT(D641, FIND(" ", D641 &amp; " ") - 1) &amp; "*") &gt; 0,INDEX(A:A,FuzzyVLookup(D641,A:A,0,,,3)),"Non-PDL")</f>
        <v>SKYRIZI (risankizumab-rzaa)</v>
      </c>
      <c r="F641" t="str">
        <f t="shared" si="18"/>
        <v>Non-Preferred</v>
      </c>
      <c r="G641" s="1" cm="1">
        <f t="array" ref="G641">FuzzyPercent(D641,E641,3)</f>
        <v>0.28828829526901245</v>
      </c>
      <c r="H641" t="str">
        <f t="shared" si="19"/>
        <v>CHECK</v>
      </c>
    </row>
    <row r="642" spans="1:8" x14ac:dyDescent="0.2">
      <c r="A642" t="s">
        <v>1266</v>
      </c>
      <c r="B642" t="s">
        <v>0</v>
      </c>
      <c r="D642" t="s">
        <v>2756</v>
      </c>
      <c r="E642" t="str" cm="1">
        <f t="array" ref="E642">IF(COUNTIF(A:A, "*" &amp; LEFT(D642, FIND(" ", D642 &amp; " ") - 1) &amp; "*") &gt; 0,INDEX(A:A,FuzzyVLookup(D642,A:A,0,,,3)),"Non-PDL")</f>
        <v>SKYTROFA (lonapegsomatropin-tcgd)</v>
      </c>
      <c r="F642" t="str">
        <f t="shared" si="18"/>
        <v>Preferred</v>
      </c>
      <c r="G642" s="1" cm="1">
        <f t="array" ref="G642">FuzzyPercent(D642,E642,3)</f>
        <v>0.27972027659416199</v>
      </c>
      <c r="H642" t="str">
        <f t="shared" si="19"/>
        <v>CHECK</v>
      </c>
    </row>
    <row r="643" spans="1:8" x14ac:dyDescent="0.2">
      <c r="A643" t="s">
        <v>1268</v>
      </c>
      <c r="B643" t="s">
        <v>0</v>
      </c>
      <c r="D643" t="s">
        <v>2757</v>
      </c>
      <c r="E643" t="str" cm="1">
        <f t="array" ref="E643">IF(COUNTIF(A:A, "*" &amp; LEFT(D643, FIND(" ", D643 &amp; " ") - 1) &amp; "*") &gt; 0,INDEX(A:A,FuzzyVLookup(D643,A:A,0,,,3)),"Non-PDL")</f>
        <v>Non-PDL</v>
      </c>
      <c r="F643" t="str">
        <f t="shared" ref="F643:F706" si="20">_xlfn.IFNA(_xlfn.XLOOKUP(E643,A:A,B:B),"Non-PDL")</f>
        <v>Non-PDL</v>
      </c>
      <c r="G643" s="1" cm="1">
        <f t="array" ref="G643">FuzzyPercent(D643,E643,3)</f>
        <v>7.6923079788684845E-2</v>
      </c>
      <c r="H643" t="str">
        <f t="shared" ref="H643:H706" si="21">IF(F643="Non-PDL","",IF(G643&lt;0.3,"CHECK",""))</f>
        <v/>
      </c>
    </row>
    <row r="644" spans="1:8" x14ac:dyDescent="0.2">
      <c r="A644" t="s">
        <v>1270</v>
      </c>
      <c r="B644" t="s">
        <v>0</v>
      </c>
      <c r="D644" t="s">
        <v>2758</v>
      </c>
      <c r="E644" t="str" cm="1">
        <f t="array" ref="E644">IF(COUNTIF(A:A, "*" &amp; LEFT(D644, FIND(" ", D644 &amp; " ") - 1) &amp; "*") &gt; 0,INDEX(A:A,FuzzyVLookup(D644,A:A,0,,,3)),"Non-PDL")</f>
        <v>BUPHENYL (sodium phenylbutyrate)</v>
      </c>
      <c r="F644" t="str">
        <f t="shared" si="20"/>
        <v>Non-Preferred</v>
      </c>
      <c r="G644" s="1" cm="1">
        <f t="array" ref="G644">FuzzyPercent(D644,E644,3)</f>
        <v>0.44999998807907104</v>
      </c>
      <c r="H644" t="str">
        <f t="shared" si="21"/>
        <v/>
      </c>
    </row>
    <row r="645" spans="1:8" x14ac:dyDescent="0.2">
      <c r="A645" t="s">
        <v>1272</v>
      </c>
      <c r="B645" t="s">
        <v>0</v>
      </c>
      <c r="D645" t="s">
        <v>2759</v>
      </c>
      <c r="E645" t="str" cm="1">
        <f t="array" ref="E645">IF(COUNTIF(A:A, "*" &amp; LEFT(D645, FIND(" ", D645 &amp; " ") - 1) &amp; "*") &gt; 0,INDEX(A:A,FuzzyVLookup(D645,A:A,0,,,3)),"Non-PDL")</f>
        <v>OLPRUVA (sodium phenylbutyrate)</v>
      </c>
      <c r="F645" t="str">
        <f t="shared" si="20"/>
        <v>Non-Preferred</v>
      </c>
      <c r="G645" s="1" cm="1">
        <f t="array" ref="G645">FuzzyPercent(D645,E645,3)</f>
        <v>0.45794391632080078</v>
      </c>
      <c r="H645" t="str">
        <f t="shared" si="21"/>
        <v/>
      </c>
    </row>
    <row r="646" spans="1:8" x14ac:dyDescent="0.2">
      <c r="A646" t="s">
        <v>1274</v>
      </c>
      <c r="B646" t="s">
        <v>0</v>
      </c>
      <c r="D646" t="s">
        <v>2760</v>
      </c>
      <c r="E646" t="str" cm="1">
        <f t="array" ref="E646">IF(COUNTIF(A:A, "*" &amp; LEFT(D646, FIND(" ", D646 &amp; " ") - 1) &amp; "*") &gt; 0,INDEX(A:A,FuzzyVLookup(D646,A:A,0,,,3)),"Non-PDL")</f>
        <v>sodium polystyrene sulfonate</v>
      </c>
      <c r="F646" t="str">
        <f t="shared" si="20"/>
        <v>Non-Preferred</v>
      </c>
      <c r="G646" s="1" cm="1">
        <f t="array" ref="G646">FuzzyPercent(D646,E646,3)</f>
        <v>1</v>
      </c>
      <c r="H646" t="str">
        <f t="shared" si="21"/>
        <v/>
      </c>
    </row>
    <row r="647" spans="1:8" x14ac:dyDescent="0.2">
      <c r="A647" t="s">
        <v>1276</v>
      </c>
      <c r="B647" t="s">
        <v>0</v>
      </c>
      <c r="D647" t="s">
        <v>2761</v>
      </c>
      <c r="E647" t="str" cm="1">
        <f t="array" ref="E647">IF(COUNTIF(A:A, "*" &amp; LEFT(D647, FIND(" ", D647 &amp; " ") - 1) &amp; "*") &gt; 0,INDEX(A:A,FuzzyVLookup(D647,A:A,0,,,3)),"Non-PDL")</f>
        <v>sofosbuvir/velpatasvir</v>
      </c>
      <c r="F647" t="str">
        <f t="shared" si="20"/>
        <v>Preferred</v>
      </c>
      <c r="G647" s="1" cm="1">
        <f t="array" ref="G647">FuzzyPercent(D647,E647,3)</f>
        <v>0.5</v>
      </c>
      <c r="H647" t="str">
        <f t="shared" si="21"/>
        <v/>
      </c>
    </row>
    <row r="648" spans="1:8" x14ac:dyDescent="0.2">
      <c r="A648" t="s">
        <v>1278</v>
      </c>
      <c r="B648" t="s">
        <v>0</v>
      </c>
      <c r="D648" t="s">
        <v>2762</v>
      </c>
      <c r="E648" t="str" cm="1">
        <f t="array" ref="E648">IF(COUNTIF(A:A, "*" &amp; LEFT(D648, FIND(" ", D648 &amp; " ") - 1) &amp; "*") &gt; 0,INDEX(A:A,FuzzyVLookup(D648,A:A,0,,,3)),"Non-PDL")</f>
        <v>SOGROYA (somapacitan-beco)</v>
      </c>
      <c r="F648" t="str">
        <f t="shared" si="20"/>
        <v>Non-Preferred</v>
      </c>
      <c r="G648" s="1" cm="1">
        <f t="array" ref="G648">FuzzyPercent(D648,E648,3)</f>
        <v>0.29906541109085083</v>
      </c>
      <c r="H648" t="str">
        <f t="shared" si="21"/>
        <v>CHECK</v>
      </c>
    </row>
    <row r="649" spans="1:8" x14ac:dyDescent="0.2">
      <c r="A649" t="s">
        <v>1280</v>
      </c>
      <c r="B649" t="s">
        <v>0</v>
      </c>
      <c r="D649" t="s">
        <v>2763</v>
      </c>
      <c r="E649" t="str" cm="1">
        <f t="array" ref="E649">IF(COUNTIF(A:A, "*" &amp; LEFT(D649, FIND(" ", D649 &amp; " ") - 1) &amp; "*") &gt; 0,INDEX(A:A,FuzzyVLookup(D649,A:A,0,,,3)),"Non-PDL")</f>
        <v>Non-PDL</v>
      </c>
      <c r="F649" t="str">
        <f t="shared" si="20"/>
        <v>Non-PDL</v>
      </c>
      <c r="G649" s="1" cm="1">
        <f t="array" ref="G649">FuzzyPercent(D649,E649,3)</f>
        <v>0.125</v>
      </c>
      <c r="H649" t="str">
        <f t="shared" si="21"/>
        <v/>
      </c>
    </row>
    <row r="650" spans="1:8" x14ac:dyDescent="0.2">
      <c r="A650" t="s">
        <v>1282</v>
      </c>
      <c r="B650" t="s">
        <v>0</v>
      </c>
      <c r="D650" t="s">
        <v>2764</v>
      </c>
      <c r="E650" t="str" cm="1">
        <f t="array" ref="E650">IF(COUNTIF(A:A, "*" &amp; LEFT(D650, FIND(" ", D650 &amp; " ") - 1) &amp; "*") &gt; 0,INDEX(A:A,FuzzyVLookup(D650,A:A,0,,,3)),"Non-PDL")</f>
        <v>solifenacin</v>
      </c>
      <c r="F650" t="str">
        <f t="shared" si="20"/>
        <v>Preferred</v>
      </c>
      <c r="G650" s="1" cm="1">
        <f t="array" ref="G650">FuzzyPercent(D650,E650,3)</f>
        <v>0.37777778506278992</v>
      </c>
      <c r="H650" t="str">
        <f t="shared" si="21"/>
        <v/>
      </c>
    </row>
    <row r="651" spans="1:8" x14ac:dyDescent="0.2">
      <c r="A651" t="s">
        <v>1284</v>
      </c>
      <c r="B651" t="s">
        <v>0</v>
      </c>
      <c r="D651" t="s">
        <v>2765</v>
      </c>
      <c r="E651" t="str" cm="1">
        <f t="array" ref="E651">IF(COUNTIF(A:A, "*" &amp; LEFT(D651, FIND(" ", D651 &amp; " ") - 1) &amp; "*") &gt; 0,INDEX(A:A,FuzzyVLookup(D651,A:A,0,,,3)),"Non-PDL")</f>
        <v>Non-PDL</v>
      </c>
      <c r="F651" t="str">
        <f t="shared" si="20"/>
        <v>Non-PDL</v>
      </c>
      <c r="G651" s="1" cm="1">
        <f t="array" ref="G651">FuzzyPercent(D651,E651,3)</f>
        <v>6.25E-2</v>
      </c>
      <c r="H651" t="str">
        <f t="shared" si="21"/>
        <v/>
      </c>
    </row>
    <row r="652" spans="1:8" x14ac:dyDescent="0.2">
      <c r="A652" t="s">
        <v>1286</v>
      </c>
      <c r="B652" t="s">
        <v>0</v>
      </c>
      <c r="D652" t="s">
        <v>2766</v>
      </c>
      <c r="E652" t="str" cm="1">
        <f t="array" ref="E652">IF(COUNTIF(A:A, "*" &amp; LEFT(D652, FIND(" ", D652 &amp; " ") - 1) &amp; "*") &gt; 0,INDEX(A:A,FuzzyVLookup(D652,A:A,0,,,3)),"Non-PDL")</f>
        <v>sotalol</v>
      </c>
      <c r="F652" t="str">
        <f t="shared" si="20"/>
        <v>Preferred</v>
      </c>
      <c r="G652" s="1" cm="1">
        <f t="array" ref="G652">FuzzyPercent(D652,E652,3)</f>
        <v>0.375</v>
      </c>
      <c r="H652" t="str">
        <f t="shared" si="21"/>
        <v/>
      </c>
    </row>
    <row r="653" spans="1:8" x14ac:dyDescent="0.2">
      <c r="A653" t="s">
        <v>1288</v>
      </c>
      <c r="B653" t="s">
        <v>0</v>
      </c>
      <c r="D653" t="s">
        <v>2767</v>
      </c>
      <c r="E653" t="str" cm="1">
        <f t="array" ref="E653">IF(COUNTIF(A:A, "*" &amp; LEFT(D653, FIND(" ", D653 &amp; " ") - 1) &amp; "*") &gt; 0,INDEX(A:A,FuzzyVLookup(D653,A:A,0,,,3)),"Non-PDL")</f>
        <v>sotalol</v>
      </c>
      <c r="F653" t="str">
        <f t="shared" si="20"/>
        <v>Preferred</v>
      </c>
      <c r="G653" s="1" cm="1">
        <f t="array" ref="G653">FuzzyPercent(D653,E653,3)</f>
        <v>0.3333333432674408</v>
      </c>
      <c r="H653" t="str">
        <f t="shared" si="21"/>
        <v/>
      </c>
    </row>
    <row r="654" spans="1:8" x14ac:dyDescent="0.2">
      <c r="A654" t="s">
        <v>1068</v>
      </c>
      <c r="B654" t="s">
        <v>0</v>
      </c>
      <c r="D654" t="s">
        <v>2768</v>
      </c>
      <c r="E654" t="str" cm="1">
        <f t="array" ref="E654">IF(COUNTIF(A:A, "*" &amp; LEFT(D654, FIND(" ", D654 &amp; " ") - 1) &amp; "*") &gt; 0,INDEX(A:A,FuzzyVLookup(D654,A:A,0,,,3)),"Non-PDL")</f>
        <v>sorafenib</v>
      </c>
      <c r="F654" t="str">
        <f t="shared" si="20"/>
        <v>Non-Preferred</v>
      </c>
      <c r="G654" s="1" cm="1">
        <f t="array" ref="G654">FuzzyPercent(D654,E654,3)</f>
        <v>1</v>
      </c>
      <c r="H654" t="str">
        <f t="shared" si="21"/>
        <v/>
      </c>
    </row>
    <row r="655" spans="1:8" x14ac:dyDescent="0.2">
      <c r="A655" t="s">
        <v>1291</v>
      </c>
      <c r="B655" t="s">
        <v>0</v>
      </c>
      <c r="D655" t="s">
        <v>2769</v>
      </c>
      <c r="E655" t="str" cm="1">
        <f t="array" ref="E655">IF(COUNTIF(A:A, "*" &amp; LEFT(D655, FIND(" ", D655 &amp; " ") - 1) &amp; "*") &gt; 0,INDEX(A:A,FuzzyVLookup(D655,A:A,0,,,3)),"Non-PDL")</f>
        <v>SORINE (sotalol)</v>
      </c>
      <c r="F655" t="str">
        <f t="shared" si="20"/>
        <v>Preferred</v>
      </c>
      <c r="G655" s="1" cm="1">
        <f t="array" ref="G655">FuzzyPercent(D655,E655,3)</f>
        <v>0.4375</v>
      </c>
      <c r="H655" t="str">
        <f t="shared" si="21"/>
        <v/>
      </c>
    </row>
    <row r="656" spans="1:8" x14ac:dyDescent="0.2">
      <c r="A656" t="s">
        <v>1293</v>
      </c>
      <c r="B656" t="s">
        <v>0</v>
      </c>
      <c r="D656" t="s">
        <v>2770</v>
      </c>
      <c r="E656" t="str" cm="1">
        <f t="array" ref="E656">IF(COUNTIF(A:A, "*" &amp; LEFT(D656, FIND(" ", D656 &amp; " ") - 1) &amp; "*") &gt; 0,INDEX(A:A,FuzzyVLookup(D656,A:A,0,,,3)),"Non-PDL")</f>
        <v>SOTYKTU (deucravacitinib)</v>
      </c>
      <c r="F656" t="str">
        <f t="shared" si="20"/>
        <v>Non-Preferred</v>
      </c>
      <c r="G656" s="1" cm="1">
        <f t="array" ref="G656">FuzzyPercent(D656,E656,3)</f>
        <v>0.3203125</v>
      </c>
      <c r="H656" t="str">
        <f t="shared" si="21"/>
        <v/>
      </c>
    </row>
    <row r="657" spans="1:8" x14ac:dyDescent="0.2">
      <c r="A657" t="s">
        <v>1295</v>
      </c>
      <c r="B657" t="s">
        <v>0</v>
      </c>
      <c r="D657" t="s">
        <v>2771</v>
      </c>
      <c r="E657" t="str" cm="1">
        <f t="array" ref="E657">IF(COUNTIF(A:A, "*" &amp; LEFT(D657, FIND(" ", D657 &amp; " ") - 1) &amp; "*") &gt; 0,INDEX(A:A,FuzzyVLookup(D657,A:A,0,,,3)),"Non-PDL")</f>
        <v>SOVALDI (sofosbuvir) ‚àû</v>
      </c>
      <c r="F657" t="str">
        <f t="shared" si="20"/>
        <v>Non-Preferred</v>
      </c>
      <c r="G657" s="1" cm="1">
        <f t="array" ref="G657">FuzzyPercent(D657,E657,3)</f>
        <v>0.31999999284744263</v>
      </c>
      <c r="H657" t="str">
        <f t="shared" si="21"/>
        <v/>
      </c>
    </row>
    <row r="658" spans="1:8" x14ac:dyDescent="0.2">
      <c r="A658" t="s">
        <v>1297</v>
      </c>
      <c r="B658" t="s">
        <v>0</v>
      </c>
      <c r="D658" t="s">
        <v>2772</v>
      </c>
      <c r="E658" t="str" cm="1">
        <f t="array" ref="E658">IF(COUNTIF(A:A, "*" &amp; LEFT(D658, FIND(" ", D658 &amp; " ") - 1) &amp; "*") &gt; 0,INDEX(A:A,FuzzyVLookup(D658,A:A,0,,,3)),"Non-PDL")</f>
        <v>Non-PDL</v>
      </c>
      <c r="F658" t="str">
        <f t="shared" si="20"/>
        <v>Non-PDL</v>
      </c>
      <c r="G658" s="1" cm="1">
        <f t="array" ref="G658">FuzzyPercent(D658,E658,3)</f>
        <v>5.000000074505806E-2</v>
      </c>
      <c r="H658" t="str">
        <f t="shared" si="21"/>
        <v/>
      </c>
    </row>
    <row r="659" spans="1:8" x14ac:dyDescent="0.2">
      <c r="A659" t="s">
        <v>1299</v>
      </c>
      <c r="B659" t="s">
        <v>0</v>
      </c>
      <c r="D659" t="s">
        <v>2773</v>
      </c>
      <c r="E659" t="str" cm="1">
        <f t="array" ref="E659">IF(COUNTIF(A:A, "*" &amp; LEFT(D659, FIND(" ", D659 &amp; " ") - 1) &amp; "*") &gt; 0,INDEX(A:A,FuzzyVLookup(D659,A:A,0,,,3)),"Non-PDL")</f>
        <v>SPIRIVA HANDIHALER (tiotropium)</v>
      </c>
      <c r="F659" t="str">
        <f t="shared" si="20"/>
        <v>Preferred</v>
      </c>
      <c r="G659" s="1" cm="1">
        <f t="array" ref="G659">FuzzyPercent(D659,E659,3)</f>
        <v>0.44939270615577698</v>
      </c>
      <c r="H659" t="str">
        <f t="shared" si="21"/>
        <v/>
      </c>
    </row>
    <row r="660" spans="1:8" x14ac:dyDescent="0.2">
      <c r="A660" t="s">
        <v>1301</v>
      </c>
      <c r="B660" t="s">
        <v>0</v>
      </c>
      <c r="D660" t="s">
        <v>2774</v>
      </c>
      <c r="E660" t="str" cm="1">
        <f t="array" ref="E660">IF(COUNTIF(A:A, "*" &amp; LEFT(D660, FIND(" ", D660 &amp; " ") - 1) &amp; "*") &gt; 0,INDEX(A:A,FuzzyVLookup(D660,A:A,0,,,3)),"Non-PDL")</f>
        <v>SPIRIVA RESPIMAT (tiotropium) DUR+</v>
      </c>
      <c r="F660" t="str">
        <f t="shared" si="20"/>
        <v>Non-Preferred</v>
      </c>
      <c r="G660" s="1" cm="1">
        <f t="array" ref="G660">FuzzyPercent(D660,E660,3)</f>
        <v>0.36619716882705688</v>
      </c>
      <c r="H660" t="str">
        <f t="shared" si="21"/>
        <v/>
      </c>
    </row>
    <row r="661" spans="1:8" x14ac:dyDescent="0.2">
      <c r="A661" t="s">
        <v>1303</v>
      </c>
      <c r="B661" t="s">
        <v>0</v>
      </c>
      <c r="D661" t="s">
        <v>2775</v>
      </c>
      <c r="E661" t="str" cm="1">
        <f t="array" ref="E661">IF(COUNTIF(A:A, "*" &amp; LEFT(D661, FIND(" ", D661 &amp; " ") - 1) &amp; "*") &gt; 0,INDEX(A:A,FuzzyVLookup(D661,A:A,0,,,3)),"Non-PDL")</f>
        <v>Non-PDL</v>
      </c>
      <c r="F661" t="str">
        <f t="shared" si="20"/>
        <v>Non-PDL</v>
      </c>
      <c r="G661" s="1" cm="1">
        <f t="array" ref="G661">FuzzyPercent(D661,E661,3)</f>
        <v>5.000000074505806E-2</v>
      </c>
      <c r="H661" t="str">
        <f t="shared" si="21"/>
        <v/>
      </c>
    </row>
    <row r="662" spans="1:8" x14ac:dyDescent="0.2">
      <c r="A662" t="s">
        <v>1305</v>
      </c>
      <c r="B662" t="s">
        <v>0</v>
      </c>
      <c r="D662" t="s">
        <v>2776</v>
      </c>
      <c r="E662" t="str" cm="1">
        <f t="array" ref="E662">IF(COUNTIF(A:A, "*" &amp; LEFT(D662, FIND(" ", D662 &amp; " ") - 1) &amp; "*") &gt; 0,INDEX(A:A,FuzzyVLookup(D662,A:A,0,,,3)),"Non-PDL")</f>
        <v>baclofen suspension</v>
      </c>
      <c r="F662" t="str">
        <f t="shared" si="20"/>
        <v>Non-Preferred</v>
      </c>
      <c r="G662" s="1" cm="1">
        <f t="array" ref="G662">FuzzyPercent(D662,E662,3)</f>
        <v>0.4166666567325592</v>
      </c>
      <c r="H662" t="str">
        <f t="shared" si="21"/>
        <v/>
      </c>
    </row>
    <row r="663" spans="1:8" x14ac:dyDescent="0.2">
      <c r="A663" t="s">
        <v>1307</v>
      </c>
      <c r="B663" t="s">
        <v>0</v>
      </c>
      <c r="D663" t="s">
        <v>2777</v>
      </c>
      <c r="E663" t="str" cm="1">
        <f t="array" ref="E663">IF(COUNTIF(A:A, "*" &amp; LEFT(D663, FIND(" ", D663 &amp; " ") - 1) &amp; "*") &gt; 0,INDEX(A:A,FuzzyVLookup(D663,A:A,0,,,3)),"Non-PDL")</f>
        <v>mesalamine enema</v>
      </c>
      <c r="F663" t="str">
        <f t="shared" si="20"/>
        <v>Non-Preferred</v>
      </c>
      <c r="G663" s="1" cm="1">
        <f t="array" ref="G663">FuzzyPercent(D663,E663,3)</f>
        <v>0.26027396321296692</v>
      </c>
      <c r="H663" t="str">
        <f t="shared" si="21"/>
        <v>CHECK</v>
      </c>
    </row>
    <row r="664" spans="1:8" x14ac:dyDescent="0.2">
      <c r="A664" t="s">
        <v>1309</v>
      </c>
      <c r="B664" t="s">
        <v>0</v>
      </c>
      <c r="D664" t="s">
        <v>2778</v>
      </c>
      <c r="E664" t="str" cm="1">
        <f t="array" ref="E664">IF(COUNTIF(A:A, "*" &amp; LEFT(D664, FIND(" ", D664 &amp; " ") - 1) &amp; "*") &gt; 0,INDEX(A:A,FuzzyVLookup(D664,A:A,0,,,3)),"Non-PDL")</f>
        <v>STEGLATRO (ertugliflozin)</v>
      </c>
      <c r="F664" t="str">
        <f t="shared" si="20"/>
        <v>Non-Preferred</v>
      </c>
      <c r="G664" s="1" cm="1">
        <f t="array" ref="G664">FuzzyPercent(D664,E664,3)</f>
        <v>0.41818180680274963</v>
      </c>
      <c r="H664" t="str">
        <f t="shared" si="21"/>
        <v/>
      </c>
    </row>
    <row r="665" spans="1:8" x14ac:dyDescent="0.2">
      <c r="A665" t="s">
        <v>1311</v>
      </c>
      <c r="B665" t="s">
        <v>0</v>
      </c>
      <c r="D665" t="s">
        <v>2779</v>
      </c>
      <c r="E665" t="str" cm="1">
        <f t="array" ref="E665">IF(COUNTIF(A:A, "*" &amp; LEFT(D665, FIND(" ", D665 &amp; " ") - 1) &amp; "*") &gt; 0,INDEX(A:A,FuzzyVLookup(D665,A:A,0,,,3)),"Non-PDL")</f>
        <v>STEGLUJAN (ertugliflozin/sitagliptin)</v>
      </c>
      <c r="F665" t="str">
        <f t="shared" si="20"/>
        <v>Non-Preferred</v>
      </c>
      <c r="G665" s="1" cm="1">
        <f t="array" ref="G665">FuzzyPercent(D665,E665,3)</f>
        <v>0.27878788113594055</v>
      </c>
      <c r="H665" t="str">
        <f t="shared" si="21"/>
        <v>CHECK</v>
      </c>
    </row>
    <row r="666" spans="1:8" x14ac:dyDescent="0.2">
      <c r="A666" t="s">
        <v>1313</v>
      </c>
      <c r="B666" t="s">
        <v>0</v>
      </c>
      <c r="D666" t="s">
        <v>2780</v>
      </c>
      <c r="E666" t="str" cm="1">
        <f t="array" ref="E666">IF(COUNTIF(A:A, "*" &amp; LEFT(D666, FIND(" ", D666 &amp; " ") - 1) &amp; "*") &gt; 0,INDEX(A:A,FuzzyVLookup(D666,A:A,0,,,3)),"Non-PDL")</f>
        <v>STELARA (ustekinumab)</v>
      </c>
      <c r="F666" t="str">
        <f t="shared" si="20"/>
        <v>Non-Preferred</v>
      </c>
      <c r="G666" s="1" cm="1">
        <f t="array" ref="G666">FuzzyPercent(D666,E666,3)</f>
        <v>0.37209302186965942</v>
      </c>
      <c r="H666" t="str">
        <f t="shared" si="21"/>
        <v/>
      </c>
    </row>
    <row r="667" spans="1:8" x14ac:dyDescent="0.2">
      <c r="A667" t="s">
        <v>1315</v>
      </c>
      <c r="B667" t="s">
        <v>0</v>
      </c>
      <c r="D667" t="s">
        <v>2781</v>
      </c>
      <c r="E667" t="str" cm="1">
        <f t="array" ref="E667">IF(COUNTIF(A:A, "*" &amp; LEFT(D667, FIND(" ", D667 &amp; " ") - 1) &amp; "*") &gt; 0,INDEX(A:A,FuzzyVLookup(D667,A:A,0,,,3)),"Non-PDL")</f>
        <v>STIMUFEND (pegfilgrastim-fpgk)</v>
      </c>
      <c r="F667" t="str">
        <f t="shared" si="20"/>
        <v>Non-Preferred</v>
      </c>
      <c r="G667" s="1" cm="1">
        <f t="array" ref="G667">FuzzyPercent(D667,E667,3)</f>
        <v>0.31553396582603455</v>
      </c>
      <c r="H667" t="str">
        <f t="shared" si="21"/>
        <v/>
      </c>
    </row>
    <row r="668" spans="1:8" x14ac:dyDescent="0.2">
      <c r="A668" t="s">
        <v>1317</v>
      </c>
      <c r="B668" t="s">
        <v>0</v>
      </c>
      <c r="D668" t="s">
        <v>2782</v>
      </c>
      <c r="E668" t="str" cm="1">
        <f t="array" ref="E668">IF(COUNTIF(A:A, "*" &amp; LEFT(D668, FIND(" ", D668 &amp; " ") - 1) &amp; "*") &gt; 0,INDEX(A:A,FuzzyVLookup(D668,A:A,0,,,3)),"Non-PDL")</f>
        <v>STIOLTO RESPIMAT (tiotropium/olodaterol)</v>
      </c>
      <c r="F668" t="str">
        <f t="shared" si="20"/>
        <v>Preferred</v>
      </c>
      <c r="G668" s="1" cm="1">
        <f t="array" ref="G668">FuzzyPercent(D668,E668,3)</f>
        <v>0.48076921701431274</v>
      </c>
      <c r="H668" t="str">
        <f t="shared" si="21"/>
        <v/>
      </c>
    </row>
    <row r="669" spans="1:8" x14ac:dyDescent="0.2">
      <c r="A669" t="s">
        <v>1319</v>
      </c>
      <c r="B669" t="s">
        <v>0</v>
      </c>
      <c r="D669" t="s">
        <v>2783</v>
      </c>
      <c r="E669" t="str" cm="1">
        <f t="array" ref="E669">IF(COUNTIF(A:A, "*" &amp; LEFT(D669, FIND(" ", D669 &amp; " ") - 1) &amp; "*") &gt; 0,INDEX(A:A,FuzzyVLookup(D669,A:A,0,,,3)),"Non-PDL")</f>
        <v>STIVARGA (regorafenib)</v>
      </c>
      <c r="F669" t="str">
        <f t="shared" si="20"/>
        <v>Preferred</v>
      </c>
      <c r="G669" s="1" cm="1">
        <f t="array" ref="G669">FuzzyPercent(D669,E669,3)</f>
        <v>0.42553192377090454</v>
      </c>
      <c r="H669" t="str">
        <f t="shared" si="21"/>
        <v/>
      </c>
    </row>
    <row r="670" spans="1:8" x14ac:dyDescent="0.2">
      <c r="A670" t="s">
        <v>1321</v>
      </c>
      <c r="B670" t="s">
        <v>0</v>
      </c>
      <c r="D670" t="s">
        <v>2784</v>
      </c>
      <c r="E670" t="str" cm="1">
        <f t="array" ref="E670">IF(COUNTIF(A:A, "*" &amp; LEFT(D670, FIND(" ", D670 &amp; " ") - 1) &amp; "*") &gt; 0,INDEX(A:A,FuzzyVLookup(D670,A:A,0,,,3)),"Non-PDL")</f>
        <v>nystatin</v>
      </c>
      <c r="F670" t="str">
        <f t="shared" si="20"/>
        <v>Preferred</v>
      </c>
      <c r="G670" s="1" cm="1">
        <f t="array" ref="G670">FuzzyPercent(D670,E670,3)</f>
        <v>0.20000000298023224</v>
      </c>
      <c r="H670" t="str">
        <f t="shared" si="21"/>
        <v>CHECK</v>
      </c>
    </row>
    <row r="671" spans="1:8" x14ac:dyDescent="0.2">
      <c r="A671" t="s">
        <v>1323</v>
      </c>
      <c r="B671" t="s">
        <v>0</v>
      </c>
      <c r="D671" t="s">
        <v>2785</v>
      </c>
      <c r="E671" t="str" cm="1">
        <f t="array" ref="E671">IF(COUNTIF(A:A, "*" &amp; LEFT(D671, FIND(" ", D671 &amp; " ") - 1) &amp; "*") &gt; 0,INDEX(A:A,FuzzyVLookup(D671,A:A,0,,,3)),"Non-PDL")</f>
        <v>STUART ONE</v>
      </c>
      <c r="F671" t="str">
        <f t="shared" si="20"/>
        <v>Preferred</v>
      </c>
      <c r="G671" s="1" cm="1">
        <f t="array" ref="G671">FuzzyPercent(D671,E671,3)</f>
        <v>0.65853661298751831</v>
      </c>
      <c r="H671" t="str">
        <f t="shared" si="21"/>
        <v/>
      </c>
    </row>
    <row r="672" spans="1:8" x14ac:dyDescent="0.2">
      <c r="A672" t="s">
        <v>1325</v>
      </c>
      <c r="B672" t="s">
        <v>0</v>
      </c>
      <c r="D672" t="s">
        <v>2786</v>
      </c>
      <c r="E672" t="str" cm="1">
        <f t="array" ref="E672">IF(COUNTIF(A:A, "*" &amp; LEFT(D672, FIND(" ", D672 &amp; " ") - 1) &amp; "*") &gt; 0,INDEX(A:A,FuzzyVLookup(D672,A:A,0,,,3)),"Non-PDL")</f>
        <v>SUBLOCADE (buprenorphine)</v>
      </c>
      <c r="F672" t="str">
        <f t="shared" si="20"/>
        <v>Non-Preferred</v>
      </c>
      <c r="G672" s="1" cm="1">
        <f t="array" ref="G672">FuzzyPercent(D672,E672,3)</f>
        <v>0.41818180680274963</v>
      </c>
      <c r="H672" t="str">
        <f t="shared" si="21"/>
        <v/>
      </c>
    </row>
    <row r="673" spans="1:8" x14ac:dyDescent="0.2">
      <c r="A673" t="s">
        <v>1327</v>
      </c>
      <c r="B673" t="s">
        <v>0</v>
      </c>
      <c r="D673" t="s">
        <v>2787</v>
      </c>
      <c r="E673" t="str" cm="1">
        <f t="array" ref="E673">IF(COUNTIF(A:A, "*" &amp; LEFT(D673, FIND(" ", D673 &amp; " ") - 1) &amp; "*") &gt; 0,INDEX(A:A,FuzzyVLookup(D673,A:A,0,,,3)),"Non-PDL")</f>
        <v>naloxone</v>
      </c>
      <c r="F673" t="str">
        <f t="shared" si="20"/>
        <v>Preferred</v>
      </c>
      <c r="G673" s="1" cm="1">
        <f t="array" ref="G673">FuzzyPercent(D673,E673,3)</f>
        <v>0.44999998807907104</v>
      </c>
      <c r="H673" t="str">
        <f t="shared" si="21"/>
        <v/>
      </c>
    </row>
    <row r="674" spans="1:8" x14ac:dyDescent="0.2">
      <c r="A674" t="s">
        <v>1329</v>
      </c>
      <c r="B674" t="s">
        <v>0</v>
      </c>
      <c r="D674" t="s">
        <v>2788</v>
      </c>
      <c r="E674" t="str" cm="1">
        <f t="array" ref="E674">IF(COUNTIF(A:A, "*" &amp; LEFT(D674, FIND(" ", D674 &amp; " ") - 1) &amp; "*") &gt; 0,INDEX(A:A,FuzzyVLookup(D674,A:A,0,,,3)),"Non-PDL")</f>
        <v>SUNOSI (solriamfetol)</v>
      </c>
      <c r="F674" t="str">
        <f t="shared" si="20"/>
        <v>Preferred</v>
      </c>
      <c r="G674" s="1" cm="1">
        <f t="array" ref="G674">FuzzyPercent(D674,E674,3)</f>
        <v>0.3333333432674408</v>
      </c>
      <c r="H674" t="str">
        <f t="shared" si="21"/>
        <v/>
      </c>
    </row>
    <row r="675" spans="1:8" x14ac:dyDescent="0.2">
      <c r="A675" t="s">
        <v>1331</v>
      </c>
      <c r="B675" t="s">
        <v>0</v>
      </c>
      <c r="D675" t="s">
        <v>2789</v>
      </c>
      <c r="E675" t="str" cm="1">
        <f t="array" ref="E675">IF(COUNTIF(A:A, "*" &amp; LEFT(D675, FIND(" ", D675 &amp; " ") - 1) &amp; "*") &gt; 0,INDEX(A:A,FuzzyVLookup(D675,A:A,0,,,3)),"Non-PDL")</f>
        <v>Non-PDL</v>
      </c>
      <c r="F675" t="str">
        <f t="shared" si="20"/>
        <v>Non-PDL</v>
      </c>
      <c r="G675" s="1" cm="1">
        <f t="array" ref="G675">FuzzyPercent(D675,E675,3)</f>
        <v>2.857142873108387E-2</v>
      </c>
      <c r="H675" t="str">
        <f t="shared" si="21"/>
        <v/>
      </c>
    </row>
    <row r="676" spans="1:8" x14ac:dyDescent="0.2">
      <c r="A676" t="s">
        <v>1333</v>
      </c>
      <c r="B676" t="s">
        <v>0</v>
      </c>
      <c r="D676" t="s">
        <v>2790</v>
      </c>
      <c r="E676" t="str" cm="1">
        <f t="array" ref="E676">IF(COUNTIF(A:A, "*" &amp; LEFT(D676, FIND(" ", D676 &amp; " ") - 1) &amp; "*") &gt; 0,INDEX(A:A,FuzzyVLookup(D676,A:A,0,,,3)),"Non-PDL")</f>
        <v>Non-PDL</v>
      </c>
      <c r="F676" t="str">
        <f t="shared" si="20"/>
        <v>Non-PDL</v>
      </c>
      <c r="G676" s="1" cm="1">
        <f t="array" ref="G676">FuzzyPercent(D676,E676,3)</f>
        <v>0</v>
      </c>
      <c r="H676" t="str">
        <f t="shared" si="21"/>
        <v/>
      </c>
    </row>
    <row r="677" spans="1:8" x14ac:dyDescent="0.2">
      <c r="A677" t="s">
        <v>1335</v>
      </c>
      <c r="B677" t="s">
        <v>0</v>
      </c>
      <c r="D677" t="s">
        <v>2791</v>
      </c>
      <c r="E677" t="str" cm="1">
        <f t="array" ref="E677">IF(COUNTIF(A:A, "*" &amp; LEFT(D677, FIND(" ", D677 &amp; " ") - 1) &amp; "*") &gt; 0,INDEX(A:A,FuzzyVLookup(D677,A:A,0,,,3)),"Non-PDL")</f>
        <v>Non-PDL</v>
      </c>
      <c r="F677" t="str">
        <f t="shared" si="20"/>
        <v>Non-PDL</v>
      </c>
      <c r="G677" s="1" cm="1">
        <f t="array" ref="G677">FuzzyPercent(D677,E677,3)</f>
        <v>0</v>
      </c>
      <c r="H677" t="str">
        <f t="shared" si="21"/>
        <v/>
      </c>
    </row>
    <row r="678" spans="1:8" x14ac:dyDescent="0.2">
      <c r="A678" t="s">
        <v>1337</v>
      </c>
      <c r="B678" t="s">
        <v>0</v>
      </c>
      <c r="D678" t="s">
        <v>2792</v>
      </c>
      <c r="E678" t="str" cm="1">
        <f t="array" ref="E678">IF(COUNTIF(A:A, "*" &amp; LEFT(D678, FIND(" ", D678 &amp; " ") - 1) &amp; "*") &gt; 0,INDEX(A:A,FuzzyVLookup(D678,A:A,0,,,3)),"Non-PDL")</f>
        <v>Non-PDL</v>
      </c>
      <c r="F678" t="str">
        <f t="shared" si="20"/>
        <v>Non-PDL</v>
      </c>
      <c r="G678" s="1" cm="1">
        <f t="array" ref="G678">FuzzyPercent(D678,E678,3)</f>
        <v>0</v>
      </c>
      <c r="H678" t="str">
        <f t="shared" si="21"/>
        <v/>
      </c>
    </row>
    <row r="679" spans="1:8" x14ac:dyDescent="0.2">
      <c r="A679" t="s">
        <v>1339</v>
      </c>
      <c r="B679" t="s">
        <v>0</v>
      </c>
      <c r="D679" t="s">
        <v>2793</v>
      </c>
      <c r="E679" t="str" cm="1">
        <f t="array" ref="E679">IF(COUNTIF(A:A, "*" &amp; LEFT(D679, FIND(" ", D679 &amp; " ") - 1) &amp; "*") &gt; 0,INDEX(A:A,FuzzyVLookup(D679,A:A,0,,,3)),"Non-PDL")</f>
        <v>XEMBIFY</v>
      </c>
      <c r="F679" t="str">
        <f t="shared" si="20"/>
        <v>Preferred</v>
      </c>
      <c r="G679" s="1" cm="1">
        <f t="array" ref="G679">FuzzyPercent(D679,E679,3)</f>
        <v>0.25</v>
      </c>
      <c r="H679" t="str">
        <f t="shared" si="21"/>
        <v>CHECK</v>
      </c>
    </row>
    <row r="680" spans="1:8" x14ac:dyDescent="0.2">
      <c r="A680" t="s">
        <v>1341</v>
      </c>
      <c r="B680" t="s">
        <v>0</v>
      </c>
      <c r="D680" t="s">
        <v>2794</v>
      </c>
      <c r="E680" t="str" cm="1">
        <f t="array" ref="E680">IF(COUNTIF(A:A, "*" &amp; LEFT(D680, FIND(" ", D680 &amp; " ") - 1) &amp; "*") &gt; 0,INDEX(A:A,FuzzyVLookup(D680,A:A,0,,,3)),"Non-PDL")</f>
        <v>Non-PDL</v>
      </c>
      <c r="F680" t="str">
        <f t="shared" si="20"/>
        <v>Non-PDL</v>
      </c>
      <c r="G680" s="1" cm="1">
        <f t="array" ref="G680">FuzzyPercent(D680,E680,3)</f>
        <v>0</v>
      </c>
      <c r="H680" t="str">
        <f t="shared" si="21"/>
        <v/>
      </c>
    </row>
    <row r="681" spans="1:8" x14ac:dyDescent="0.2">
      <c r="A681" t="s">
        <v>1343</v>
      </c>
      <c r="B681" t="s">
        <v>0</v>
      </c>
      <c r="D681" t="s">
        <v>2795</v>
      </c>
      <c r="E681" t="str" cm="1">
        <f t="array" ref="E681">IF(COUNTIF(A:A, "*" &amp; LEFT(D681, FIND(" ", D681 &amp; " ") - 1) &amp; "*") &gt; 0,INDEX(A:A,FuzzyVLookup(D681,A:A,0,,,3)),"Non-PDL")</f>
        <v>Non-PDL</v>
      </c>
      <c r="F681" t="str">
        <f t="shared" si="20"/>
        <v>Non-PDL</v>
      </c>
      <c r="G681" s="1" cm="1">
        <f t="array" ref="G681">FuzzyPercent(D681,E681,3)</f>
        <v>0</v>
      </c>
      <c r="H681" t="str">
        <f t="shared" si="21"/>
        <v/>
      </c>
    </row>
    <row r="682" spans="1:8" x14ac:dyDescent="0.2">
      <c r="A682" t="s">
        <v>1345</v>
      </c>
      <c r="B682" t="s">
        <v>0</v>
      </c>
      <c r="D682" t="s">
        <v>2796</v>
      </c>
      <c r="E682" t="str" cm="1">
        <f t="array" ref="E682">IF(COUNTIF(A:A, "*" &amp; LEFT(D682, FIND(" ", D682 &amp; " ") - 1) &amp; "*") &gt; 0,INDEX(A:A,FuzzyVLookup(D682,A:A,0,,,3)),"Non-PDL")</f>
        <v>SYMPAZAN (clobazam)</v>
      </c>
      <c r="F682" t="str">
        <f t="shared" si="20"/>
        <v>Preferred</v>
      </c>
      <c r="G682" s="1" cm="1">
        <f t="array" ref="G682">FuzzyPercent(D682,E682,3)</f>
        <v>0.41525423526763916</v>
      </c>
      <c r="H682" t="str">
        <f t="shared" si="21"/>
        <v/>
      </c>
    </row>
    <row r="683" spans="1:8" x14ac:dyDescent="0.2">
      <c r="A683" t="s">
        <v>1347</v>
      </c>
      <c r="B683" t="s">
        <v>0</v>
      </c>
      <c r="D683" t="s">
        <v>2797</v>
      </c>
      <c r="E683" t="str" cm="1">
        <f t="array" ref="E683">IF(COUNTIF(A:A, "*" &amp; LEFT(D683, FIND(" ", D683 &amp; " ") - 1) &amp; "*") &gt; 0,INDEX(A:A,FuzzyVLookup(D683,A:A,0,,,3)),"Non-PDL")</f>
        <v>Non-PDL</v>
      </c>
      <c r="F683" t="str">
        <f t="shared" si="20"/>
        <v>Non-PDL</v>
      </c>
      <c r="G683" s="1" cm="1">
        <f t="array" ref="G683">FuzzyPercent(D683,E683,3)</f>
        <v>6.25E-2</v>
      </c>
      <c r="H683" t="str">
        <f t="shared" si="21"/>
        <v/>
      </c>
    </row>
    <row r="684" spans="1:8" x14ac:dyDescent="0.2">
      <c r="A684" t="s">
        <v>1349</v>
      </c>
      <c r="B684" t="s">
        <v>0</v>
      </c>
      <c r="D684" t="s">
        <v>2798</v>
      </c>
      <c r="E684" t="str" cm="1">
        <f t="array" ref="E684">IF(COUNTIF(A:A, "*" &amp; LEFT(D684, FIND(" ", D684 &amp; " ") - 1) &amp; "*") &gt; 0,INDEX(A:A,FuzzyVLookup(D684,A:A,0,,,3)),"Non-PDL")</f>
        <v>Non-PDL</v>
      </c>
      <c r="F684" t="str">
        <f t="shared" si="20"/>
        <v>Non-PDL</v>
      </c>
      <c r="G684" s="1" cm="1">
        <f t="array" ref="G684">FuzzyPercent(D684,E684,3)</f>
        <v>0.125</v>
      </c>
      <c r="H684" t="str">
        <f t="shared" si="21"/>
        <v/>
      </c>
    </row>
    <row r="685" spans="1:8" x14ac:dyDescent="0.2">
      <c r="A685" t="s">
        <v>1351</v>
      </c>
      <c r="B685" t="s">
        <v>0</v>
      </c>
      <c r="D685" t="s">
        <v>2799</v>
      </c>
      <c r="E685" t="str" cm="1">
        <f t="array" ref="E685">IF(COUNTIF(A:A, "*" &amp; LEFT(D685, FIND(" ", D685 &amp; " ") - 1) &amp; "*") &gt; 0,INDEX(A:A,FuzzyVLookup(D685,A:A,0,,,3)),"Non-PDL")</f>
        <v>Non-PDL</v>
      </c>
      <c r="F685" t="str">
        <f t="shared" si="20"/>
        <v>Non-PDL</v>
      </c>
      <c r="G685" s="1" cm="1">
        <f t="array" ref="G685">FuzzyPercent(D685,E685,3)</f>
        <v>4.3478261679410934E-2</v>
      </c>
      <c r="H685" t="str">
        <f t="shared" si="21"/>
        <v/>
      </c>
    </row>
    <row r="686" spans="1:8" x14ac:dyDescent="0.2">
      <c r="A686" t="s">
        <v>1353</v>
      </c>
      <c r="B686" t="s">
        <v>0</v>
      </c>
      <c r="D686" t="s">
        <v>2800</v>
      </c>
      <c r="E686" t="str" cm="1">
        <f t="array" ref="E686">IF(COUNTIF(A:A, "*" &amp; LEFT(D686, FIND(" ", D686 &amp; " ") - 1) &amp; "*") &gt; 0,INDEX(A:A,FuzzyVLookup(D686,A:A,0,,,3)),"Non-PDL")</f>
        <v>TABRECTA (capmatinib)</v>
      </c>
      <c r="F686" t="str">
        <f t="shared" si="20"/>
        <v>Non-Preferred</v>
      </c>
      <c r="G686" s="1" cm="1">
        <f t="array" ref="G686">FuzzyPercent(D686,E686,3)</f>
        <v>0.4444444477558136</v>
      </c>
      <c r="H686" t="str">
        <f t="shared" si="21"/>
        <v/>
      </c>
    </row>
    <row r="687" spans="1:8" x14ac:dyDescent="0.2">
      <c r="A687" t="s">
        <v>1355</v>
      </c>
      <c r="B687" t="s">
        <v>0</v>
      </c>
      <c r="D687" t="s">
        <v>2801</v>
      </c>
      <c r="E687" t="str" cm="1">
        <f t="array" ref="E687">IF(COUNTIF(A:A, "*" &amp; LEFT(D687, FIND(" ", D687 &amp; " ") - 1) &amp; "*") &gt; 0,INDEX(A:A,FuzzyVLookup(D687,A:A,0,,,3)),"Non-PDL")</f>
        <v>tadalafil</v>
      </c>
      <c r="F687" t="str">
        <f t="shared" si="20"/>
        <v>Preferred</v>
      </c>
      <c r="G687" s="1" cm="1">
        <f t="array" ref="G687">FuzzyPercent(D687,E687,3)</f>
        <v>1</v>
      </c>
      <c r="H687" t="str">
        <f t="shared" si="21"/>
        <v/>
      </c>
    </row>
    <row r="688" spans="1:8" x14ac:dyDescent="0.2">
      <c r="A688" t="s">
        <v>1357</v>
      </c>
      <c r="B688" t="s">
        <v>0</v>
      </c>
      <c r="D688" t="s">
        <v>2802</v>
      </c>
      <c r="E688" t="str" cm="1">
        <f t="array" ref="E688">IF(COUNTIF(A:A, "*" &amp; LEFT(D688, FIND(" ", D688 &amp; " ") - 1) &amp; "*") &gt; 0,INDEX(A:A,FuzzyVLookup(D688,A:A,0,,,3)),"Non-PDL")</f>
        <v>TADLIQ (tadalafil)</v>
      </c>
      <c r="F688" t="str">
        <f t="shared" si="20"/>
        <v>Preferred</v>
      </c>
      <c r="G688" s="1" cm="1">
        <f t="array" ref="G688">FuzzyPercent(D688,E688,3)</f>
        <v>0.3888888955116272</v>
      </c>
      <c r="H688" t="str">
        <f t="shared" si="21"/>
        <v/>
      </c>
    </row>
    <row r="689" spans="1:8" x14ac:dyDescent="0.2">
      <c r="A689" t="s">
        <v>1359</v>
      </c>
      <c r="B689" t="s">
        <v>0</v>
      </c>
      <c r="D689" t="s">
        <v>2803</v>
      </c>
      <c r="E689" t="str" cm="1">
        <f t="array" ref="E689">IF(COUNTIF(A:A, "*" &amp; LEFT(D689, FIND(" ", D689 &amp; " ") - 1) &amp; "*") &gt; 0,INDEX(A:A,FuzzyVLookup(D689,A:A,0,,,3)),"Non-PDL")</f>
        <v>TAGRISSO (Osimertinib)</v>
      </c>
      <c r="F689" t="str">
        <f t="shared" si="20"/>
        <v>Non-Preferred</v>
      </c>
      <c r="G689" s="1" cm="1">
        <f t="array" ref="G689">FuzzyPercent(D689,E689,3)</f>
        <v>0.42553192377090454</v>
      </c>
      <c r="H689" t="str">
        <f t="shared" si="21"/>
        <v/>
      </c>
    </row>
    <row r="690" spans="1:8" x14ac:dyDescent="0.2">
      <c r="A690" t="s">
        <v>1361</v>
      </c>
      <c r="B690" t="s">
        <v>0</v>
      </c>
      <c r="D690" t="s">
        <v>2804</v>
      </c>
      <c r="E690" t="str" cm="1">
        <f t="array" ref="E690">IF(COUNTIF(A:A, "*" &amp; LEFT(D690, FIND(" ", D690 &amp; " ") - 1) &amp; "*") &gt; 0,INDEX(A:A,FuzzyVLookup(D690,A:A,0,,,3)),"Non-PDL")</f>
        <v>sotalol</v>
      </c>
      <c r="F690" t="str">
        <f t="shared" si="20"/>
        <v>Preferred</v>
      </c>
      <c r="G690" s="1" cm="1">
        <f t="array" ref="G690">FuzzyPercent(D690,E690,3)</f>
        <v>0.3125</v>
      </c>
      <c r="H690" t="str">
        <f t="shared" si="21"/>
        <v/>
      </c>
    </row>
    <row r="691" spans="1:8" x14ac:dyDescent="0.2">
      <c r="A691" t="s">
        <v>1363</v>
      </c>
      <c r="B691" t="s">
        <v>0</v>
      </c>
      <c r="D691" t="s">
        <v>2805</v>
      </c>
      <c r="E691" t="str" cm="1">
        <f t="array" ref="E691">IF(COUNTIF(A:A, "*" &amp; LEFT(D691, FIND(" ", D691 &amp; " ") - 1) &amp; "*") &gt; 0,INDEX(A:A,FuzzyVLookup(D691,A:A,0,,,3)),"Non-PDL")</f>
        <v>TALZENNA (talazoparib)</v>
      </c>
      <c r="F691" t="str">
        <f t="shared" si="20"/>
        <v>Non-Preferred</v>
      </c>
      <c r="G691" s="1" cm="1">
        <f t="array" ref="G691">FuzzyPercent(D691,E691,3)</f>
        <v>0.42553192377090454</v>
      </c>
      <c r="H691" t="str">
        <f t="shared" si="21"/>
        <v/>
      </c>
    </row>
    <row r="692" spans="1:8" x14ac:dyDescent="0.2">
      <c r="A692" t="s">
        <v>1365</v>
      </c>
      <c r="B692" t="s">
        <v>0</v>
      </c>
      <c r="D692" t="s">
        <v>2806</v>
      </c>
      <c r="E692" t="str" cm="1">
        <f t="array" ref="E692">IF(COUNTIF(A:A, "*" &amp; LEFT(D692, FIND(" ", D692 &amp; " ") - 1) &amp; "*") &gt; 0,INDEX(A:A,FuzzyVLookup(D692,A:A,0,,,3)),"Non-PDL")</f>
        <v>TAMIFLU (oseltamivir)</v>
      </c>
      <c r="F692" t="str">
        <f t="shared" si="20"/>
        <v>Non-Preferred</v>
      </c>
      <c r="G692" s="1" cm="1">
        <f t="array" ref="G692">FuzzyPercent(D692,E692,3)</f>
        <v>0.37209302186965942</v>
      </c>
      <c r="H692" t="str">
        <f t="shared" si="21"/>
        <v/>
      </c>
    </row>
    <row r="693" spans="1:8" x14ac:dyDescent="0.2">
      <c r="A693" t="s">
        <v>1367</v>
      </c>
      <c r="B693" t="s">
        <v>0</v>
      </c>
      <c r="D693" t="s">
        <v>2807</v>
      </c>
      <c r="E693" t="str" cm="1">
        <f t="array" ref="E693">IF(COUNTIF(A:A, "*" &amp; LEFT(D693, FIND(" ", D693 &amp; " ") - 1) &amp; "*") &gt; 0,INDEX(A:A,FuzzyVLookup(D693,A:A,0,,,3)),"Non-PDL")</f>
        <v>TARCEVA (erlotinib)</v>
      </c>
      <c r="F693" t="str">
        <f t="shared" si="20"/>
        <v>Preferred</v>
      </c>
      <c r="G693" s="1" cm="1">
        <f t="array" ref="G693">FuzzyPercent(D693,E693,3)</f>
        <v>0.42105263471603394</v>
      </c>
      <c r="H693" t="str">
        <f t="shared" si="21"/>
        <v/>
      </c>
    </row>
    <row r="694" spans="1:8" x14ac:dyDescent="0.2">
      <c r="A694" t="s">
        <v>1369</v>
      </c>
      <c r="B694" t="s">
        <v>0</v>
      </c>
      <c r="D694" t="s">
        <v>2808</v>
      </c>
      <c r="E694" t="str" cm="1">
        <f t="array" ref="E694">IF(COUNTIF(A:A, "*" &amp; LEFT(D694, FIND(" ", D694 &amp; " ") - 1) &amp; "*") &gt; 0,INDEX(A:A,FuzzyVLookup(D694,A:A,0,,,3)),"Non-PDL")</f>
        <v>Non-PDL</v>
      </c>
      <c r="F694" t="str">
        <f t="shared" si="20"/>
        <v>Non-PDL</v>
      </c>
      <c r="G694" s="1" cm="1">
        <f t="array" ref="G694">FuzzyPercent(D694,E694,3)</f>
        <v>6.25E-2</v>
      </c>
      <c r="H694" t="str">
        <f t="shared" si="21"/>
        <v/>
      </c>
    </row>
    <row r="695" spans="1:8" x14ac:dyDescent="0.2">
      <c r="A695" t="s">
        <v>1371</v>
      </c>
      <c r="B695" t="s">
        <v>0</v>
      </c>
      <c r="D695" t="s">
        <v>2809</v>
      </c>
      <c r="E695" t="str" cm="1">
        <f t="array" ref="E695">IF(COUNTIF(A:A, "*" &amp; LEFT(D695, FIND(" ", D695 &amp; " ") - 1) &amp; "*") &gt; 0,INDEX(A:A,FuzzyVLookup(D695,A:A,0,,,3)),"Non-PDL")</f>
        <v>TAVALISSE (fostamatinib)</v>
      </c>
      <c r="F695" t="str">
        <f t="shared" si="20"/>
        <v>Preferred</v>
      </c>
      <c r="G695" s="1" cm="1">
        <f t="array" ref="G695">FuzzyPercent(D695,E695,3)</f>
        <v>0.42990654706954956</v>
      </c>
      <c r="H695" t="str">
        <f t="shared" si="21"/>
        <v/>
      </c>
    </row>
    <row r="696" spans="1:8" x14ac:dyDescent="0.2">
      <c r="A696" t="s">
        <v>1373</v>
      </c>
      <c r="B696" t="s">
        <v>0</v>
      </c>
      <c r="D696" t="s">
        <v>2810</v>
      </c>
      <c r="E696" t="str" cm="1">
        <f t="array" ref="E696">IF(COUNTIF(A:A, "*" &amp; LEFT(D696, FIND(" ", D696 &amp; " ") - 1) &amp; "*") &gt; 0,INDEX(A:A,FuzzyVLookup(D696,A:A,0,,,3)),"Non-PDL")</f>
        <v>Non-PDL</v>
      </c>
      <c r="F696" t="str">
        <f t="shared" si="20"/>
        <v>Non-PDL</v>
      </c>
      <c r="G696" s="1" cm="1">
        <f t="array" ref="G696">FuzzyPercent(D696,E696,3)</f>
        <v>0</v>
      </c>
      <c r="H696" t="str">
        <f t="shared" si="21"/>
        <v/>
      </c>
    </row>
    <row r="697" spans="1:8" x14ac:dyDescent="0.2">
      <c r="A697" t="s">
        <v>1375</v>
      </c>
      <c r="B697" t="s">
        <v>0</v>
      </c>
      <c r="D697" t="s">
        <v>2811</v>
      </c>
      <c r="E697" t="str" cm="1">
        <f t="array" ref="E697">IF(COUNTIF(A:A, "*" &amp; LEFT(D697, FIND(" ", D697 &amp; " ") - 1) &amp; "*") &gt; 0,INDEX(A:A,FuzzyVLookup(D697,A:A,0,,,3)),"Non-PDL")</f>
        <v>tadalafil</v>
      </c>
      <c r="F697" t="str">
        <f t="shared" si="20"/>
        <v>Preferred</v>
      </c>
      <c r="G697" s="1" cm="1">
        <f t="array" ref="G697">FuzzyPercent(D697,E697,3)</f>
        <v>0.25581395626068115</v>
      </c>
      <c r="H697" t="str">
        <f t="shared" si="21"/>
        <v>CHECK</v>
      </c>
    </row>
    <row r="698" spans="1:8" x14ac:dyDescent="0.2">
      <c r="A698" t="s">
        <v>1377</v>
      </c>
      <c r="B698" t="s">
        <v>0</v>
      </c>
      <c r="D698" t="s">
        <v>2812</v>
      </c>
      <c r="E698" t="str" cm="1">
        <f t="array" ref="E698">IF(COUNTIF(A:A, "*" &amp; LEFT(D698, FIND(" ", D698 &amp; " ") - 1) &amp; "*") &gt; 0,INDEX(A:A,FuzzyVLookup(D698,A:A,0,,,3)),"Non-PDL")</f>
        <v>Non-PDL</v>
      </c>
      <c r="F698" t="str">
        <f t="shared" si="20"/>
        <v>Non-PDL</v>
      </c>
      <c r="G698" s="1" cm="1">
        <f t="array" ref="G698">FuzzyPercent(D698,E698,3)</f>
        <v>0</v>
      </c>
      <c r="H698" t="str">
        <f t="shared" si="21"/>
        <v/>
      </c>
    </row>
    <row r="699" spans="1:8" x14ac:dyDescent="0.2">
      <c r="A699" t="s">
        <v>1379</v>
      </c>
      <c r="B699" t="s">
        <v>0</v>
      </c>
      <c r="D699" t="s">
        <v>2813</v>
      </c>
      <c r="E699" t="str" cm="1">
        <f t="array" ref="E699">IF(COUNTIF(A:A, "*" &amp; LEFT(D699, FIND(" ", D699 &amp; " ") - 1) &amp; "*") &gt; 0,INDEX(A:A,FuzzyVLookup(D699,A:A,0,,,3)),"Non-PDL")</f>
        <v>Non-PDL</v>
      </c>
      <c r="F699" t="str">
        <f t="shared" si="20"/>
        <v>Non-PDL</v>
      </c>
      <c r="G699" s="1" cm="1">
        <f t="array" ref="G699">FuzzyPercent(D699,E699,3)</f>
        <v>0</v>
      </c>
      <c r="H699" t="str">
        <f t="shared" si="21"/>
        <v/>
      </c>
    </row>
    <row r="700" spans="1:8" x14ac:dyDescent="0.2">
      <c r="A700" t="s">
        <v>1381</v>
      </c>
      <c r="B700" t="s">
        <v>0</v>
      </c>
      <c r="D700" t="s">
        <v>2814</v>
      </c>
      <c r="E700" t="str" cm="1">
        <f t="array" ref="E700">IF(COUNTIF(A:A, "*" &amp; LEFT(D700, FIND(" ", D700 &amp; " ") - 1) &amp; "*") &gt; 0,INDEX(A:A,FuzzyVLookup(D700,A:A,0,,,3)),"Non-PDL")</f>
        <v>TECFIDERA (dimethyl fumarate)</v>
      </c>
      <c r="F700" t="str">
        <f t="shared" si="20"/>
        <v>Non-Preferred</v>
      </c>
      <c r="G700" s="1" cm="1">
        <f t="array" ref="G700">FuzzyPercent(D700,E700,3)</f>
        <v>0.65189874172210693</v>
      </c>
      <c r="H700" t="str">
        <f t="shared" si="21"/>
        <v/>
      </c>
    </row>
    <row r="701" spans="1:8" x14ac:dyDescent="0.2">
      <c r="A701" t="s">
        <v>687</v>
      </c>
      <c r="B701" t="s">
        <v>0</v>
      </c>
      <c r="D701" t="s">
        <v>2815</v>
      </c>
      <c r="E701" t="str" cm="1">
        <f t="array" ref="E701">IF(COUNTIF(A:A, "*" &amp; LEFT(D701, FIND(" ", D701 &amp; " ") - 1) &amp; "*") &gt; 0,INDEX(A:A,FuzzyVLookup(D701,A:A,0,,,3)),"Non-PDL")</f>
        <v>telmisartan</v>
      </c>
      <c r="F701" t="str">
        <f t="shared" si="20"/>
        <v>Preferred</v>
      </c>
      <c r="G701" s="1" cm="1">
        <f t="array" ref="G701">FuzzyPercent(D701,E701,3)</f>
        <v>1</v>
      </c>
      <c r="H701" t="str">
        <f t="shared" si="21"/>
        <v/>
      </c>
    </row>
    <row r="702" spans="1:8" x14ac:dyDescent="0.2">
      <c r="A702" t="s">
        <v>1384</v>
      </c>
      <c r="B702" t="s">
        <v>0</v>
      </c>
      <c r="D702" t="s">
        <v>2816</v>
      </c>
      <c r="E702" t="str" cm="1">
        <f t="array" ref="E702">IF(COUNTIF(A:A, "*" &amp; LEFT(D702, FIND(" ", D702 &amp; " ") - 1) &amp; "*") &gt; 0,INDEX(A:A,FuzzyVLookup(D702,A:A,0,,,3)),"Non-PDL")</f>
        <v>Non-PDL</v>
      </c>
      <c r="F702" t="str">
        <f t="shared" si="20"/>
        <v>Non-PDL</v>
      </c>
      <c r="G702" s="1" cm="1">
        <f t="array" ref="G702">FuzzyPercent(D702,E702,3)</f>
        <v>6.25E-2</v>
      </c>
      <c r="H702" t="str">
        <f t="shared" si="21"/>
        <v/>
      </c>
    </row>
    <row r="703" spans="1:8" x14ac:dyDescent="0.2">
      <c r="A703" t="s">
        <v>1386</v>
      </c>
      <c r="B703" t="s">
        <v>0</v>
      </c>
      <c r="D703" t="s">
        <v>2817</v>
      </c>
      <c r="E703" t="str" cm="1">
        <f t="array" ref="E703">IF(COUNTIF(A:A, "*" &amp; LEFT(D703, FIND(" ", D703 &amp; " ") - 1) &amp; "*") &gt; 0,INDEX(A:A,FuzzyVLookup(D703,A:A,0,,,3)),"Non-PDL")</f>
        <v>teriflunomide</v>
      </c>
      <c r="F703" t="str">
        <f t="shared" si="20"/>
        <v>Preferred</v>
      </c>
      <c r="G703" s="1" cm="1">
        <f t="array" ref="G703">FuzzyPercent(D703,E703,3)</f>
        <v>1</v>
      </c>
      <c r="H703" t="str">
        <f t="shared" si="21"/>
        <v/>
      </c>
    </row>
    <row r="704" spans="1:8" x14ac:dyDescent="0.2">
      <c r="A704" t="s">
        <v>1388</v>
      </c>
      <c r="B704" t="s">
        <v>0</v>
      </c>
      <c r="D704" t="s">
        <v>2818</v>
      </c>
      <c r="E704" t="str" cm="1">
        <f t="array" ref="E704">IF(COUNTIF(A:A, "*" &amp; LEFT(D704, FIND(" ", D704 &amp; " ") - 1) &amp; "*") &gt; 0,INDEX(A:A,FuzzyVLookup(D704,A:A,0,,,3)),"Non-PDL")</f>
        <v>teriparatide</v>
      </c>
      <c r="F704" t="str">
        <f t="shared" si="20"/>
        <v>Non-Preferred</v>
      </c>
      <c r="G704" s="1" cm="1">
        <f t="array" ref="G704">FuzzyPercent(D704,E704,3)</f>
        <v>1</v>
      </c>
      <c r="H704" t="str">
        <f t="shared" si="21"/>
        <v/>
      </c>
    </row>
    <row r="705" spans="1:8" x14ac:dyDescent="0.2">
      <c r="A705" t="s">
        <v>1390</v>
      </c>
      <c r="B705" t="s">
        <v>0</v>
      </c>
      <c r="D705" t="s">
        <v>2819</v>
      </c>
      <c r="E705" t="str" cm="1">
        <f t="array" ref="E705">IF(COUNTIF(A:A, "*" &amp; LEFT(D705, FIND(" ", D705 &amp; " ") - 1) &amp; "*") &gt; 0,INDEX(A:A,FuzzyVLookup(D705,A:A,0,,,3)),"Non-PDL")</f>
        <v>tetrabenazine</v>
      </c>
      <c r="F705" t="str">
        <f t="shared" si="20"/>
        <v>Preferred</v>
      </c>
      <c r="G705" s="1" cm="1">
        <f t="array" ref="G705">FuzzyPercent(D705,E705,3)</f>
        <v>1</v>
      </c>
      <c r="H705" t="str">
        <f t="shared" si="21"/>
        <v/>
      </c>
    </row>
    <row r="706" spans="1:8" x14ac:dyDescent="0.2">
      <c r="A706" t="s">
        <v>1392</v>
      </c>
      <c r="B706" t="s">
        <v>0</v>
      </c>
      <c r="D706" t="s">
        <v>2820</v>
      </c>
      <c r="E706" t="str" cm="1">
        <f t="array" ref="E706">IF(COUNTIF(A:A, "*" &amp; LEFT(D706, FIND(" ", D706 &amp; " ") - 1) &amp; "*") &gt; 0,INDEX(A:A,FuzzyVLookup(D706,A:A,0,,,3)),"Non-PDL")</f>
        <v>TEZSPIRE (tezepelumab-ekko)</v>
      </c>
      <c r="F706" t="str">
        <f t="shared" si="20"/>
        <v>Non-Preferred</v>
      </c>
      <c r="G706" s="1" cm="1">
        <f t="array" ref="G706">FuzzyPercent(D706,E706,3)</f>
        <v>0.34782609343528748</v>
      </c>
      <c r="H706" t="str">
        <f t="shared" si="21"/>
        <v/>
      </c>
    </row>
    <row r="707" spans="1:8" x14ac:dyDescent="0.2">
      <c r="A707" t="s">
        <v>1394</v>
      </c>
      <c r="B707" t="s">
        <v>0</v>
      </c>
      <c r="D707" t="s">
        <v>2821</v>
      </c>
      <c r="E707" t="str" cm="1">
        <f t="array" ref="E707">IF(COUNTIF(A:A, "*" &amp; LEFT(D707, FIND(" ", D707 &amp; " ") - 1) &amp; "*") &gt; 0,INDEX(A:A,FuzzyVLookup(D707,A:A,0,,,3)),"Non-PDL")</f>
        <v>Non-PDL</v>
      </c>
      <c r="F707" t="str">
        <f t="shared" ref="F707:F770" si="22">_xlfn.IFNA(_xlfn.XLOOKUP(E707,A:A,B:B),"Non-PDL")</f>
        <v>Non-PDL</v>
      </c>
      <c r="G707" s="1" cm="1">
        <f t="array" ref="G707">FuzzyPercent(D707,E707,3)</f>
        <v>2.7027027681469917E-2</v>
      </c>
      <c r="H707" t="str">
        <f t="shared" ref="H707:H770" si="23">IF(F707="Non-PDL","",IF(G707&lt;0.3,"CHECK",""))</f>
        <v/>
      </c>
    </row>
    <row r="708" spans="1:8" x14ac:dyDescent="0.2">
      <c r="A708" t="s">
        <v>1396</v>
      </c>
      <c r="B708" t="s">
        <v>0</v>
      </c>
      <c r="D708" t="s">
        <v>2822</v>
      </c>
      <c r="E708" t="str" cm="1">
        <f t="array" ref="E708">IF(COUNTIF(A:A, "*" &amp; LEFT(D708, FIND(" ", D708 &amp; " ") - 1) &amp; "*") &gt; 0,INDEX(A:A,FuzzyVLookup(D708,A:A,0,,,3)),"Non-PDL")</f>
        <v>Non-PDL</v>
      </c>
      <c r="F708" t="str">
        <f t="shared" si="22"/>
        <v>Non-PDL</v>
      </c>
      <c r="G708" s="1" cm="1">
        <f t="array" ref="G708">FuzzyPercent(D708,E708,3)</f>
        <v>3.3333335071802139E-2</v>
      </c>
      <c r="H708" t="str">
        <f t="shared" si="23"/>
        <v/>
      </c>
    </row>
    <row r="709" spans="1:8" x14ac:dyDescent="0.2">
      <c r="A709" t="s">
        <v>1398</v>
      </c>
      <c r="B709" t="s">
        <v>0</v>
      </c>
      <c r="D709" t="s">
        <v>2823</v>
      </c>
      <c r="E709" t="str" cm="1">
        <f t="array" ref="E709">IF(COUNTIF(A:A, "*" &amp; LEFT(D709, FIND(" ", D709 &amp; " ") - 1) &amp; "*") &gt; 0,INDEX(A:A,FuzzyVLookup(D709,A:A,0,,,3)),"Non-PDL")</f>
        <v>Non-PDL</v>
      </c>
      <c r="F709" t="str">
        <f t="shared" si="22"/>
        <v>Non-PDL</v>
      </c>
      <c r="G709" s="1" cm="1">
        <f t="array" ref="G709">FuzzyPercent(D709,E709,3)</f>
        <v>0</v>
      </c>
      <c r="H709" t="str">
        <f t="shared" si="23"/>
        <v/>
      </c>
    </row>
    <row r="710" spans="1:8" x14ac:dyDescent="0.2">
      <c r="A710" t="s">
        <v>1400</v>
      </c>
      <c r="B710" t="s">
        <v>0</v>
      </c>
      <c r="D710" t="s">
        <v>2824</v>
      </c>
      <c r="E710" t="str" cm="1">
        <f t="array" ref="E710">IF(COUNTIF(A:A, "*" &amp; LEFT(D710, FIND(" ", D710 &amp; " ") - 1) &amp; "*") &gt; 0,INDEX(A:A,FuzzyVLookup(D710,A:A,0,,,3)),"Non-PDL")</f>
        <v>TOBI PODHALER (tobramycin)</v>
      </c>
      <c r="F710" t="str">
        <f t="shared" si="22"/>
        <v>Non-Preferred</v>
      </c>
      <c r="G710" s="1" cm="1">
        <f t="array" ref="G710">FuzzyPercent(D710,E710,3)</f>
        <v>0.578125</v>
      </c>
      <c r="H710" t="str">
        <f t="shared" si="23"/>
        <v/>
      </c>
    </row>
    <row r="711" spans="1:8" x14ac:dyDescent="0.2">
      <c r="A711" t="s">
        <v>1402</v>
      </c>
      <c r="B711" t="s">
        <v>0</v>
      </c>
      <c r="D711" t="s">
        <v>2825</v>
      </c>
      <c r="E711" t="str" cm="1">
        <f t="array" ref="E711">IF(COUNTIF(A:A, "*" &amp; LEFT(D711, FIND(" ", D711 &amp; " ") - 1) &amp; "*") &gt; 0,INDEX(A:A,FuzzyVLookup(D711,A:A,0,,,3)),"Non-PDL")</f>
        <v>tobramycin</v>
      </c>
      <c r="F711" t="str">
        <f t="shared" si="22"/>
        <v>Preferred</v>
      </c>
      <c r="G711" s="1" cm="1">
        <f t="array" ref="G711">FuzzyPercent(D711,E711,3)</f>
        <v>0.28571429848670959</v>
      </c>
      <c r="H711" t="str">
        <f t="shared" si="23"/>
        <v>CHECK</v>
      </c>
    </row>
    <row r="712" spans="1:8" x14ac:dyDescent="0.2">
      <c r="A712" t="s">
        <v>1404</v>
      </c>
      <c r="B712" t="s">
        <v>0</v>
      </c>
      <c r="D712" t="s">
        <v>2826</v>
      </c>
      <c r="E712" t="str" cm="1">
        <f t="array" ref="E712">IF(COUNTIF(A:A, "*" &amp; LEFT(D712, FIND(" ", D712 &amp; " ") - 1) &amp; "*") &gt; 0,INDEX(A:A,FuzzyVLookup(D712,A:A,0,,,3)),"Non-PDL")</f>
        <v>TOBRADEX ST (tobramycin/dexamethasone)</v>
      </c>
      <c r="F712" t="str">
        <f t="shared" si="22"/>
        <v>Non-Preferred</v>
      </c>
      <c r="G712" s="1" cm="1">
        <f t="array" ref="G712">FuzzyPercent(D712,E712,3)</f>
        <v>0.29739776253700256</v>
      </c>
      <c r="H712" t="str">
        <f t="shared" si="23"/>
        <v>CHECK</v>
      </c>
    </row>
    <row r="713" spans="1:8" x14ac:dyDescent="0.2">
      <c r="A713" t="s">
        <v>1406</v>
      </c>
      <c r="B713" t="s">
        <v>0</v>
      </c>
      <c r="D713" t="s">
        <v>2827</v>
      </c>
      <c r="E713" t="str" cm="1">
        <f t="array" ref="E713">IF(COUNTIF(A:A, "*" &amp; LEFT(D713, FIND(" ", D713 &amp; " ") - 1) &amp; "*") &gt; 0,INDEX(A:A,FuzzyVLookup(D713,A:A,0,,,3)),"Non-PDL")</f>
        <v>tobramycin</v>
      </c>
      <c r="F713" t="str">
        <f t="shared" si="22"/>
        <v>Preferred</v>
      </c>
      <c r="G713" s="1" cm="1">
        <f t="array" ref="G713">FuzzyPercent(D713,E713,3)</f>
        <v>1</v>
      </c>
      <c r="H713" t="str">
        <f t="shared" si="23"/>
        <v/>
      </c>
    </row>
    <row r="714" spans="1:8" x14ac:dyDescent="0.2">
      <c r="A714" t="s">
        <v>1408</v>
      </c>
      <c r="B714" t="s">
        <v>0</v>
      </c>
      <c r="D714" t="s">
        <v>2828</v>
      </c>
      <c r="E714" t="str" cm="1">
        <f t="array" ref="E714">IF(COUNTIF(A:A, "*" &amp; LEFT(D714, FIND(" ", D714 &amp; " ") - 1) &amp; "*") &gt; 0,INDEX(A:A,FuzzyVLookup(D714,A:A,0,,,3)),"Non-PDL")</f>
        <v>topiramate sprinkle</v>
      </c>
      <c r="F714" t="str">
        <f t="shared" si="22"/>
        <v>Preferred</v>
      </c>
      <c r="G714" s="1" cm="1">
        <f t="array" ref="G714">FuzzyPercent(D714,E714,3)</f>
        <v>0.41818180680274963</v>
      </c>
      <c r="H714" t="str">
        <f t="shared" si="23"/>
        <v/>
      </c>
    </row>
    <row r="715" spans="1:8" x14ac:dyDescent="0.2">
      <c r="A715" t="s">
        <v>1410</v>
      </c>
      <c r="B715" t="s">
        <v>0</v>
      </c>
      <c r="D715" t="s">
        <v>2829</v>
      </c>
      <c r="E715" t="str" cm="1">
        <f t="array" ref="E715">IF(COUNTIF(A:A, "*" &amp; LEFT(D715, FIND(" ", D715 &amp; " ") - 1) &amp; "*") &gt; 0,INDEX(A:A,FuzzyVLookup(D715,A:A,0,,,3)),"Non-PDL")</f>
        <v>topiramate</v>
      </c>
      <c r="F715" t="str">
        <f t="shared" si="22"/>
        <v>Preferred</v>
      </c>
      <c r="G715" s="1" cm="1">
        <f t="array" ref="G715">FuzzyPercent(D715,E715,3)</f>
        <v>1</v>
      </c>
      <c r="H715" t="str">
        <f t="shared" si="23"/>
        <v/>
      </c>
    </row>
    <row r="716" spans="1:8" x14ac:dyDescent="0.2">
      <c r="A716" t="s">
        <v>1412</v>
      </c>
      <c r="B716" t="s">
        <v>0</v>
      </c>
      <c r="D716" t="s">
        <v>2830</v>
      </c>
      <c r="E716" t="str" cm="1">
        <f t="array" ref="E716">IF(COUNTIF(A:A, "*" &amp; LEFT(D716, FIND(" ", D716 &amp; " ") - 1) &amp; "*") &gt; 0,INDEX(A:A,FuzzyVLookup(D716,A:A,0,,,3)),"Non-PDL")</f>
        <v>Non-PDL</v>
      </c>
      <c r="F716" t="str">
        <f t="shared" si="22"/>
        <v>Non-PDL</v>
      </c>
      <c r="G716" s="1" cm="1">
        <f t="array" ref="G716">FuzzyPercent(D716,E716,3)</f>
        <v>8.6956523358821869E-2</v>
      </c>
      <c r="H716" t="str">
        <f t="shared" si="23"/>
        <v/>
      </c>
    </row>
    <row r="717" spans="1:8" x14ac:dyDescent="0.2">
      <c r="A717" t="s">
        <v>1414</v>
      </c>
      <c r="B717" t="s">
        <v>0</v>
      </c>
      <c r="D717" t="s">
        <v>2831</v>
      </c>
      <c r="E717" t="str" cm="1">
        <f t="array" ref="E717">IF(COUNTIF(A:A, "*" &amp; LEFT(D717, FIND(" ", D717 &amp; " ") - 1) &amp; "*") &gt; 0,INDEX(A:A,FuzzyVLookup(D717,A:A,0,,,3)),"Non-PDL")</f>
        <v>TOUJEO MAX (insulin glargine)</v>
      </c>
      <c r="F717" t="str">
        <f t="shared" si="22"/>
        <v>Preferred</v>
      </c>
      <c r="G717" s="1" cm="1">
        <f t="array" ref="G717">FuzzyPercent(D717,E717,3)</f>
        <v>0.39263802766799927</v>
      </c>
      <c r="H717" t="str">
        <f t="shared" si="23"/>
        <v/>
      </c>
    </row>
    <row r="718" spans="1:8" x14ac:dyDescent="0.2">
      <c r="A718" t="s">
        <v>1416</v>
      </c>
      <c r="B718" t="s">
        <v>0</v>
      </c>
      <c r="D718" t="s">
        <v>2832</v>
      </c>
      <c r="E718" t="str" cm="1">
        <f t="array" ref="E718">IF(COUNTIF(A:A, "*" &amp; LEFT(D718, FIND(" ", D718 &amp; " ") - 1) &amp; "*") &gt; 0,INDEX(A:A,FuzzyVLookup(D718,A:A,0,,,3)),"Non-PDL")</f>
        <v>TOUJEO (insulin glargine)</v>
      </c>
      <c r="F718" t="str">
        <f t="shared" si="22"/>
        <v>Preferred</v>
      </c>
      <c r="G718" s="1" cm="1">
        <f t="array" ref="G718">FuzzyPercent(D718,E718,3)</f>
        <v>0.28787878155708313</v>
      </c>
      <c r="H718" t="str">
        <f t="shared" si="23"/>
        <v>CHECK</v>
      </c>
    </row>
    <row r="719" spans="1:8" x14ac:dyDescent="0.2">
      <c r="A719" t="s">
        <v>1418</v>
      </c>
      <c r="B719" t="s">
        <v>0</v>
      </c>
      <c r="D719" t="s">
        <v>2833</v>
      </c>
      <c r="E719" t="str" cm="1">
        <f t="array" ref="E719">IF(COUNTIF(A:A, "*" &amp; LEFT(D719, FIND(" ", D719 &amp; " ") - 1) &amp; "*") &gt; 0,INDEX(A:A,FuzzyVLookup(D719,A:A,0,,,3)),"Non-PDL")</f>
        <v>TRACLEER (bosentan)</v>
      </c>
      <c r="F719" t="str">
        <f t="shared" si="22"/>
        <v>Non-Preferred</v>
      </c>
      <c r="G719" s="1" cm="1">
        <f t="array" ref="G719">FuzzyPercent(D719,E719,3)</f>
        <v>0.5</v>
      </c>
      <c r="H719" t="str">
        <f t="shared" si="23"/>
        <v/>
      </c>
    </row>
    <row r="720" spans="1:8" x14ac:dyDescent="0.2">
      <c r="A720" t="s">
        <v>1420</v>
      </c>
      <c r="B720" t="s">
        <v>0</v>
      </c>
      <c r="D720" t="s">
        <v>2834</v>
      </c>
      <c r="E720" t="str" cm="1">
        <f t="array" ref="E720">IF(COUNTIF(A:A, "*" &amp; LEFT(D720, FIND(" ", D720 &amp; " ") - 1) &amp; "*") &gt; 0,INDEX(A:A,FuzzyVLookup(D720,A:A,0,,,3)),"Non-PDL")</f>
        <v>TRILEPTAL (oxcarbazepine) suspension</v>
      </c>
      <c r="F720" t="str">
        <f t="shared" si="22"/>
        <v>Preferred</v>
      </c>
      <c r="G720" s="1" cm="1">
        <f t="array" ref="G720">FuzzyPercent(D720,E720,3)</f>
        <v>0.21033211052417755</v>
      </c>
      <c r="H720" t="str">
        <f t="shared" si="23"/>
        <v>CHECK</v>
      </c>
    </row>
    <row r="721" spans="1:8" x14ac:dyDescent="0.2">
      <c r="A721" t="s">
        <v>1422</v>
      </c>
      <c r="B721" t="s">
        <v>0</v>
      </c>
      <c r="D721" t="s">
        <v>2835</v>
      </c>
      <c r="E721" t="str" cm="1">
        <f t="array" ref="E721">IF(COUNTIF(A:A, "*" &amp; LEFT(D721, FIND(" ", D721 &amp; " ") - 1) &amp; "*") &gt; 0,INDEX(A:A,FuzzyVLookup(D721,A:A,0,,,3)),"Non-PDL")</f>
        <v>trandolapril</v>
      </c>
      <c r="F721" t="str">
        <f t="shared" si="22"/>
        <v>Preferred</v>
      </c>
      <c r="G721" s="1" cm="1">
        <f t="array" ref="G721">FuzzyPercent(D721,E721,3)</f>
        <v>1</v>
      </c>
      <c r="H721" t="str">
        <f t="shared" si="23"/>
        <v/>
      </c>
    </row>
    <row r="722" spans="1:8" x14ac:dyDescent="0.2">
      <c r="A722" t="s">
        <v>1424</v>
      </c>
      <c r="B722" t="s">
        <v>0</v>
      </c>
      <c r="D722" t="s">
        <v>2836</v>
      </c>
      <c r="E722" t="str" cm="1">
        <f t="array" ref="E722">IF(COUNTIF(A:A, "*" &amp; LEFT(D722, FIND(" ", D722 &amp; " ") - 1) &amp; "*") &gt; 0,INDEX(A:A,FuzzyVLookup(D722,A:A,0,,,3)),"Non-PDL")</f>
        <v>TRELEGY ELLIPTA (fluticasone/umeclidinium/vilanterol)</v>
      </c>
      <c r="F722" t="str">
        <f t="shared" si="22"/>
        <v>Preferred</v>
      </c>
      <c r="G722" s="1" cm="1">
        <f t="array" ref="G722">FuzzyPercent(D722,E722,3)</f>
        <v>0.34090909361839294</v>
      </c>
      <c r="H722" t="str">
        <f t="shared" si="23"/>
        <v/>
      </c>
    </row>
    <row r="723" spans="1:8" x14ac:dyDescent="0.2">
      <c r="A723" t="s">
        <v>1426</v>
      </c>
      <c r="B723" t="s">
        <v>0</v>
      </c>
      <c r="D723" t="s">
        <v>2837</v>
      </c>
      <c r="E723" t="str" cm="1">
        <f t="array" ref="E723">IF(COUNTIF(A:A, "*" &amp; LEFT(D723, FIND(" ", D723 &amp; " ") - 1) &amp; "*") &gt; 0,INDEX(A:A,FuzzyVLookup(D723,A:A,0,,,3)),"Non-PDL")</f>
        <v>TRESIBA (insulin degludec)</v>
      </c>
      <c r="F723" t="str">
        <f t="shared" si="22"/>
        <v>Non-Preferred</v>
      </c>
      <c r="G723" s="1" cm="1">
        <f t="array" ref="G723">FuzzyPercent(D723,E723,3)</f>
        <v>0.341269850730896</v>
      </c>
      <c r="H723" t="str">
        <f t="shared" si="23"/>
        <v/>
      </c>
    </row>
    <row r="724" spans="1:8" x14ac:dyDescent="0.2">
      <c r="A724" t="s">
        <v>1428</v>
      </c>
      <c r="B724" t="s">
        <v>0</v>
      </c>
      <c r="D724" t="s">
        <v>2838</v>
      </c>
      <c r="E724" t="str" cm="1">
        <f t="array" ref="E724">IF(COUNTIF(A:A, "*" &amp; LEFT(D724, FIND(" ", D724 &amp; " ") - 1) &amp; "*") &gt; 0,INDEX(A:A,FuzzyVLookup(D724,A:A,0,,,3)),"Non-PDL")</f>
        <v>TRESIBA (insulin degludec)</v>
      </c>
      <c r="F724" t="str">
        <f t="shared" si="22"/>
        <v>Non-Preferred</v>
      </c>
      <c r="G724" s="1" cm="1">
        <f t="array" ref="G724">FuzzyPercent(D724,E724,3)</f>
        <v>0.24571429193019867</v>
      </c>
      <c r="H724" t="str">
        <f t="shared" si="23"/>
        <v>CHECK</v>
      </c>
    </row>
    <row r="725" spans="1:8" x14ac:dyDescent="0.2">
      <c r="A725" t="s">
        <v>1430</v>
      </c>
      <c r="B725" t="s">
        <v>0</v>
      </c>
      <c r="D725" t="s">
        <v>2839</v>
      </c>
      <c r="E725" t="str" cm="1">
        <f t="array" ref="E725">IF(COUNTIF(A:A, "*" &amp; LEFT(D725, FIND(" ", D725 &amp; " ") - 1) &amp; "*") &gt; 0,INDEX(A:A,FuzzyVLookup(D725,A:A,0,,,3)),"Non-PDL")</f>
        <v>TRESIBA (insulin degludec)</v>
      </c>
      <c r="F725" t="str">
        <f t="shared" si="22"/>
        <v>Non-Preferred</v>
      </c>
      <c r="G725" s="1" cm="1">
        <f t="array" ref="G725">FuzzyPercent(D725,E725,3)</f>
        <v>0.24571429193019867</v>
      </c>
      <c r="H725" t="str">
        <f t="shared" si="23"/>
        <v>CHECK</v>
      </c>
    </row>
    <row r="726" spans="1:8" x14ac:dyDescent="0.2">
      <c r="A726" t="s">
        <v>1432</v>
      </c>
      <c r="B726" t="s">
        <v>0</v>
      </c>
      <c r="D726" t="s">
        <v>2840</v>
      </c>
      <c r="E726" t="str" cm="1">
        <f t="array" ref="E726">IF(COUNTIF(A:A, "*" &amp; LEFT(D726, FIND(" ", D726 &amp; " ") - 1) &amp; "*") &gt; 0,INDEX(A:A,FuzzyVLookup(D726,A:A,0,,,3)),"Non-PDL")</f>
        <v>TRETTEN (factor XIII)</v>
      </c>
      <c r="F726" t="str">
        <f t="shared" si="22"/>
        <v>Non-Preferred</v>
      </c>
      <c r="G726" s="1" cm="1">
        <f t="array" ref="G726">FuzzyPercent(D726,E726,3)</f>
        <v>0.37209302186965942</v>
      </c>
      <c r="H726" t="str">
        <f t="shared" si="23"/>
        <v/>
      </c>
    </row>
    <row r="727" spans="1:8" x14ac:dyDescent="0.2">
      <c r="A727" t="s">
        <v>1434</v>
      </c>
      <c r="B727" t="s">
        <v>0</v>
      </c>
      <c r="D727" t="s">
        <v>2841</v>
      </c>
      <c r="E727" t="str" cm="1">
        <f t="array" ref="E727">IF(COUNTIF(A:A, "*" &amp; LEFT(D727, FIND(" ", D727 &amp; " ") - 1) &amp; "*") &gt; 0,INDEX(A:A,FuzzyVLookup(D727,A:A,0,,,3)),"Non-PDL")</f>
        <v>TRINTELLIX (vortioxetine)</v>
      </c>
      <c r="F727" t="str">
        <f t="shared" si="22"/>
        <v>Preferred</v>
      </c>
      <c r="G727" s="1" cm="1">
        <f t="array" ref="G727">FuzzyPercent(D727,E727,3)</f>
        <v>0.47368422150611877</v>
      </c>
      <c r="H727" t="str">
        <f t="shared" si="23"/>
        <v/>
      </c>
    </row>
    <row r="728" spans="1:8" x14ac:dyDescent="0.2">
      <c r="A728" t="s">
        <v>1436</v>
      </c>
      <c r="B728" t="s">
        <v>0</v>
      </c>
      <c r="D728" t="s">
        <v>2842</v>
      </c>
      <c r="E728" t="str" cm="1">
        <f t="array" ref="E728">IF(COUNTIF(A:A, "*" &amp; LEFT(D728, FIND(" ", D728 &amp; " ") - 1) &amp; "*") &gt; 0,INDEX(A:A,FuzzyVLookup(D728,A:A,0,,,3)),"Non-PDL")</f>
        <v>Non-PDL</v>
      </c>
      <c r="F728" t="str">
        <f t="shared" si="22"/>
        <v>Non-PDL</v>
      </c>
      <c r="G728" s="1" cm="1">
        <f t="array" ref="G728">FuzzyPercent(D728,E728,3)</f>
        <v>4.3478261679410934E-2</v>
      </c>
      <c r="H728" t="str">
        <f t="shared" si="23"/>
        <v/>
      </c>
    </row>
    <row r="729" spans="1:8" x14ac:dyDescent="0.2">
      <c r="A729" t="s">
        <v>1438</v>
      </c>
      <c r="B729" t="s">
        <v>0</v>
      </c>
      <c r="D729" t="s">
        <v>2843</v>
      </c>
      <c r="E729" t="str" cm="1">
        <f t="array" ref="E729">IF(COUNTIF(A:A, "*" &amp; LEFT(D729, FIND(" ", D729 &amp; " ") - 1) &amp; "*") &gt; 0,INDEX(A:A,FuzzyVLookup(D729,A:A,0,,,3)),"Non-PDL")</f>
        <v>TRICARE</v>
      </c>
      <c r="F729" t="str">
        <f t="shared" si="22"/>
        <v>Preferred</v>
      </c>
      <c r="G729" s="1" cm="1">
        <f t="array" ref="G729">FuzzyPercent(D729,E729,3)</f>
        <v>0.375</v>
      </c>
      <c r="H729" t="str">
        <f t="shared" si="23"/>
        <v/>
      </c>
    </row>
    <row r="730" spans="1:8" x14ac:dyDescent="0.2">
      <c r="A730" t="s">
        <v>1440</v>
      </c>
      <c r="B730" t="s">
        <v>0</v>
      </c>
      <c r="D730" t="s">
        <v>2844</v>
      </c>
      <c r="E730" t="str" cm="1">
        <f t="array" ref="E730">IF(COUNTIF(A:A, "*" &amp; LEFT(D730, FIND(" ", D730 &amp; " ") - 1) &amp; "*") &gt; 0,INDEX(A:A,FuzzyVLookup(D730,A:A,0,,,3)),"Non-PDL")</f>
        <v>Non-PDL</v>
      </c>
      <c r="F730" t="str">
        <f t="shared" si="22"/>
        <v>Non-PDL</v>
      </c>
      <c r="G730" s="1" cm="1">
        <f t="array" ref="G730">FuzzyPercent(D730,E730,3)</f>
        <v>5.000000074505806E-2</v>
      </c>
      <c r="H730" t="str">
        <f t="shared" si="23"/>
        <v/>
      </c>
    </row>
    <row r="731" spans="1:8" x14ac:dyDescent="0.2">
      <c r="A731" t="s">
        <v>1442</v>
      </c>
      <c r="B731" t="s">
        <v>0</v>
      </c>
      <c r="D731" t="s">
        <v>2845</v>
      </c>
      <c r="E731" t="str" cm="1">
        <f t="array" ref="E731">IF(COUNTIF(A:A, "*" &amp; LEFT(D731, FIND(" ", D731 &amp; " ") - 1) &amp; "*") &gt; 0,INDEX(A:A,FuzzyVLookup(D731,A:A,0,,,3)),"Non-PDL")</f>
        <v>TROKENDI XR (topiramate)</v>
      </c>
      <c r="F731" t="str">
        <f t="shared" si="22"/>
        <v>Non-Preferred</v>
      </c>
      <c r="G731" s="1" cm="1">
        <f t="array" ref="G731">FuzzyPercent(D731,E731,3)</f>
        <v>0.45569619536399841</v>
      </c>
      <c r="H731" t="str">
        <f t="shared" si="23"/>
        <v/>
      </c>
    </row>
    <row r="732" spans="1:8" x14ac:dyDescent="0.2">
      <c r="A732" t="s">
        <v>1444</v>
      </c>
      <c r="B732" t="s">
        <v>0</v>
      </c>
      <c r="D732" t="s">
        <v>2846</v>
      </c>
      <c r="E732" t="str" cm="1">
        <f t="array" ref="E732">IF(COUNTIF(A:A, "*" &amp; LEFT(D732, FIND(" ", D732 &amp; " ") - 1) &amp; "*") &gt; 0,INDEX(A:A,FuzzyVLookup(D732,A:A,0,,,3)),"Non-PDL")</f>
        <v>Non-PDL</v>
      </c>
      <c r="F732" t="str">
        <f t="shared" si="22"/>
        <v>Non-PDL</v>
      </c>
      <c r="G732" s="1" cm="1">
        <f t="array" ref="G732">FuzzyPercent(D732,E732,3)</f>
        <v>5.000000074505806E-2</v>
      </c>
      <c r="H732" t="str">
        <f t="shared" si="23"/>
        <v/>
      </c>
    </row>
    <row r="733" spans="1:8" x14ac:dyDescent="0.2">
      <c r="A733" t="s">
        <v>1446</v>
      </c>
      <c r="B733" t="s">
        <v>0</v>
      </c>
      <c r="D733" t="s">
        <v>2847</v>
      </c>
      <c r="E733" t="str" cm="1">
        <f t="array" ref="E733">IF(COUNTIF(A:A, "*" &amp; LEFT(D733, FIND(" ", D733 &amp; " ") - 1) &amp; "*") &gt; 0,INDEX(A:A,FuzzyVLookup(D733,A:A,0,,,3)),"Non-PDL")</f>
        <v>TRULICITY (dulaglutide)</v>
      </c>
      <c r="F733" t="str">
        <f t="shared" si="22"/>
        <v>Preferred</v>
      </c>
      <c r="G733" s="1" cm="1">
        <f t="array" ref="G733">FuzzyPercent(D733,E733,3)</f>
        <v>0.46464645862579346</v>
      </c>
      <c r="H733" t="str">
        <f t="shared" si="23"/>
        <v/>
      </c>
    </row>
    <row r="734" spans="1:8" x14ac:dyDescent="0.2">
      <c r="A734" t="s">
        <v>1448</v>
      </c>
      <c r="B734" t="s">
        <v>0</v>
      </c>
      <c r="D734" t="s">
        <v>2848</v>
      </c>
      <c r="E734" t="str" cm="1">
        <f t="array" ref="E734">IF(COUNTIF(A:A, "*" &amp; LEFT(D734, FIND(" ", D734 &amp; " ") - 1) &amp; "*") &gt; 0,INDEX(A:A,FuzzyVLookup(D734,A:A,0,,,3)),"Non-PDL")</f>
        <v>TRUQAP (capivasertib)</v>
      </c>
      <c r="F734" t="str">
        <f t="shared" si="22"/>
        <v>Non-Preferred</v>
      </c>
      <c r="G734" s="1" cm="1">
        <f t="array" ref="G734">FuzzyPercent(D734,E734,3)</f>
        <v>0.3333333432674408</v>
      </c>
      <c r="H734" t="str">
        <f t="shared" si="23"/>
        <v/>
      </c>
    </row>
    <row r="735" spans="1:8" x14ac:dyDescent="0.2">
      <c r="A735" t="s">
        <v>1450</v>
      </c>
      <c r="B735" t="s">
        <v>0</v>
      </c>
      <c r="D735" t="s">
        <v>2849</v>
      </c>
      <c r="E735" t="str" cm="1">
        <f t="array" ref="E735">IF(COUNTIF(A:A, "*" &amp; LEFT(D735, FIND(" ", D735 &amp; " ") - 1) &amp; "*") &gt; 0,INDEX(A:A,FuzzyVLookup(D735,A:A,0,,,3)),"Non-PDL")</f>
        <v>tramadol ER</v>
      </c>
      <c r="F735" t="str">
        <f t="shared" si="22"/>
        <v>Non-Preferred</v>
      </c>
      <c r="G735" s="1" cm="1">
        <f t="array" ref="G735">FuzzyPercent(D735,E735,3)</f>
        <v>0.26666668057441711</v>
      </c>
      <c r="H735" t="str">
        <f t="shared" si="23"/>
        <v>CHECK</v>
      </c>
    </row>
    <row r="736" spans="1:8" x14ac:dyDescent="0.2">
      <c r="A736" t="s">
        <v>1452</v>
      </c>
      <c r="B736" t="s">
        <v>0</v>
      </c>
      <c r="D736" t="s">
        <v>2850</v>
      </c>
      <c r="E736" t="str" cm="1">
        <f t="array" ref="E736">IF(COUNTIF(A:A, "*" &amp; LEFT(D736, FIND(" ", D736 &amp; " ") - 1) &amp; "*") &gt; 0,INDEX(A:A,FuzzyVLookup(D736,A:A,0,,,3)),"Non-PDL")</f>
        <v>Non-PDL</v>
      </c>
      <c r="F736" t="str">
        <f t="shared" si="22"/>
        <v>Non-PDL</v>
      </c>
      <c r="G736" s="1" cm="1">
        <f t="array" ref="G736">FuzzyPercent(D736,E736,3)</f>
        <v>0</v>
      </c>
      <c r="H736" t="str">
        <f t="shared" si="23"/>
        <v/>
      </c>
    </row>
    <row r="737" spans="1:8" x14ac:dyDescent="0.2">
      <c r="A737" t="s">
        <v>1454</v>
      </c>
      <c r="B737" t="s">
        <v>0</v>
      </c>
      <c r="D737" t="s">
        <v>2851</v>
      </c>
      <c r="E737" t="str" cm="1">
        <f t="array" ref="E737">IF(COUNTIF(A:A, "*" &amp; LEFT(D737, FIND(" ", D737 &amp; " ") - 1) &amp; "*") &gt; 0,INDEX(A:A,FuzzyVLookup(D737,A:A,0,,,3)),"Non-PDL")</f>
        <v>triazolam</v>
      </c>
      <c r="F737" t="str">
        <f t="shared" si="22"/>
        <v>Preferred</v>
      </c>
      <c r="G737" s="1" cm="1">
        <f t="array" ref="G737">FuzzyPercent(D737,E737,3)</f>
        <v>0.24324324727058411</v>
      </c>
      <c r="H737" t="str">
        <f t="shared" si="23"/>
        <v>CHECK</v>
      </c>
    </row>
    <row r="738" spans="1:8" x14ac:dyDescent="0.2">
      <c r="A738" t="s">
        <v>1456</v>
      </c>
      <c r="B738" t="s">
        <v>0</v>
      </c>
      <c r="D738" t="s">
        <v>2852</v>
      </c>
      <c r="E738" t="str" cm="1">
        <f t="array" ref="E738">IF(COUNTIF(A:A, "*" &amp; LEFT(D738, FIND(" ", D738 &amp; " ") - 1) &amp; "*") &gt; 0,INDEX(A:A,FuzzyVLookup(D738,A:A,0,,,3)),"Non-PDL")</f>
        <v>Non-PDL</v>
      </c>
      <c r="F738" t="str">
        <f t="shared" si="22"/>
        <v>Non-PDL</v>
      </c>
      <c r="G738" s="1" cm="1">
        <f t="array" ref="G738">FuzzyPercent(D738,E738,3)</f>
        <v>6.25E-2</v>
      </c>
      <c r="H738" t="str">
        <f t="shared" si="23"/>
        <v/>
      </c>
    </row>
    <row r="739" spans="1:8" x14ac:dyDescent="0.2">
      <c r="A739" t="s">
        <v>1458</v>
      </c>
      <c r="B739" t="s">
        <v>0</v>
      </c>
      <c r="D739" t="s">
        <v>2853</v>
      </c>
      <c r="E739" t="str" cm="1">
        <f t="array" ref="E739">IF(COUNTIF(A:A, "*" &amp; LEFT(D739, FIND(" ", D739 &amp; " ") - 1) &amp; "*") &gt; 0,INDEX(A:A,FuzzyVLookup(D739,A:A,0,,,3)),"Non-PDL")</f>
        <v>TYBOST (cobicistat)</v>
      </c>
      <c r="F739" t="str">
        <f t="shared" si="22"/>
        <v>Preferred</v>
      </c>
      <c r="G739" s="1" cm="1">
        <f t="array" ref="G739">FuzzyPercent(D739,E739,3)</f>
        <v>0.37837839126586914</v>
      </c>
      <c r="H739" t="str">
        <f t="shared" si="23"/>
        <v/>
      </c>
    </row>
    <row r="740" spans="1:8" x14ac:dyDescent="0.2">
      <c r="A740" t="s">
        <v>1460</v>
      </c>
      <c r="B740" t="s">
        <v>0</v>
      </c>
      <c r="D740" t="s">
        <v>2854</v>
      </c>
      <c r="E740" t="str" cm="1">
        <f t="array" ref="E740">IF(COUNTIF(A:A, "*" &amp; LEFT(D740, FIND(" ", D740 &amp; " ") - 1) &amp; "*") &gt; 0,INDEX(A:A,FuzzyVLookup(D740,A:A,0,,,3)),"Non-PDL")</f>
        <v>TYSABRI (natalizumab)</v>
      </c>
      <c r="F740" t="str">
        <f t="shared" si="22"/>
        <v>Preferred</v>
      </c>
      <c r="G740" s="1" cm="1">
        <f t="array" ref="G740">FuzzyPercent(D740,E740,3)</f>
        <v>0.37209302186965942</v>
      </c>
      <c r="H740" t="str">
        <f t="shared" si="23"/>
        <v/>
      </c>
    </row>
    <row r="741" spans="1:8" x14ac:dyDescent="0.2">
      <c r="A741" t="s">
        <v>1462</v>
      </c>
      <c r="B741" t="s">
        <v>0</v>
      </c>
      <c r="D741" t="s">
        <v>2855</v>
      </c>
      <c r="E741" t="str" cm="1">
        <f t="array" ref="E741">IF(COUNTIF(A:A, "*" &amp; LEFT(D741, FIND(" ", D741 &amp; " ") - 1) &amp; "*") &gt; 0,INDEX(A:A,FuzzyVLookup(D741,A:A,0,,,3)),"Non-PDL")</f>
        <v>levofloxacin solution</v>
      </c>
      <c r="F741" t="str">
        <f t="shared" si="22"/>
        <v>Non-Preferred</v>
      </c>
      <c r="G741" s="1" cm="1">
        <f t="array" ref="G741">FuzzyPercent(D741,E741,3)</f>
        <v>0.21978022158145905</v>
      </c>
      <c r="H741" t="str">
        <f t="shared" si="23"/>
        <v>CHECK</v>
      </c>
    </row>
    <row r="742" spans="1:8" x14ac:dyDescent="0.2">
      <c r="A742" t="s">
        <v>1464</v>
      </c>
      <c r="B742" t="s">
        <v>0</v>
      </c>
      <c r="D742" t="s">
        <v>2856</v>
      </c>
      <c r="E742" t="str" cm="1">
        <f t="array" ref="E742">IF(COUNTIF(A:A, "*" &amp; LEFT(D742, FIND(" ", D742 &amp; " ") - 1) &amp; "*") &gt; 0,INDEX(A:A,FuzzyVLookup(D742,A:A,0,,,3)),"Non-PDL")</f>
        <v>TYVASO (treprostinil)</v>
      </c>
      <c r="F742" t="str">
        <f t="shared" si="22"/>
        <v>Non-Preferred</v>
      </c>
      <c r="G742" s="1" cm="1">
        <f t="array" ref="G742">FuzzyPercent(D742,E742,3)</f>
        <v>0.34020617604255676</v>
      </c>
      <c r="H742" t="str">
        <f t="shared" si="23"/>
        <v/>
      </c>
    </row>
    <row r="743" spans="1:8" x14ac:dyDescent="0.2">
      <c r="A743" t="s">
        <v>1466</v>
      </c>
      <c r="B743" t="s">
        <v>0</v>
      </c>
      <c r="D743" t="s">
        <v>2857</v>
      </c>
      <c r="E743" t="str" cm="1">
        <f t="array" ref="E743">IF(COUNTIF(A:A, "*" &amp; LEFT(D743, FIND(" ", D743 &amp; " ") - 1) &amp; "*") &gt; 0,INDEX(A:A,FuzzyVLookup(D743,A:A,0,,,3)),"Non-PDL")</f>
        <v>Non-PDL</v>
      </c>
      <c r="F743" t="str">
        <f t="shared" si="22"/>
        <v>Non-PDL</v>
      </c>
      <c r="G743" s="1" cm="1">
        <f t="array" ref="G743">FuzzyPercent(D743,E743,3)</f>
        <v>6.6666670143604279E-2</v>
      </c>
      <c r="H743" t="str">
        <f t="shared" si="23"/>
        <v/>
      </c>
    </row>
    <row r="744" spans="1:8" x14ac:dyDescent="0.2">
      <c r="A744" t="s">
        <v>1468</v>
      </c>
      <c r="B744" t="s">
        <v>0</v>
      </c>
      <c r="D744" t="s">
        <v>2858</v>
      </c>
      <c r="E744" t="str" cm="1">
        <f t="array" ref="E744">IF(COUNTIF(A:A, "*" &amp; LEFT(D744, FIND(" ", D744 &amp; " ") - 1) &amp; "*") &gt; 0,INDEX(A:A,FuzzyVLookup(D744,A:A,0,,,3)),"Non-PDL")</f>
        <v>UBRELVY (Ubrogepant)</v>
      </c>
      <c r="F744" t="str">
        <f t="shared" si="22"/>
        <v>Preferred</v>
      </c>
      <c r="G744" s="1" cm="1">
        <f t="array" ref="G744">FuzzyPercent(D744,E744,3)</f>
        <v>0.39024388790130615</v>
      </c>
      <c r="H744" t="str">
        <f t="shared" si="23"/>
        <v/>
      </c>
    </row>
    <row r="745" spans="1:8" x14ac:dyDescent="0.2">
      <c r="A745" t="s">
        <v>1470</v>
      </c>
      <c r="B745" t="s">
        <v>0</v>
      </c>
      <c r="D745" t="s">
        <v>2859</v>
      </c>
      <c r="E745" t="str" cm="1">
        <f t="array" ref="E745">IF(COUNTIF(A:A, "*" &amp; LEFT(D745, FIND(" ", D745 &amp; " ") - 1) &amp; "*") &gt; 0,INDEX(A:A,FuzzyVLookup(D745,A:A,0,,,3)),"Non-PDL")</f>
        <v>KCENTRA</v>
      </c>
      <c r="F745" t="str">
        <f t="shared" si="22"/>
        <v>Non-Preferred</v>
      </c>
      <c r="G745" s="1" cm="1">
        <f t="array" ref="G745">FuzzyPercent(D745,E745,3)</f>
        <v>0.25</v>
      </c>
      <c r="H745" t="str">
        <f t="shared" si="23"/>
        <v>CHECK</v>
      </c>
    </row>
    <row r="746" spans="1:8" x14ac:dyDescent="0.2">
      <c r="A746" t="s">
        <v>1472</v>
      </c>
      <c r="B746" t="s">
        <v>0</v>
      </c>
      <c r="D746" t="s">
        <v>2860</v>
      </c>
      <c r="E746" t="str" cm="1">
        <f t="array" ref="E746">IF(COUNTIF(A:A, "*" &amp; LEFT(D746, FIND(" ", D746 &amp; " ") - 1) &amp; "*") &gt; 0,INDEX(A:A,FuzzyVLookup(D746,A:A,0,,,3)),"Non-PDL")</f>
        <v>Non-PDL</v>
      </c>
      <c r="F746" t="str">
        <f t="shared" si="22"/>
        <v>Non-PDL</v>
      </c>
      <c r="G746" s="1" cm="1">
        <f t="array" ref="G746">FuzzyPercent(D746,E746,3)</f>
        <v>0</v>
      </c>
      <c r="H746" t="str">
        <f t="shared" si="23"/>
        <v/>
      </c>
    </row>
    <row r="747" spans="1:8" x14ac:dyDescent="0.2">
      <c r="A747" t="s">
        <v>1474</v>
      </c>
      <c r="B747" t="s">
        <v>0</v>
      </c>
      <c r="D747" t="s">
        <v>2861</v>
      </c>
      <c r="E747" t="str" cm="1">
        <f t="array" ref="E747">IF(COUNTIF(A:A, "*" &amp; LEFT(D747, FIND(" ", D747 &amp; " ") - 1) &amp; "*") &gt; 0,INDEX(A:A,FuzzyVLookup(D747,A:A,0,,,3)),"Non-PDL")</f>
        <v>Non-PDL</v>
      </c>
      <c r="F747" t="str">
        <f t="shared" si="22"/>
        <v>Non-PDL</v>
      </c>
      <c r="G747" s="1" cm="1">
        <f t="array" ref="G747">FuzzyPercent(D747,E747,3)</f>
        <v>0.125</v>
      </c>
      <c r="H747" t="str">
        <f t="shared" si="23"/>
        <v/>
      </c>
    </row>
    <row r="748" spans="1:8" x14ac:dyDescent="0.2">
      <c r="A748" t="s">
        <v>1476</v>
      </c>
      <c r="B748" t="s">
        <v>0</v>
      </c>
      <c r="D748" t="s">
        <v>2862</v>
      </c>
      <c r="E748" t="str" cm="1">
        <f t="array" ref="E748">IF(COUNTIF(A:A, "*" &amp; LEFT(D748, FIND(" ", D748 &amp; " ") - 1) &amp; "*") &gt; 0,INDEX(A:A,FuzzyVLookup(D748,A:A,0,,,3)),"Non-PDL")</f>
        <v>UPTRAVI (selexipag)</v>
      </c>
      <c r="F748" t="str">
        <f t="shared" si="22"/>
        <v>Preferred</v>
      </c>
      <c r="G748" s="1" cm="1">
        <f t="array" ref="G748">FuzzyPercent(D748,E748,3)</f>
        <v>0.42574256658554077</v>
      </c>
      <c r="H748" t="str">
        <f t="shared" si="23"/>
        <v/>
      </c>
    </row>
    <row r="749" spans="1:8" x14ac:dyDescent="0.2">
      <c r="A749" t="s">
        <v>1478</v>
      </c>
      <c r="B749" t="s">
        <v>0</v>
      </c>
      <c r="D749" t="s">
        <v>2863</v>
      </c>
      <c r="E749" t="str" cm="1">
        <f t="array" ref="E749">IF(COUNTIF(A:A, "*" &amp; LEFT(D749, FIND(" ", D749 &amp; " ") - 1) &amp; "*") &gt; 0,INDEX(A:A,FuzzyVLookup(D749,A:A,0,,,3)),"Non-PDL")</f>
        <v>UPTRAVI (selexipag)</v>
      </c>
      <c r="F749" t="str">
        <f t="shared" si="22"/>
        <v>Preferred</v>
      </c>
      <c r="G749" s="1" cm="1">
        <f t="array" ref="G749">FuzzyPercent(D749,E749,3)</f>
        <v>0.44210526347160339</v>
      </c>
      <c r="H749" t="str">
        <f t="shared" si="23"/>
        <v/>
      </c>
    </row>
    <row r="750" spans="1:8" x14ac:dyDescent="0.2">
      <c r="A750" t="s">
        <v>1480</v>
      </c>
      <c r="B750" t="s">
        <v>0</v>
      </c>
      <c r="D750" t="s">
        <v>2864</v>
      </c>
      <c r="E750" t="str" cm="1">
        <f t="array" ref="E750">IF(COUNTIF(A:A, "*" &amp; LEFT(D750, FIND(" ", D750 &amp; " ") - 1) &amp; "*") &gt; 0,INDEX(A:A,FuzzyVLookup(D750,A:A,0,,,3)),"Non-PDL")</f>
        <v>UZEDY (risperidone)</v>
      </c>
      <c r="F750" t="str">
        <f t="shared" si="22"/>
        <v>Preferred</v>
      </c>
      <c r="G750" s="1" cm="1">
        <f t="array" ref="G750">FuzzyPercent(D750,E750,3)</f>
        <v>0.28571429848670959</v>
      </c>
      <c r="H750" t="str">
        <f t="shared" si="23"/>
        <v>CHECK</v>
      </c>
    </row>
    <row r="751" spans="1:8" x14ac:dyDescent="0.2">
      <c r="A751" t="s">
        <v>1482</v>
      </c>
      <c r="B751" t="s">
        <v>0</v>
      </c>
      <c r="D751" t="s">
        <v>2865</v>
      </c>
      <c r="E751" t="str" cm="1">
        <f t="array" ref="E751">IF(COUNTIF(A:A, "*" &amp; LEFT(D751, FIND(" ", D751 &amp; " ") - 1) &amp; "*") &gt; 0,INDEX(A:A,FuzzyVLookup(D751,A:A,0,,,3)),"Non-PDL")</f>
        <v>Non-PDL</v>
      </c>
      <c r="F751" t="str">
        <f t="shared" si="22"/>
        <v>Non-PDL</v>
      </c>
      <c r="G751" s="1" cm="1">
        <f t="array" ref="G751">FuzzyPercent(D751,E751,3)</f>
        <v>0</v>
      </c>
      <c r="H751" t="str">
        <f t="shared" si="23"/>
        <v/>
      </c>
    </row>
    <row r="752" spans="1:8" x14ac:dyDescent="0.2">
      <c r="A752" t="s">
        <v>1484</v>
      </c>
      <c r="B752" t="s">
        <v>0</v>
      </c>
      <c r="D752" t="s">
        <v>2866</v>
      </c>
      <c r="E752" t="str" cm="1">
        <f t="array" ref="E752">IF(COUNTIF(A:A, "*" &amp; LEFT(D752, FIND(" ", D752 &amp; " ") - 1) &amp; "*") &gt; 0,INDEX(A:A,FuzzyVLookup(D752,A:A,0,,,3)),"Non-PDL")</f>
        <v>valsartan tablet</v>
      </c>
      <c r="F752" t="str">
        <f t="shared" si="22"/>
        <v>Preferred</v>
      </c>
      <c r="G752" s="1" cm="1">
        <f t="array" ref="G752">FuzzyPercent(D752,E752,3)</f>
        <v>0.63013696670532227</v>
      </c>
      <c r="H752" t="str">
        <f t="shared" si="23"/>
        <v/>
      </c>
    </row>
    <row r="753" spans="1:8" x14ac:dyDescent="0.2">
      <c r="A753" t="s">
        <v>1486</v>
      </c>
      <c r="B753" t="s">
        <v>0</v>
      </c>
      <c r="D753" t="s">
        <v>2867</v>
      </c>
      <c r="E753" t="str" cm="1">
        <f t="array" ref="E753">IF(COUNTIF(A:A, "*" &amp; LEFT(D753, FIND(" ", D753 &amp; " ") - 1) &amp; "*") &gt; 0,INDEX(A:A,FuzzyVLookup(D753,A:A,0,,,3)),"Non-PDL")</f>
        <v>Non-PDL</v>
      </c>
      <c r="F753" t="str">
        <f t="shared" si="22"/>
        <v>Non-PDL</v>
      </c>
      <c r="G753" s="1" cm="1">
        <f t="array" ref="G753">FuzzyPercent(D753,E753,3)</f>
        <v>0</v>
      </c>
      <c r="H753" t="str">
        <f t="shared" si="23"/>
        <v/>
      </c>
    </row>
    <row r="754" spans="1:8" x14ac:dyDescent="0.2">
      <c r="A754" t="s">
        <v>1313</v>
      </c>
      <c r="B754" t="s">
        <v>0</v>
      </c>
      <c r="D754" t="s">
        <v>2868</v>
      </c>
      <c r="E754" t="str" cm="1">
        <f t="array" ref="E754">IF(COUNTIF(A:A, "*" &amp; LEFT(D754, FIND(" ", D754 &amp; " ") - 1) &amp; "*") &gt; 0,INDEX(A:A,FuzzyVLookup(D754,A:A,0,,,3)),"Non-PDL")</f>
        <v>Non-PDL</v>
      </c>
      <c r="F754" t="str">
        <f t="shared" si="22"/>
        <v>Non-PDL</v>
      </c>
      <c r="G754" s="1" cm="1">
        <f t="array" ref="G754">FuzzyPercent(D754,E754,3)</f>
        <v>8.6956523358821869E-2</v>
      </c>
      <c r="H754" t="str">
        <f t="shared" si="23"/>
        <v/>
      </c>
    </row>
    <row r="755" spans="1:8" x14ac:dyDescent="0.2">
      <c r="A755" t="s">
        <v>1489</v>
      </c>
      <c r="B755" t="s">
        <v>0</v>
      </c>
      <c r="D755" t="s">
        <v>2869</v>
      </c>
      <c r="E755" t="str" cm="1">
        <f t="array" ref="E755">IF(COUNTIF(A:A, "*" &amp; LEFT(D755, FIND(" ", D755 &amp; " ") - 1) &amp; "*") &gt; 0,INDEX(A:A,FuzzyVLookup(D755,A:A,0,,,3)),"Non-PDL")</f>
        <v>VANFLYTA (quizartinib)</v>
      </c>
      <c r="F755" t="str">
        <f t="shared" si="22"/>
        <v>Non-Preferred</v>
      </c>
      <c r="G755" s="1" cm="1">
        <f t="array" ref="G755">FuzzyPercent(D755,E755,3)</f>
        <v>0.42553192377090454</v>
      </c>
      <c r="H755" t="str">
        <f t="shared" si="23"/>
        <v/>
      </c>
    </row>
    <row r="756" spans="1:8" x14ac:dyDescent="0.2">
      <c r="A756" t="s">
        <v>1491</v>
      </c>
      <c r="B756" t="s">
        <v>0</v>
      </c>
      <c r="D756" t="s">
        <v>2870</v>
      </c>
      <c r="E756" t="str" cm="1">
        <f t="array" ref="E756">IF(COUNTIF(A:A, "*" &amp; LEFT(D756, FIND(" ", D756 &amp; " ") - 1) &amp; "*") &gt; 0,INDEX(A:A,FuzzyVLookup(D756,A:A,0,,,3)),"Non-PDL")</f>
        <v>Non-PDL</v>
      </c>
      <c r="F756" t="str">
        <f t="shared" si="22"/>
        <v>Non-PDL</v>
      </c>
      <c r="G756" s="1" cm="1">
        <f t="array" ref="G756">FuzzyPercent(D756,E756,3)</f>
        <v>6.25E-2</v>
      </c>
      <c r="H756" t="str">
        <f t="shared" si="23"/>
        <v/>
      </c>
    </row>
    <row r="757" spans="1:8" x14ac:dyDescent="0.2">
      <c r="A757" t="s">
        <v>1493</v>
      </c>
      <c r="B757" t="s">
        <v>0</v>
      </c>
      <c r="D757" t="s">
        <v>2871</v>
      </c>
      <c r="E757" t="str" cm="1">
        <f t="array" ref="E757">IF(COUNTIF(A:A, "*" &amp; LEFT(D757, FIND(" ", D757 &amp; " ") - 1) &amp; "*") &gt; 0,INDEX(A:A,FuzzyVLookup(D757,A:A,0,,,3)),"Non-PDL")</f>
        <v>VELSIPITY (etrasimod)</v>
      </c>
      <c r="F757" t="str">
        <f t="shared" si="22"/>
        <v>Non-Preferred</v>
      </c>
      <c r="G757" s="1" cm="1">
        <f t="array" ref="G757">FuzzyPercent(D757,E757,3)</f>
        <v>0.69306927919387817</v>
      </c>
      <c r="H757" t="str">
        <f t="shared" si="23"/>
        <v/>
      </c>
    </row>
    <row r="758" spans="1:8" x14ac:dyDescent="0.2">
      <c r="A758" t="s">
        <v>1495</v>
      </c>
      <c r="B758" t="s">
        <v>0</v>
      </c>
      <c r="D758" t="s">
        <v>2872</v>
      </c>
      <c r="E758" t="str" cm="1">
        <f t="array" ref="E758">IF(COUNTIF(A:A, "*" &amp; LEFT(D758, FIND(" ", D758 &amp; " ") - 1) &amp; "*") &gt; 0,INDEX(A:A,FuzzyVLookup(D758,A:A,0,,,3)),"Non-PDL")</f>
        <v>VELTASSA (patiromer calcium sorbitex)</v>
      </c>
      <c r="F758" t="str">
        <f t="shared" si="22"/>
        <v>Preferred</v>
      </c>
      <c r="G758" s="1" cm="1">
        <f t="array" ref="G758">FuzzyPercent(D758,E758,3)</f>
        <v>0.24691358208656311</v>
      </c>
      <c r="H758" t="str">
        <f t="shared" si="23"/>
        <v>CHECK</v>
      </c>
    </row>
    <row r="759" spans="1:8" x14ac:dyDescent="0.2">
      <c r="A759" t="s">
        <v>1497</v>
      </c>
      <c r="B759" t="s">
        <v>0</v>
      </c>
      <c r="D759" t="s">
        <v>2873</v>
      </c>
      <c r="E759" t="str" cm="1">
        <f t="array" ref="E759">IF(COUNTIF(A:A, "*" &amp; LEFT(D759, FIND(" ", D759 &amp; " ") - 1) &amp; "*") &gt; 0,INDEX(A:A,FuzzyVLookup(D759,A:A,0,,,3)),"Non-PDL")</f>
        <v>Linezolid</v>
      </c>
      <c r="F759" t="str">
        <f t="shared" si="22"/>
        <v>Non-Preferred</v>
      </c>
      <c r="G759" s="1" cm="1">
        <f t="array" ref="G759">FuzzyPercent(D759,E759,3)</f>
        <v>0.25641027092933655</v>
      </c>
      <c r="H759" t="str">
        <f t="shared" si="23"/>
        <v>CHECK</v>
      </c>
    </row>
    <row r="760" spans="1:8" x14ac:dyDescent="0.2">
      <c r="A760" t="s">
        <v>1499</v>
      </c>
      <c r="B760" t="s">
        <v>0</v>
      </c>
      <c r="D760" t="s">
        <v>2874</v>
      </c>
      <c r="E760" t="str" cm="1">
        <f t="array" ref="E760">IF(COUNTIF(A:A, "*" &amp; LEFT(D760, FIND(" ", D760 &amp; " ") - 1) &amp; "*") &gt; 0,INDEX(A:A,FuzzyVLookup(D760,A:A,0,,,3)),"Non-PDL")</f>
        <v>Non-PDL</v>
      </c>
      <c r="F760" t="str">
        <f t="shared" si="22"/>
        <v>Non-PDL</v>
      </c>
      <c r="G760" s="1" cm="1">
        <f t="array" ref="G760">FuzzyPercent(D760,E760,3)</f>
        <v>8.6956523358821869E-2</v>
      </c>
      <c r="H760" t="str">
        <f t="shared" si="23"/>
        <v/>
      </c>
    </row>
    <row r="761" spans="1:8" x14ac:dyDescent="0.2">
      <c r="A761" t="s">
        <v>1501</v>
      </c>
      <c r="B761" t="s">
        <v>0</v>
      </c>
      <c r="D761" t="s">
        <v>2875</v>
      </c>
      <c r="E761" t="str" cm="1">
        <f t="array" ref="E761">IF(COUNTIF(A:A, "*" &amp; LEFT(D761, FIND(" ", D761 &amp; " ") - 1) &amp; "*") &gt; 0,INDEX(A:A,FuzzyVLookup(D761,A:A,0,,,3)),"Non-PDL")</f>
        <v>VENTAVIS (iloprost)</v>
      </c>
      <c r="F761" t="str">
        <f t="shared" si="22"/>
        <v>Preferred</v>
      </c>
      <c r="G761" s="1" cm="1">
        <f t="array" ref="G761">FuzzyPercent(D761,E761,3)</f>
        <v>0.5</v>
      </c>
      <c r="H761" t="str">
        <f t="shared" si="23"/>
        <v/>
      </c>
    </row>
    <row r="762" spans="1:8" x14ac:dyDescent="0.2">
      <c r="A762" t="s">
        <v>1503</v>
      </c>
      <c r="B762" t="s">
        <v>0</v>
      </c>
      <c r="D762" t="s">
        <v>2876</v>
      </c>
      <c r="E762" t="str" cm="1">
        <f t="array" ref="E762">IF(COUNTIF(A:A, "*" &amp; LEFT(D762, FIND(" ", D762 &amp; " ") - 1) &amp; "*") &gt; 0,INDEX(A:A,FuzzyVLookup(D762,A:A,0,,,3)),"Non-PDL")</f>
        <v>VENTOLIN HFA (albuterol)</v>
      </c>
      <c r="F762" t="str">
        <f t="shared" si="22"/>
        <v>Preferred</v>
      </c>
      <c r="G762" s="1" cm="1">
        <f t="array" ref="G762">FuzzyPercent(D762,E762,3)</f>
        <v>0.58823531866073608</v>
      </c>
      <c r="H762" t="str">
        <f t="shared" si="23"/>
        <v/>
      </c>
    </row>
    <row r="763" spans="1:8" x14ac:dyDescent="0.2">
      <c r="A763" t="s">
        <v>1505</v>
      </c>
      <c r="B763" t="s">
        <v>0</v>
      </c>
      <c r="D763" t="s">
        <v>2877</v>
      </c>
      <c r="E763" t="str" cm="1">
        <f t="array" ref="E763">IF(COUNTIF(A:A, "*" &amp; LEFT(D763, FIND(" ", D763 &amp; " ") - 1) &amp; "*") &gt; 0,INDEX(A:A,FuzzyVLookup(D763,A:A,0,,,3)),"Non-PDL")</f>
        <v>VERKAZIA (cyclosporine)</v>
      </c>
      <c r="F763" t="str">
        <f t="shared" si="22"/>
        <v>Non-Preferred</v>
      </c>
      <c r="G763" s="1" cm="1">
        <f t="array" ref="G763">FuzzyPercent(D763,E763,3)</f>
        <v>0.4166666567325592</v>
      </c>
      <c r="H763" t="str">
        <f t="shared" si="23"/>
        <v/>
      </c>
    </row>
    <row r="764" spans="1:8" x14ac:dyDescent="0.2">
      <c r="A764" t="s">
        <v>1507</v>
      </c>
      <c r="B764" t="s">
        <v>0</v>
      </c>
      <c r="D764" t="s">
        <v>2878</v>
      </c>
      <c r="E764" t="str" cm="1">
        <f t="array" ref="E764">IF(COUNTIF(A:A, "*" &amp; LEFT(D764, FIND(" ", D764 &amp; " ") - 1) &amp; "*") &gt; 0,INDEX(A:A,FuzzyVLookup(D764,A:A,0,,,3)),"Non-PDL")</f>
        <v>VERSACLOZ (clozapine)</v>
      </c>
      <c r="F764" t="str">
        <f t="shared" si="22"/>
        <v>Non-Preferred</v>
      </c>
      <c r="G764" s="1" cm="1">
        <f t="array" ref="G764">FuzzyPercent(D764,E764,3)</f>
        <v>0.49462366104125977</v>
      </c>
      <c r="H764" t="str">
        <f t="shared" si="23"/>
        <v/>
      </c>
    </row>
    <row r="765" spans="1:8" x14ac:dyDescent="0.2">
      <c r="A765" t="s">
        <v>1509</v>
      </c>
      <c r="B765" t="s">
        <v>0</v>
      </c>
      <c r="D765" t="s">
        <v>2879</v>
      </c>
      <c r="E765" t="str" cm="1">
        <f t="array" ref="E765">IF(COUNTIF(A:A, "*" &amp; LEFT(D765, FIND(" ", D765 &amp; " ") - 1) &amp; "*") &gt; 0,INDEX(A:A,FuzzyVLookup(D765,A:A,0,,,3)),"Non-PDL")</f>
        <v>VERZENIO (abemaciclib)</v>
      </c>
      <c r="F765" t="str">
        <f t="shared" si="22"/>
        <v>Non-Preferred</v>
      </c>
      <c r="G765" s="1" cm="1">
        <f t="array" ref="G765">FuzzyPercent(D765,E765,3)</f>
        <v>0.42553192377090454</v>
      </c>
      <c r="H765" t="str">
        <f t="shared" si="23"/>
        <v/>
      </c>
    </row>
    <row r="766" spans="1:8" x14ac:dyDescent="0.2">
      <c r="A766" t="s">
        <v>1511</v>
      </c>
      <c r="B766" t="s">
        <v>0</v>
      </c>
      <c r="D766" t="s">
        <v>2880</v>
      </c>
      <c r="E766" t="str" cm="1">
        <f t="array" ref="E766">IF(COUNTIF(A:A, "*" &amp; LEFT(D766, FIND(" ", D766 &amp; " ") - 1) &amp; "*") &gt; 0,INDEX(A:A,FuzzyVLookup(D766,A:A,0,,,3)),"Non-PDL")</f>
        <v>lidocaine 40 mg/mL solution</v>
      </c>
      <c r="F766" t="str">
        <f t="shared" si="22"/>
        <v>Preferred</v>
      </c>
      <c r="G766" s="1" cm="1">
        <f t="array" ref="G766">FuzzyPercent(D766,E766,3)</f>
        <v>0.20329670608043671</v>
      </c>
      <c r="H766" t="str">
        <f t="shared" si="23"/>
        <v>CHECK</v>
      </c>
    </row>
    <row r="767" spans="1:8" x14ac:dyDescent="0.2">
      <c r="A767" t="s">
        <v>1513</v>
      </c>
      <c r="B767" t="s">
        <v>0</v>
      </c>
      <c r="D767" t="s">
        <v>2881</v>
      </c>
      <c r="E767" t="str" cm="1">
        <f t="array" ref="E767">IF(COUNTIF(A:A, "*" &amp; LEFT(D767, FIND(" ", D767 &amp; " ") - 1) &amp; "*") &gt; 0,INDEX(A:A,FuzzyVLookup(D767,A:A,0,,,3)),"Non-PDL")</f>
        <v>VIBERZI (eluxadoline) DUR+</v>
      </c>
      <c r="F767" t="str">
        <f t="shared" si="22"/>
        <v>Non-Preferred</v>
      </c>
      <c r="G767" s="1" cm="1">
        <f t="array" ref="G767">FuzzyPercent(D767,E767,3)</f>
        <v>0.29906541109085083</v>
      </c>
      <c r="H767" t="str">
        <f t="shared" si="23"/>
        <v>CHECK</v>
      </c>
    </row>
    <row r="768" spans="1:8" x14ac:dyDescent="0.2">
      <c r="A768" t="s">
        <v>1515</v>
      </c>
      <c r="B768" t="s">
        <v>0</v>
      </c>
      <c r="D768" t="s">
        <v>2882</v>
      </c>
      <c r="E768" t="str" cm="1">
        <f t="array" ref="E768">IF(COUNTIF(A:A, "*" &amp; LEFT(D768, FIND(" ", D768 &amp; " ") - 1) &amp; "*") &gt; 0,INDEX(A:A,FuzzyVLookup(D768,A:A,0,,,3)),"Non-PDL")</f>
        <v>VICTOZA (liraglutide)</v>
      </c>
      <c r="F768" t="str">
        <f t="shared" si="22"/>
        <v>Preferred</v>
      </c>
      <c r="G768" s="1" cm="1">
        <f t="array" ref="G768">FuzzyPercent(D768,E768,3)</f>
        <v>0.37209302186965942</v>
      </c>
      <c r="H768" t="str">
        <f t="shared" si="23"/>
        <v/>
      </c>
    </row>
    <row r="769" spans="1:8" x14ac:dyDescent="0.2">
      <c r="A769" t="s">
        <v>1517</v>
      </c>
      <c r="B769" t="s">
        <v>0</v>
      </c>
      <c r="D769" t="s">
        <v>2883</v>
      </c>
      <c r="E769" t="str" cm="1">
        <f t="array" ref="E769">IF(COUNTIF(A:A, "*" &amp; LEFT(D769, FIND(" ", D769 &amp; " ") - 1) &amp; "*") &gt; 0,INDEX(A:A,FuzzyVLookup(D769,A:A,0,,,3)),"Non-PDL")</f>
        <v>Non-PDL</v>
      </c>
      <c r="F769" t="str">
        <f t="shared" si="22"/>
        <v>Non-PDL</v>
      </c>
      <c r="G769" s="1" cm="1">
        <f t="array" ref="G769">FuzzyPercent(D769,E769,3)</f>
        <v>1.149425283074379E-2</v>
      </c>
      <c r="H769" t="str">
        <f t="shared" si="23"/>
        <v/>
      </c>
    </row>
    <row r="770" spans="1:8" x14ac:dyDescent="0.2">
      <c r="A770" t="s">
        <v>1519</v>
      </c>
      <c r="B770" t="s">
        <v>0</v>
      </c>
      <c r="D770" t="s">
        <v>2884</v>
      </c>
      <c r="E770" t="str" cm="1">
        <f t="array" ref="E770">IF(COUNTIF(A:A, "*" &amp; LEFT(D770, FIND(" ", D770 &amp; " ") - 1) &amp; "*") &gt; 0,INDEX(A:A,FuzzyVLookup(D770,A:A,0,,,3)),"Non-PDL")</f>
        <v>Vigabatrin</v>
      </c>
      <c r="F770" t="str">
        <f t="shared" si="22"/>
        <v>Non-Preferred</v>
      </c>
      <c r="G770" s="1" cm="1">
        <f t="array" ref="G770">FuzzyPercent(D770,E770,3)</f>
        <v>0.20610687136650085</v>
      </c>
      <c r="H770" t="str">
        <f t="shared" si="23"/>
        <v>CHECK</v>
      </c>
    </row>
    <row r="771" spans="1:8" x14ac:dyDescent="0.2">
      <c r="A771" t="s">
        <v>1521</v>
      </c>
      <c r="B771" t="s">
        <v>0</v>
      </c>
      <c r="D771" t="s">
        <v>2885</v>
      </c>
      <c r="E771" t="str" cm="1">
        <f t="array" ref="E771">IF(COUNTIF(A:A, "*" &amp; LEFT(D771, FIND(" ", D771 &amp; " ") - 1) &amp; "*") &gt; 0,INDEX(A:A,FuzzyVLookup(D771,A:A,0,,,3)),"Non-PDL")</f>
        <v>Vigabatrin</v>
      </c>
      <c r="F771" t="str">
        <f t="shared" ref="F771:F834" si="24">_xlfn.IFNA(_xlfn.XLOOKUP(E771,A:A,B:B),"Non-PDL")</f>
        <v>Non-Preferred</v>
      </c>
      <c r="G771" s="1" cm="1">
        <f t="array" ref="G771">FuzzyPercent(D771,E771,3)</f>
        <v>0.51923078298568726</v>
      </c>
      <c r="H771" t="str">
        <f t="shared" ref="H771:H834" si="25">IF(F771="Non-PDL","",IF(G771&lt;0.3,"CHECK",""))</f>
        <v/>
      </c>
    </row>
    <row r="772" spans="1:8" x14ac:dyDescent="0.2">
      <c r="A772" t="s">
        <v>1522</v>
      </c>
      <c r="B772" t="s">
        <v>0</v>
      </c>
      <c r="D772" t="s">
        <v>2886</v>
      </c>
      <c r="E772" t="str" cm="1">
        <f t="array" ref="E772">IF(COUNTIF(A:A, "*" &amp; LEFT(D772, FIND(" ", D772 &amp; " ") - 1) &amp; "*") &gt; 0,INDEX(A:A,FuzzyVLookup(D772,A:A,0,,,3)),"Non-PDL")</f>
        <v>vancomycin oral solution</v>
      </c>
      <c r="F772" t="str">
        <f t="shared" si="24"/>
        <v>Preferred</v>
      </c>
      <c r="G772" s="1" cm="1">
        <f t="array" ref="G772">FuzzyPercent(D772,E772,3)</f>
        <v>0.40506330132484436</v>
      </c>
      <c r="H772" t="str">
        <f t="shared" si="25"/>
        <v/>
      </c>
    </row>
    <row r="773" spans="1:8" x14ac:dyDescent="0.2">
      <c r="A773" t="s">
        <v>1523</v>
      </c>
      <c r="B773" t="s">
        <v>0</v>
      </c>
      <c r="D773" t="s">
        <v>2887</v>
      </c>
      <c r="E773" t="str" cm="1">
        <f t="array" ref="E773">IF(COUNTIF(A:A, "*" &amp; LEFT(D773, FIND(" ", D773 &amp; " ") - 1) &amp; "*") &gt; 0,INDEX(A:A,FuzzyVLookup(D773,A:A,0,,,3)),"Non-PDL")</f>
        <v>VIGPODER (vigabatrin)</v>
      </c>
      <c r="F773" t="str">
        <f t="shared" si="24"/>
        <v>Non-Preferred</v>
      </c>
      <c r="G773" s="1" cm="1">
        <f t="array" ref="G773">FuzzyPercent(D773,E773,3)</f>
        <v>0.4444444477558136</v>
      </c>
      <c r="H773" t="str">
        <f t="shared" si="25"/>
        <v/>
      </c>
    </row>
    <row r="774" spans="1:8" x14ac:dyDescent="0.2">
      <c r="A774" t="s">
        <v>1525</v>
      </c>
      <c r="B774" t="s">
        <v>0</v>
      </c>
      <c r="D774" t="s">
        <v>2888</v>
      </c>
      <c r="E774" t="str" cm="1">
        <f t="array" ref="E774">IF(COUNTIF(A:A, "*" &amp; LEFT(D774, FIND(" ", D774 &amp; " ") - 1) &amp; "*") &gt; 0,INDEX(A:A,FuzzyVLookup(D774,A:A,0,,,3)),"Non-PDL")</f>
        <v>VIIBRYD (vilazodone)</v>
      </c>
      <c r="F774" t="str">
        <f t="shared" si="24"/>
        <v>Non-Preferred</v>
      </c>
      <c r="G774" s="1" cm="1">
        <f t="array" ref="G774">FuzzyPercent(D774,E774,3)</f>
        <v>0.39024388790130615</v>
      </c>
      <c r="H774" t="str">
        <f t="shared" si="25"/>
        <v/>
      </c>
    </row>
    <row r="775" spans="1:8" x14ac:dyDescent="0.2">
      <c r="A775" t="s">
        <v>1527</v>
      </c>
      <c r="B775" t="s">
        <v>0</v>
      </c>
      <c r="D775" t="s">
        <v>2889</v>
      </c>
      <c r="E775" t="str" cm="1">
        <f t="array" ref="E775">IF(COUNTIF(A:A, "*" &amp; LEFT(D775, FIND(" ", D775 &amp; " ") - 1) &amp; "*") &gt; 0,INDEX(A:A,FuzzyVLookup(D775,A:A,0,,,3)),"Non-PDL")</f>
        <v>VILTEPSO (viltolarsen)</v>
      </c>
      <c r="F775" t="str">
        <f t="shared" si="24"/>
        <v>Non-Preferred</v>
      </c>
      <c r="G775" s="1" cm="1">
        <f t="array" ref="G775">FuzzyPercent(D775,E775,3)</f>
        <v>0.42553192377090454</v>
      </c>
      <c r="H775" t="str">
        <f t="shared" si="25"/>
        <v/>
      </c>
    </row>
    <row r="776" spans="1:8" x14ac:dyDescent="0.2">
      <c r="A776" t="s">
        <v>1529</v>
      </c>
      <c r="B776" t="s">
        <v>0</v>
      </c>
      <c r="D776" t="s">
        <v>2890</v>
      </c>
      <c r="E776" t="str" cm="1">
        <f t="array" ref="E776">IF(COUNTIF(A:A, "*" &amp; LEFT(D776, FIND(" ", D776 &amp; " ") - 1) &amp; "*") &gt; 0,INDEX(A:A,FuzzyVLookup(D776,A:A,0,,,3)),"Non-PDL")</f>
        <v>VIMPAT (lacosamide)</v>
      </c>
      <c r="F776" t="str">
        <f t="shared" si="24"/>
        <v>Non-Preferred</v>
      </c>
      <c r="G776" s="1" cm="1">
        <f t="array" ref="G776">FuzzyPercent(D776,E776,3)</f>
        <v>0.37837839126586914</v>
      </c>
      <c r="H776" t="str">
        <f t="shared" si="25"/>
        <v/>
      </c>
    </row>
    <row r="777" spans="1:8" x14ac:dyDescent="0.2">
      <c r="A777" t="s">
        <v>1531</v>
      </c>
      <c r="B777" t="s">
        <v>0</v>
      </c>
      <c r="D777" t="s">
        <v>2891</v>
      </c>
      <c r="E777" t="str" cm="1">
        <f t="array" ref="E777">IF(COUNTIF(A:A, "*" &amp; LEFT(D777, FIND(" ", D777 &amp; " ") - 1) &amp; "*") &gt; 0,INDEX(A:A,FuzzyVLookup(D777,A:A,0,,,3)),"Non-PDL")</f>
        <v>efavirenz</v>
      </c>
      <c r="F777" t="str">
        <f t="shared" si="24"/>
        <v>Preferred</v>
      </c>
      <c r="G777" s="1" cm="1">
        <f t="array" ref="G777">FuzzyPercent(D777,E777,3)</f>
        <v>0.29729729890823364</v>
      </c>
      <c r="H777" t="str">
        <f t="shared" si="25"/>
        <v>CHECK</v>
      </c>
    </row>
    <row r="778" spans="1:8" x14ac:dyDescent="0.2">
      <c r="A778" t="s">
        <v>1533</v>
      </c>
      <c r="B778" t="s">
        <v>0</v>
      </c>
      <c r="D778" t="s">
        <v>2892</v>
      </c>
      <c r="E778" t="str" cm="1">
        <f t="array" ref="E778">IF(COUNTIF(A:A, "*" &amp; LEFT(D778, FIND(" ", D778 &amp; " ") - 1) &amp; "*") &gt; 0,INDEX(A:A,FuzzyVLookup(D778,A:A,0,,,3)),"Non-PDL")</f>
        <v>Non-PDL</v>
      </c>
      <c r="F778" t="str">
        <f t="shared" si="24"/>
        <v>Non-PDL</v>
      </c>
      <c r="G778" s="1" cm="1">
        <f t="array" ref="G778">FuzzyPercent(D778,E778,3)</f>
        <v>3.4482758492231369E-2</v>
      </c>
      <c r="H778" t="str">
        <f t="shared" si="25"/>
        <v/>
      </c>
    </row>
    <row r="779" spans="1:8" x14ac:dyDescent="0.2">
      <c r="A779" t="s">
        <v>1535</v>
      </c>
      <c r="B779" t="s">
        <v>0</v>
      </c>
      <c r="D779" t="s">
        <v>2893</v>
      </c>
      <c r="E779" t="str" cm="1">
        <f t="array" ref="E779">IF(COUNTIF(A:A, "*" &amp; LEFT(D779, FIND(" ", D779 &amp; " ") - 1) &amp; "*") &gt; 0,INDEX(A:A,FuzzyVLookup(D779,A:A,0,,,3)),"Non-PDL")</f>
        <v>Non-PDL</v>
      </c>
      <c r="F779" t="str">
        <f t="shared" si="24"/>
        <v>Non-PDL</v>
      </c>
      <c r="G779" s="1" cm="1">
        <f t="array" ref="G779">FuzzyPercent(D779,E779,3)</f>
        <v>5.714285746216774E-2</v>
      </c>
      <c r="H779" t="str">
        <f t="shared" si="25"/>
        <v/>
      </c>
    </row>
    <row r="780" spans="1:8" x14ac:dyDescent="0.2">
      <c r="A780" t="s">
        <v>1537</v>
      </c>
      <c r="B780" t="s">
        <v>0</v>
      </c>
      <c r="D780" t="s">
        <v>2894</v>
      </c>
      <c r="E780" t="str" cm="1">
        <f t="array" ref="E780">IF(COUNTIF(A:A, "*" &amp; LEFT(D780, FIND(" ", D780 &amp; " ") - 1) &amp; "*") &gt; 0,INDEX(A:A,FuzzyVLookup(D780,A:A,0,,,3)),"Non-PDL")</f>
        <v>Non-PDL</v>
      </c>
      <c r="F780" t="str">
        <f t="shared" si="24"/>
        <v>Non-PDL</v>
      </c>
      <c r="G780" s="1" cm="1">
        <f t="array" ref="G780">FuzzyPercent(D780,E780,3)</f>
        <v>3.7037037312984467E-2</v>
      </c>
      <c r="H780" t="str">
        <f t="shared" si="25"/>
        <v/>
      </c>
    </row>
    <row r="781" spans="1:8" x14ac:dyDescent="0.2">
      <c r="A781" t="s">
        <v>1539</v>
      </c>
      <c r="B781" t="s">
        <v>0</v>
      </c>
      <c r="D781" t="s">
        <v>2895</v>
      </c>
      <c r="E781" t="str" cm="1">
        <f t="array" ref="E781">IF(COUNTIF(A:A, "*" &amp; LEFT(D781, FIND(" ", D781 &amp; " ") - 1) &amp; "*") &gt; 0,INDEX(A:A,FuzzyVLookup(D781,A:A,0,,,3)),"Non-PDL")</f>
        <v>Non-PDL</v>
      </c>
      <c r="F781" t="str">
        <f t="shared" si="24"/>
        <v>Non-PDL</v>
      </c>
      <c r="G781" s="1" cm="1">
        <f t="array" ref="G781">FuzzyPercent(D781,E781,3)</f>
        <v>2.4390242993831635E-2</v>
      </c>
      <c r="H781" t="str">
        <f t="shared" si="25"/>
        <v/>
      </c>
    </row>
    <row r="782" spans="1:8" x14ac:dyDescent="0.2">
      <c r="A782" t="s">
        <v>1541</v>
      </c>
      <c r="B782" t="s">
        <v>0</v>
      </c>
      <c r="D782" t="s">
        <v>2896</v>
      </c>
      <c r="E782" t="str" cm="1">
        <f t="array" ref="E782">IF(COUNTIF(A:A, "*" &amp; LEFT(D782, FIND(" ", D782 &amp; " ") - 1) &amp; "*") &gt; 0,INDEX(A:A,FuzzyVLookup(D782,A:A,0,,,3)),"Non-PDL")</f>
        <v>Non-PDL</v>
      </c>
      <c r="F782" t="str">
        <f t="shared" si="24"/>
        <v>Non-PDL</v>
      </c>
      <c r="G782" s="1" cm="1">
        <f t="array" ref="G782">FuzzyPercent(D782,E782,3)</f>
        <v>6.8965516984462738E-2</v>
      </c>
      <c r="H782" t="str">
        <f t="shared" si="25"/>
        <v/>
      </c>
    </row>
    <row r="783" spans="1:8" x14ac:dyDescent="0.2">
      <c r="A783" t="s">
        <v>1543</v>
      </c>
      <c r="B783" t="s">
        <v>0</v>
      </c>
      <c r="D783" t="s">
        <v>2897</v>
      </c>
      <c r="E783" t="str" cm="1">
        <f t="array" ref="E783">IF(COUNTIF(A:A, "*" &amp; LEFT(D783, FIND(" ", D783 &amp; " ") - 1) &amp; "*") &gt; 0,INDEX(A:A,FuzzyVLookup(D783,A:A,0,,,3)),"Non-PDL")</f>
        <v>Non-PDL</v>
      </c>
      <c r="F783" t="str">
        <f t="shared" si="24"/>
        <v>Non-PDL</v>
      </c>
      <c r="G783" s="1" cm="1">
        <f t="array" ref="G783">FuzzyPercent(D783,E783,3)</f>
        <v>1.9999999552965164E-2</v>
      </c>
      <c r="H783" t="str">
        <f t="shared" si="25"/>
        <v/>
      </c>
    </row>
    <row r="784" spans="1:8" x14ac:dyDescent="0.2">
      <c r="A784" t="s">
        <v>1545</v>
      </c>
      <c r="B784" t="s">
        <v>0</v>
      </c>
      <c r="D784" t="s">
        <v>2898</v>
      </c>
      <c r="E784" t="str" cm="1">
        <f t="array" ref="E784">IF(COUNTIF(A:A, "*" &amp; LEFT(D784, FIND(" ", D784 &amp; " ") - 1) &amp; "*") &gt; 0,INDEX(A:A,FuzzyVLookup(D784,A:A,0,,,3)),"Non-PDL")</f>
        <v>Non-PDL</v>
      </c>
      <c r="F784" t="str">
        <f t="shared" si="24"/>
        <v>Non-PDL</v>
      </c>
      <c r="G784" s="1" cm="1">
        <f t="array" ref="G784">FuzzyPercent(D784,E784,3)</f>
        <v>2.7027027681469917E-2</v>
      </c>
      <c r="H784" t="str">
        <f t="shared" si="25"/>
        <v/>
      </c>
    </row>
    <row r="785" spans="1:8" x14ac:dyDescent="0.2">
      <c r="A785" t="s">
        <v>1547</v>
      </c>
      <c r="B785" t="s">
        <v>0</v>
      </c>
      <c r="D785" t="s">
        <v>2899</v>
      </c>
      <c r="E785" t="str" cm="1">
        <f t="array" ref="E785">IF(COUNTIF(A:A, "*" &amp; LEFT(D785, FIND(" ", D785 &amp; " ") - 1) &amp; "*") &gt; 0,INDEX(A:A,FuzzyVLookup(D785,A:A,0,,,3)),"Non-PDL")</f>
        <v>VITRAKVI (larotrectinib)</v>
      </c>
      <c r="F785" t="str">
        <f t="shared" si="24"/>
        <v>Non-Preferred</v>
      </c>
      <c r="G785" s="1" cm="1">
        <f t="array" ref="G785">FuzzyPercent(D785,E785,3)</f>
        <v>0.35820895433425903</v>
      </c>
      <c r="H785" t="str">
        <f t="shared" si="25"/>
        <v/>
      </c>
    </row>
    <row r="786" spans="1:8" x14ac:dyDescent="0.2">
      <c r="A786" t="s">
        <v>1549</v>
      </c>
      <c r="B786" t="s">
        <v>0</v>
      </c>
      <c r="D786" t="s">
        <v>2900</v>
      </c>
      <c r="E786" t="str" cm="1">
        <f t="array" ref="E786">IF(COUNTIF(A:A, "*" &amp; LEFT(D786, FIND(" ", D786 &amp; " ") - 1) &amp; "*") &gt; 0,INDEX(A:A,FuzzyVLookup(D786,A:A,0,,,3)),"Non-PDL")</f>
        <v>vancomycin oral solution</v>
      </c>
      <c r="F786" t="str">
        <f t="shared" si="24"/>
        <v>Preferred</v>
      </c>
      <c r="G786" s="1" cm="1">
        <f t="array" ref="G786">FuzzyPercent(D786,E786,3)</f>
        <v>0.40506330132484436</v>
      </c>
      <c r="H786" t="str">
        <f t="shared" si="25"/>
        <v/>
      </c>
    </row>
    <row r="787" spans="1:8" x14ac:dyDescent="0.2">
      <c r="A787" t="s">
        <v>1551</v>
      </c>
      <c r="B787" t="s">
        <v>0</v>
      </c>
      <c r="D787" t="s">
        <v>2901</v>
      </c>
      <c r="E787" t="str" cm="1">
        <f t="array" ref="E787">IF(COUNTIF(A:A, "*" &amp; LEFT(D787, FIND(" ", D787 &amp; " ") - 1) &amp; "*") &gt; 0,INDEX(A:A,FuzzyVLookup(D787,A:A,0,,,3)),"Non-PDL")</f>
        <v>VIVITROL (naltrexone)</v>
      </c>
      <c r="F787" t="str">
        <f t="shared" si="24"/>
        <v>Non-Preferred</v>
      </c>
      <c r="G787" s="1" cm="1">
        <f t="array" ref="G787">FuzzyPercent(D787,E787,3)</f>
        <v>0.4444444477558136</v>
      </c>
      <c r="H787" t="str">
        <f t="shared" si="25"/>
        <v/>
      </c>
    </row>
    <row r="788" spans="1:8" x14ac:dyDescent="0.2">
      <c r="A788" t="s">
        <v>1553</v>
      </c>
      <c r="B788" t="s">
        <v>0</v>
      </c>
      <c r="D788" t="s">
        <v>2902</v>
      </c>
      <c r="E788" t="str" cm="1">
        <f t="array" ref="E788">IF(COUNTIF(A:A, "*" &amp; LEFT(D788, FIND(" ", D788 &amp; " ") - 1) &amp; "*") &gt; 0,INDEX(A:A,FuzzyVLookup(D788,A:A,0,,,3)),"Non-PDL")</f>
        <v>VIZIMPRO (dacomitinib)</v>
      </c>
      <c r="F788" t="str">
        <f t="shared" si="24"/>
        <v>Non-Preferred</v>
      </c>
      <c r="G788" s="1" cm="1">
        <f t="array" ref="G788">FuzzyPercent(D788,E788,3)</f>
        <v>0.42553192377090454</v>
      </c>
      <c r="H788" t="str">
        <f t="shared" si="25"/>
        <v/>
      </c>
    </row>
    <row r="789" spans="1:8" x14ac:dyDescent="0.2">
      <c r="A789" t="s">
        <v>1555</v>
      </c>
      <c r="B789" t="s">
        <v>0</v>
      </c>
      <c r="D789" t="s">
        <v>2903</v>
      </c>
      <c r="E789" t="str" cm="1">
        <f t="array" ref="E789">IF(COUNTIF(A:A, "*" &amp; LEFT(D789, FIND(" ", D789 &amp; " ") - 1) &amp; "*") &gt; 0,INDEX(A:A,FuzzyVLookup(D789,A:A,0,,,3)),"Non-PDL")</f>
        <v>VOQUEZNA (vonoprazan)</v>
      </c>
      <c r="F789" t="str">
        <f t="shared" si="24"/>
        <v>Non-Preferred</v>
      </c>
      <c r="G789" s="1" cm="1">
        <f t="array" ref="G789">FuzzyPercent(D789,E789,3)</f>
        <v>0.4444444477558136</v>
      </c>
      <c r="H789" t="str">
        <f t="shared" si="25"/>
        <v/>
      </c>
    </row>
    <row r="790" spans="1:8" x14ac:dyDescent="0.2">
      <c r="A790" t="s">
        <v>1557</v>
      </c>
      <c r="B790" t="s">
        <v>0</v>
      </c>
      <c r="D790" t="s">
        <v>2904</v>
      </c>
      <c r="E790" t="str" cm="1">
        <f t="array" ref="E790">IF(COUNTIF(A:A, "*" &amp; LEFT(D790, FIND(" ", D790 &amp; " ") - 1) &amp; "*") &gt; 0,INDEX(A:A,FuzzyVLookup(D790,A:A,0,,,3)),"Non-PDL")</f>
        <v>VOQUEZNA DUAL PAK (vonoprazan/amoxicillin)</v>
      </c>
      <c r="F790" t="str">
        <f t="shared" si="24"/>
        <v>Non-Preferred</v>
      </c>
      <c r="G790" s="1" cm="1">
        <f t="array" ref="G790">FuzzyPercent(D790,E790,3)</f>
        <v>0.65053761005401611</v>
      </c>
      <c r="H790" t="str">
        <f t="shared" si="25"/>
        <v/>
      </c>
    </row>
    <row r="791" spans="1:8" x14ac:dyDescent="0.2">
      <c r="A791" t="s">
        <v>1559</v>
      </c>
      <c r="B791" t="s">
        <v>0</v>
      </c>
      <c r="D791" t="s">
        <v>2905</v>
      </c>
      <c r="E791" t="str" cm="1">
        <f t="array" ref="E791">IF(COUNTIF(A:A, "*" &amp; LEFT(D791, FIND(" ", D791 &amp; " ") - 1) &amp; "*") &gt; 0,INDEX(A:A,FuzzyVLookup(D791,A:A,0,,,3)),"Non-PDL")</f>
        <v>VOQUEZNA TRIPLE PAK_x000D_(vonoprazan/amoxicillin/clarithromycin)</v>
      </c>
      <c r="F791" t="str">
        <f t="shared" si="24"/>
        <v>Non-Preferred</v>
      </c>
      <c r="G791" s="1" cm="1">
        <f t="array" ref="G791">FuzzyPercent(D791,E791,3)</f>
        <v>0.44718310236930847</v>
      </c>
      <c r="H791" t="str">
        <f t="shared" si="25"/>
        <v/>
      </c>
    </row>
    <row r="792" spans="1:8" x14ac:dyDescent="0.2">
      <c r="A792" t="s">
        <v>1561</v>
      </c>
      <c r="B792" t="s">
        <v>0</v>
      </c>
      <c r="D792" t="s">
        <v>2906</v>
      </c>
      <c r="E792" t="str" cm="1">
        <f t="array" ref="E792">IF(COUNTIF(A:A, "*" &amp; LEFT(D792, FIND(" ", D792 &amp; " ") - 1) &amp; "*") &gt; 0,INDEX(A:A,FuzzyVLookup(D792,A:A,0,,,3)),"Non-PDL")</f>
        <v>VONVENDI</v>
      </c>
      <c r="F792" t="str">
        <f t="shared" si="24"/>
        <v>Non-Preferred</v>
      </c>
      <c r="G792" s="1" cm="1">
        <f t="array" ref="G792">FuzzyPercent(D792,E792,3)</f>
        <v>0.26470589637756348</v>
      </c>
      <c r="H792" t="str">
        <f t="shared" si="25"/>
        <v>CHECK</v>
      </c>
    </row>
    <row r="793" spans="1:8" x14ac:dyDescent="0.2">
      <c r="A793" t="s">
        <v>1563</v>
      </c>
      <c r="B793" t="s">
        <v>0</v>
      </c>
      <c r="D793" t="s">
        <v>2907</v>
      </c>
      <c r="E793" t="str" cm="1">
        <f t="array" ref="E793">IF(COUNTIF(A:A, "*" &amp; LEFT(D793, FIND(" ", D793 &amp; " ") - 1) &amp; "*") &gt; 0,INDEX(A:A,FuzzyVLookup(D793,A:A,0,,,3)),"Non-PDL")</f>
        <v>VOTRIENT (pazopanib)</v>
      </c>
      <c r="F793" t="str">
        <f t="shared" si="24"/>
        <v>Preferred</v>
      </c>
      <c r="G793" s="1" cm="1">
        <f t="array" ref="G793">FuzzyPercent(D793,E793,3)</f>
        <v>0.46511629223823547</v>
      </c>
      <c r="H793" t="str">
        <f t="shared" si="25"/>
        <v/>
      </c>
    </row>
    <row r="794" spans="1:8" x14ac:dyDescent="0.2">
      <c r="A794" t="s">
        <v>1565</v>
      </c>
      <c r="B794" t="s">
        <v>0</v>
      </c>
      <c r="D794" t="s">
        <v>2908</v>
      </c>
      <c r="E794" t="str" cm="1">
        <f t="array" ref="E794">IF(COUNTIF(A:A, "*" &amp; LEFT(D794, FIND(" ", D794 &amp; " ") - 1) &amp; "*") &gt; 0,INDEX(A:A,FuzzyVLookup(D794,A:A,0,,,3)),"Non-PDL")</f>
        <v>VOXZOGO (vosoritide)</v>
      </c>
      <c r="F794" t="str">
        <f t="shared" si="24"/>
        <v>Non-Preferred</v>
      </c>
      <c r="G794" s="1" cm="1">
        <f t="array" ref="G794">FuzzyPercent(D794,E794,3)</f>
        <v>0.39024388790130615</v>
      </c>
      <c r="H794" t="str">
        <f t="shared" si="25"/>
        <v/>
      </c>
    </row>
    <row r="795" spans="1:8" x14ac:dyDescent="0.2">
      <c r="A795" t="s">
        <v>1567</v>
      </c>
      <c r="B795" t="s">
        <v>0</v>
      </c>
      <c r="D795" t="s">
        <v>2909</v>
      </c>
      <c r="E795" t="str" cm="1">
        <f t="array" ref="E795">IF(COUNTIF(A:A, "*" &amp; LEFT(D795, FIND(" ", D795 &amp; " ") - 1) &amp; "*") &gt; 0,INDEX(A:A,FuzzyVLookup(D795,A:A,0,,,3)),"Non-PDL")</f>
        <v>PRIVIGEN</v>
      </c>
      <c r="F795" t="str">
        <f t="shared" si="24"/>
        <v>Preferred</v>
      </c>
      <c r="G795" s="1" cm="1">
        <f t="array" ref="G795">FuzzyPercent(D795,E795,3)</f>
        <v>0.3333333432674408</v>
      </c>
      <c r="H795" t="str">
        <f t="shared" si="25"/>
        <v/>
      </c>
    </row>
    <row r="796" spans="1:8" x14ac:dyDescent="0.2">
      <c r="A796" t="s">
        <v>1569</v>
      </c>
      <c r="B796" t="s">
        <v>0</v>
      </c>
      <c r="D796" t="s">
        <v>2910</v>
      </c>
      <c r="E796" t="str" cm="1">
        <f t="array" ref="E796">IF(COUNTIF(A:A, "*" &amp; LEFT(D796, FIND(" ", D796 &amp; " ") - 1) &amp; "*") &gt; 0,INDEX(A:A,FuzzyVLookup(D796,A:A,0,,,3)),"Non-PDL")</f>
        <v>VRAYLAR (cariprazine)</v>
      </c>
      <c r="F796" t="str">
        <f t="shared" si="24"/>
        <v>Preferred</v>
      </c>
      <c r="G796" s="1" cm="1">
        <f t="array" ref="G796">FuzzyPercent(D796,E796,3)</f>
        <v>0.37209302186965942</v>
      </c>
      <c r="H796" t="str">
        <f t="shared" si="25"/>
        <v/>
      </c>
    </row>
    <row r="797" spans="1:8" x14ac:dyDescent="0.2">
      <c r="A797" t="s">
        <v>1571</v>
      </c>
      <c r="B797" t="s">
        <v>0</v>
      </c>
      <c r="D797" t="s">
        <v>2911</v>
      </c>
      <c r="E797" t="str" cm="1">
        <f t="array" ref="E797">IF(COUNTIF(A:A, "*" &amp; LEFT(D797, FIND(" ", D797 &amp; " ") - 1) &amp; "*") &gt; 0,INDEX(A:A,FuzzyVLookup(D797,A:A,0,,,3)),"Non-PDL")</f>
        <v>VTAMA (tapinarof)</v>
      </c>
      <c r="F797" t="str">
        <f t="shared" si="24"/>
        <v>Non-Preferred</v>
      </c>
      <c r="G797" s="1" cm="1">
        <f t="array" ref="G797">FuzzyPercent(D797,E797,3)</f>
        <v>0.19736842811107635</v>
      </c>
      <c r="H797" t="str">
        <f t="shared" si="25"/>
        <v>CHECK</v>
      </c>
    </row>
    <row r="798" spans="1:8" x14ac:dyDescent="0.2">
      <c r="A798" t="s">
        <v>1573</v>
      </c>
      <c r="B798" t="s">
        <v>0</v>
      </c>
      <c r="D798" t="s">
        <v>2912</v>
      </c>
      <c r="E798" t="str" cm="1">
        <f t="array" ref="E798">IF(COUNTIF(A:A, "*" &amp; LEFT(D798, FIND(" ", D798 &amp; " ") - 1) &amp; "*") &gt; 0,INDEX(A:A,FuzzyVLookup(D798,A:A,0,,,3)),"Non-PDL")</f>
        <v>VTAMA (tapinarof)</v>
      </c>
      <c r="F798" t="str">
        <f t="shared" si="24"/>
        <v>Non-Preferred</v>
      </c>
      <c r="G798" s="1" cm="1">
        <f t="array" ref="G798">FuzzyPercent(D798,E798,3)</f>
        <v>0.21621622145175934</v>
      </c>
      <c r="H798" t="str">
        <f t="shared" si="25"/>
        <v>CHECK</v>
      </c>
    </row>
    <row r="799" spans="1:8" x14ac:dyDescent="0.2">
      <c r="A799" t="s">
        <v>1575</v>
      </c>
      <c r="B799" t="s">
        <v>0</v>
      </c>
      <c r="D799" t="s">
        <v>2913</v>
      </c>
      <c r="E799" t="str" cm="1">
        <f t="array" ref="E799">IF(COUNTIF(A:A, "*" &amp; LEFT(D799, FIND(" ", D799 &amp; " ") - 1) &amp; "*") &gt; 0,INDEX(A:A,FuzzyVLookup(D799,A:A,0,,,3)),"Non-PDL")</f>
        <v>VYEPTI (eptinezumab-jjmr)</v>
      </c>
      <c r="F799" t="str">
        <f t="shared" si="24"/>
        <v>Non-Preferred</v>
      </c>
      <c r="G799" s="1" cm="1">
        <f t="array" ref="G799">FuzzyPercent(D799,E799,3)</f>
        <v>0.2772277295589447</v>
      </c>
      <c r="H799" t="str">
        <f t="shared" si="25"/>
        <v>CHECK</v>
      </c>
    </row>
    <row r="800" spans="1:8" x14ac:dyDescent="0.2">
      <c r="A800" t="s">
        <v>1577</v>
      </c>
      <c r="B800" t="s">
        <v>0</v>
      </c>
      <c r="D800" t="s">
        <v>2914</v>
      </c>
      <c r="E800" t="str" cm="1">
        <f t="array" ref="E800">IF(COUNTIF(A:A, "*" &amp; LEFT(D800, FIND(" ", D800 &amp; " ") - 1) &amp; "*") &gt; 0,INDEX(A:A,FuzzyVLookup(D800,A:A,0,,,3)),"Non-PDL")</f>
        <v>Non-PDL</v>
      </c>
      <c r="F800" t="str">
        <f t="shared" si="24"/>
        <v>Non-PDL</v>
      </c>
      <c r="G800" s="1" cm="1">
        <f t="array" ref="G800">FuzzyPercent(D800,E800,3)</f>
        <v>0</v>
      </c>
      <c r="H800" t="str">
        <f t="shared" si="25"/>
        <v/>
      </c>
    </row>
    <row r="801" spans="1:8" x14ac:dyDescent="0.2">
      <c r="A801" t="s">
        <v>3</v>
      </c>
      <c r="B801" t="s">
        <v>1</v>
      </c>
      <c r="D801" t="s">
        <v>2915</v>
      </c>
      <c r="E801" t="str" cm="1">
        <f t="array" ref="E801">IF(COUNTIF(A:A, "*" &amp; LEFT(D801, FIND(" ", D801 &amp; " ") - 1) &amp; "*") &gt; 0,INDEX(A:A,FuzzyVLookup(D801,A:A,0,,,3)),"Non-PDL")</f>
        <v>Non-PDL</v>
      </c>
      <c r="F801" t="str">
        <f t="shared" si="24"/>
        <v>Non-PDL</v>
      </c>
      <c r="G801" s="1" cm="1">
        <f t="array" ref="G801">FuzzyPercent(D801,E801,3)</f>
        <v>0.10000000149011612</v>
      </c>
      <c r="H801" t="str">
        <f t="shared" si="25"/>
        <v/>
      </c>
    </row>
    <row r="802" spans="1:8" x14ac:dyDescent="0.2">
      <c r="A802" t="s">
        <v>5</v>
      </c>
      <c r="B802" t="s">
        <v>1</v>
      </c>
      <c r="D802" t="s">
        <v>2916</v>
      </c>
      <c r="E802" t="str" cm="1">
        <f t="array" ref="E802">IF(COUNTIF(A:A, "*" &amp; LEFT(D802, FIND(" ", D802 &amp; " ") - 1) &amp; "*") &gt; 0,INDEX(A:A,FuzzyVLookup(D802,A:A,0,,,3)),"Non-PDL")</f>
        <v>Non-PDL</v>
      </c>
      <c r="F802" t="str">
        <f t="shared" si="24"/>
        <v>Non-PDL</v>
      </c>
      <c r="G802" s="1" cm="1">
        <f t="array" ref="G802">FuzzyPercent(D802,E802,3)</f>
        <v>3.9999999105930328E-2</v>
      </c>
      <c r="H802" t="str">
        <f t="shared" si="25"/>
        <v/>
      </c>
    </row>
    <row r="803" spans="1:8" x14ac:dyDescent="0.2">
      <c r="A803" t="s">
        <v>7</v>
      </c>
      <c r="B803" t="s">
        <v>1</v>
      </c>
      <c r="D803" t="s">
        <v>2917</v>
      </c>
      <c r="E803" t="str" cm="1">
        <f t="array" ref="E803">IF(COUNTIF(A:A, "*" &amp; LEFT(D803, FIND(" ", D803 &amp; " ") - 1) &amp; "*") &gt; 0,INDEX(A:A,FuzzyVLookup(D803,A:A,0,,,3)),"Non-PDL")</f>
        <v>VYONDYS-53 (golodirsen)</v>
      </c>
      <c r="F803" t="str">
        <f t="shared" si="24"/>
        <v>Preferred</v>
      </c>
      <c r="G803" s="1" cm="1">
        <f t="array" ref="G803">FuzzyPercent(D803,E803,3)</f>
        <v>0.35922330617904663</v>
      </c>
      <c r="H803" t="str">
        <f t="shared" si="25"/>
        <v/>
      </c>
    </row>
    <row r="804" spans="1:8" x14ac:dyDescent="0.2">
      <c r="A804" t="s">
        <v>9</v>
      </c>
      <c r="B804" t="s">
        <v>1</v>
      </c>
      <c r="D804" t="s">
        <v>2918</v>
      </c>
      <c r="E804" t="str" cm="1">
        <f t="array" ref="E804">IF(COUNTIF(A:A, "*" &amp; LEFT(D804, FIND(" ", D804 &amp; " ") - 1) &amp; "*") &gt; 0,INDEX(A:A,FuzzyVLookup(D804,A:A,0,,,3)),"Non-PDL")</f>
        <v>Non-PDL</v>
      </c>
      <c r="F804" t="str">
        <f t="shared" si="24"/>
        <v>Non-PDL</v>
      </c>
      <c r="G804" s="1" cm="1">
        <f t="array" ref="G804">FuzzyPercent(D804,E804,3)</f>
        <v>3.3333335071802139E-2</v>
      </c>
      <c r="H804" t="str">
        <f t="shared" si="25"/>
        <v/>
      </c>
    </row>
    <row r="805" spans="1:8" x14ac:dyDescent="0.2">
      <c r="A805" t="s">
        <v>11</v>
      </c>
      <c r="B805" t="s">
        <v>1</v>
      </c>
      <c r="D805" t="s">
        <v>2919</v>
      </c>
      <c r="E805" t="str" cm="1">
        <f t="array" ref="E805">IF(COUNTIF(A:A, "*" &amp; LEFT(D805, FIND(" ", D805 &amp; " ") - 1) &amp; "*") &gt; 0,INDEX(A:A,FuzzyVLookup(D805,A:A,0,,,3)),"Non-PDL")</f>
        <v>Non-PDL</v>
      </c>
      <c r="F805" t="str">
        <f t="shared" si="24"/>
        <v>Non-PDL</v>
      </c>
      <c r="G805" s="1" cm="1">
        <f t="array" ref="G805">FuzzyPercent(D805,E805,3)</f>
        <v>3.3333335071802139E-2</v>
      </c>
      <c r="H805" t="str">
        <f t="shared" si="25"/>
        <v/>
      </c>
    </row>
    <row r="806" spans="1:8" x14ac:dyDescent="0.2">
      <c r="A806" t="s">
        <v>13</v>
      </c>
      <c r="B806" t="s">
        <v>1</v>
      </c>
      <c r="D806" t="s">
        <v>2920</v>
      </c>
      <c r="E806" t="str" cm="1">
        <f t="array" ref="E806">IF(COUNTIF(A:A, "*" &amp; LEFT(D806, FIND(" ", D806 &amp; " ") - 1) &amp; "*") &gt; 0,INDEX(A:A,FuzzyVLookup(D806,A:A,0,,,3)),"Non-PDL")</f>
        <v>WAKIX (pitolisant)</v>
      </c>
      <c r="F806" t="str">
        <f t="shared" si="24"/>
        <v>Non-Preferred</v>
      </c>
      <c r="G806" s="1" cm="1">
        <f t="array" ref="G806">FuzzyPercent(D806,E806,3)</f>
        <v>0.29411765933036804</v>
      </c>
      <c r="H806" t="str">
        <f t="shared" si="25"/>
        <v>CHECK</v>
      </c>
    </row>
    <row r="807" spans="1:8" x14ac:dyDescent="0.2">
      <c r="A807" t="s">
        <v>15</v>
      </c>
      <c r="B807" t="s">
        <v>1</v>
      </c>
      <c r="D807" t="s">
        <v>2921</v>
      </c>
      <c r="E807" t="str" cm="1">
        <f t="array" ref="E807">IF(COUNTIF(A:A, "*" &amp; LEFT(D807, FIND(" ", D807 &amp; " ") - 1) &amp; "*") &gt; 0,INDEX(A:A,FuzzyVLookup(D807,A:A,0,,,3)),"Non-PDL")</f>
        <v>Non-PDL</v>
      </c>
      <c r="F807" t="str">
        <f t="shared" si="24"/>
        <v>Non-PDL</v>
      </c>
      <c r="G807" s="1" cm="1">
        <f t="array" ref="G807">FuzzyPercent(D807,E807,3)</f>
        <v>3.3333335071802139E-2</v>
      </c>
      <c r="H807" t="str">
        <f t="shared" si="25"/>
        <v/>
      </c>
    </row>
    <row r="808" spans="1:8" x14ac:dyDescent="0.2">
      <c r="A808" t="s">
        <v>17</v>
      </c>
      <c r="B808" t="s">
        <v>1</v>
      </c>
      <c r="D808" t="s">
        <v>2922</v>
      </c>
      <c r="E808" t="str" cm="1">
        <f t="array" ref="E808">IF(COUNTIF(A:A, "*" &amp; LEFT(D808, FIND(" ", D808 &amp; " ") - 1) &amp; "*") &gt; 0,INDEX(A:A,FuzzyVLookup(D808,A:A,0,,,3)),"Non-PDL")</f>
        <v>WINLEVI (clascoterone) cream</v>
      </c>
      <c r="F808" t="str">
        <f t="shared" si="24"/>
        <v>Non-Preferred</v>
      </c>
      <c r="G808" s="1" cm="1">
        <f t="array" ref="G808">FuzzyPercent(D808,E808,3)</f>
        <v>0.27350428700447083</v>
      </c>
      <c r="H808" t="str">
        <f t="shared" si="25"/>
        <v>CHECK</v>
      </c>
    </row>
    <row r="809" spans="1:8" x14ac:dyDescent="0.2">
      <c r="A809" t="s">
        <v>19</v>
      </c>
      <c r="B809" t="s">
        <v>1</v>
      </c>
      <c r="D809" t="s">
        <v>2923</v>
      </c>
      <c r="E809" t="str" cm="1">
        <f t="array" ref="E809">IF(COUNTIF(A:A, "*" &amp; LEFT(D809, FIND(" ", D809 &amp; " ") - 1) &amp; "*") &gt; 0,INDEX(A:A,FuzzyVLookup(D809,A:A,0,,,3)),"Non-PDL")</f>
        <v>WINREVAIR (sotatercept-csrk)</v>
      </c>
      <c r="F809" t="str">
        <f t="shared" si="24"/>
        <v>Non-Preferred</v>
      </c>
      <c r="G809" s="1" cm="1">
        <f t="array" ref="G809">FuzzyPercent(D809,E809,3)</f>
        <v>0.38732394576072693</v>
      </c>
      <c r="H809" t="str">
        <f t="shared" si="25"/>
        <v/>
      </c>
    </row>
    <row r="810" spans="1:8" x14ac:dyDescent="0.2">
      <c r="A810" t="s">
        <v>21</v>
      </c>
      <c r="B810" t="s">
        <v>1</v>
      </c>
      <c r="D810" t="s">
        <v>2924</v>
      </c>
      <c r="E810" t="str" cm="1">
        <f t="array" ref="E810">IF(COUNTIF(A:A, "*" &amp; LEFT(D810, FIND(" ", D810 &amp; " ") - 1) &amp; "*") &gt; 0,INDEX(A:A,FuzzyVLookup(D810,A:A,0,,,3)),"Non-PDL")</f>
        <v>WILATE</v>
      </c>
      <c r="F810" t="str">
        <f t="shared" si="24"/>
        <v>Preferred</v>
      </c>
      <c r="G810" s="1" cm="1">
        <f t="array" ref="G810">FuzzyPercent(D810,E810,3)</f>
        <v>0.3571428656578064</v>
      </c>
      <c r="H810" t="str">
        <f t="shared" si="25"/>
        <v/>
      </c>
    </row>
    <row r="811" spans="1:8" x14ac:dyDescent="0.2">
      <c r="A811" t="s">
        <v>23</v>
      </c>
      <c r="B811" t="s">
        <v>1</v>
      </c>
      <c r="D811" t="s">
        <v>2925</v>
      </c>
      <c r="E811" t="str" cm="1">
        <f t="array" ref="E811">IF(COUNTIF(A:A, "*" &amp; LEFT(D811, FIND(" ", D811 &amp; " ") - 1) &amp; "*") &gt; 0,INDEX(A:A,FuzzyVLookup(D811,A:A,0,,,3)),"Non-PDL")</f>
        <v>XALKORI (crizotinib)</v>
      </c>
      <c r="F811" t="str">
        <f t="shared" si="24"/>
        <v>Preferred</v>
      </c>
      <c r="G811" s="1" cm="1">
        <f t="array" ref="G811">FuzzyPercent(D811,E811,3)</f>
        <v>0.36936935782432556</v>
      </c>
      <c r="H811" t="str">
        <f t="shared" si="25"/>
        <v/>
      </c>
    </row>
    <row r="812" spans="1:8" x14ac:dyDescent="0.2">
      <c r="A812" t="s">
        <v>25</v>
      </c>
      <c r="B812" t="s">
        <v>1</v>
      </c>
      <c r="D812" t="s">
        <v>2926</v>
      </c>
      <c r="E812" t="str" cm="1">
        <f t="array" ref="E812">IF(COUNTIF(A:A, "*" &amp; LEFT(D812, FIND(" ", D812 &amp; " ") - 1) &amp; "*") &gt; 0,INDEX(A:A,FuzzyVLookup(D812,A:A,0,,,3)),"Non-PDL")</f>
        <v>divalproex sprinkle</v>
      </c>
      <c r="F812" t="str">
        <f t="shared" si="24"/>
        <v>Preferred</v>
      </c>
      <c r="G812" s="1" cm="1">
        <f t="array" ref="G812">FuzzyPercent(D812,E812,3)</f>
        <v>0.2738095223903656</v>
      </c>
      <c r="H812" t="str">
        <f t="shared" si="25"/>
        <v>CHECK</v>
      </c>
    </row>
    <row r="813" spans="1:8" x14ac:dyDescent="0.2">
      <c r="A813" t="s">
        <v>27</v>
      </c>
      <c r="B813" t="s">
        <v>1</v>
      </c>
      <c r="D813" t="s">
        <v>2927</v>
      </c>
      <c r="E813" t="str" cm="1">
        <f t="array" ref="E813">IF(COUNTIF(A:A, "*" &amp; LEFT(D813, FIND(" ", D813 &amp; " ") - 1) &amp; "*") &gt; 0,INDEX(A:A,FuzzyVLookup(D813,A:A,0,,,3)),"Non-PDL")</f>
        <v>Non-PDL</v>
      </c>
      <c r="F813" t="str">
        <f t="shared" si="24"/>
        <v>Non-PDL</v>
      </c>
      <c r="G813" s="1" cm="1">
        <f t="array" ref="G813">FuzzyPercent(D813,E813,3)</f>
        <v>2.4390242993831635E-2</v>
      </c>
      <c r="H813" t="str">
        <f t="shared" si="25"/>
        <v/>
      </c>
    </row>
    <row r="814" spans="1:8" x14ac:dyDescent="0.2">
      <c r="A814" t="s">
        <v>29</v>
      </c>
      <c r="B814" t="s">
        <v>1</v>
      </c>
      <c r="D814" t="s">
        <v>2928</v>
      </c>
      <c r="E814" t="str" cm="1">
        <f t="array" ref="E814">IF(COUNTIF(A:A, "*" &amp; LEFT(D814, FIND(" ", D814 &amp; " ") - 1) &amp; "*") &gt; 0,INDEX(A:A,FuzzyVLookup(D814,A:A,0,,,3)),"Non-PDL")</f>
        <v>Non-PDL</v>
      </c>
      <c r="F814" t="str">
        <f t="shared" si="24"/>
        <v>Non-PDL</v>
      </c>
      <c r="G814" s="1" cm="1">
        <f t="array" ref="G814">FuzzyPercent(D814,E814,3)</f>
        <v>6.25E-2</v>
      </c>
      <c r="H814" t="str">
        <f t="shared" si="25"/>
        <v/>
      </c>
    </row>
    <row r="815" spans="1:8" x14ac:dyDescent="0.2">
      <c r="A815" t="s">
        <v>31</v>
      </c>
      <c r="B815" t="s">
        <v>1</v>
      </c>
      <c r="D815" t="s">
        <v>2929</v>
      </c>
      <c r="E815" t="str" cm="1">
        <f t="array" ref="E815">IF(COUNTIF(A:A, "*" &amp; LEFT(D815, FIND(" ", D815 &amp; " ") - 1) &amp; "*") &gt; 0,INDEX(A:A,FuzzyVLookup(D815,A:A,0,,,3)),"Non-PDL")</f>
        <v>Non-PDL</v>
      </c>
      <c r="F815" t="str">
        <f t="shared" si="24"/>
        <v>Non-PDL</v>
      </c>
      <c r="G815" s="1" cm="1">
        <f t="array" ref="G815">FuzzyPercent(D815,E815,3)</f>
        <v>1.5151515603065491E-2</v>
      </c>
      <c r="H815" t="str">
        <f t="shared" si="25"/>
        <v/>
      </c>
    </row>
    <row r="816" spans="1:8" x14ac:dyDescent="0.2">
      <c r="A816" t="s">
        <v>33</v>
      </c>
      <c r="B816" t="s">
        <v>1</v>
      </c>
      <c r="D816" t="s">
        <v>2930</v>
      </c>
      <c r="E816" t="str" cm="1">
        <f t="array" ref="E816">IF(COUNTIF(A:A, "*" &amp; LEFT(D816, FIND(" ", D816 &amp; " ") - 1) &amp; "*") &gt; 0,INDEX(A:A,FuzzyVLookup(D816,A:A,0,,,3)),"Non-PDL")</f>
        <v>Non-PDL</v>
      </c>
      <c r="F816" t="str">
        <f t="shared" si="24"/>
        <v>Non-PDL</v>
      </c>
      <c r="G816" s="1" cm="1">
        <f t="array" ref="G816">FuzzyPercent(D816,E816,3)</f>
        <v>1.315789483487606E-2</v>
      </c>
      <c r="H816" t="str">
        <f t="shared" si="25"/>
        <v/>
      </c>
    </row>
    <row r="817" spans="1:8" x14ac:dyDescent="0.2">
      <c r="A817" t="s">
        <v>35</v>
      </c>
      <c r="B817" t="s">
        <v>1</v>
      </c>
      <c r="D817" t="s">
        <v>2931</v>
      </c>
      <c r="E817" t="str" cm="1">
        <f t="array" ref="E817">IF(COUNTIF(A:A, "*" &amp; LEFT(D817, FIND(" ", D817 &amp; " ") - 1) &amp; "*") &gt; 0,INDEX(A:A,FuzzyVLookup(D817,A:A,0,,,3)),"Non-PDL")</f>
        <v>Non-PDL</v>
      </c>
      <c r="F817" t="str">
        <f t="shared" si="24"/>
        <v>Non-PDL</v>
      </c>
      <c r="G817" s="1" cm="1">
        <f t="array" ref="G817">FuzzyPercent(D817,E817,3)</f>
        <v>6.6666670143604279E-2</v>
      </c>
      <c r="H817" t="str">
        <f t="shared" si="25"/>
        <v/>
      </c>
    </row>
    <row r="818" spans="1:8" x14ac:dyDescent="0.2">
      <c r="A818" t="s">
        <v>37</v>
      </c>
      <c r="B818" t="s">
        <v>1</v>
      </c>
      <c r="D818" t="s">
        <v>2932</v>
      </c>
      <c r="E818" t="str" cm="1">
        <f t="array" ref="E818">IF(COUNTIF(A:A, "*" &amp; LEFT(D818, FIND(" ", D818 &amp; " ") - 1) &amp; "*") &gt; 0,INDEX(A:A,FuzzyVLookup(D818,A:A,0,,,3)),"Non-PDL")</f>
        <v>Non-PDL</v>
      </c>
      <c r="F818" t="str">
        <f t="shared" si="24"/>
        <v>Non-PDL</v>
      </c>
      <c r="G818" s="1" cm="1">
        <f t="array" ref="G818">FuzzyPercent(D818,E818,3)</f>
        <v>0</v>
      </c>
      <c r="H818" t="str">
        <f t="shared" si="25"/>
        <v/>
      </c>
    </row>
    <row r="819" spans="1:8" x14ac:dyDescent="0.2">
      <c r="A819" t="s">
        <v>39</v>
      </c>
      <c r="B819" t="s">
        <v>1</v>
      </c>
      <c r="D819" t="s">
        <v>2933</v>
      </c>
      <c r="E819" t="str" cm="1">
        <f t="array" ref="E819">IF(COUNTIF(A:A, "*" &amp; LEFT(D819, FIND(" ", D819 &amp; " ") - 1) &amp; "*") &gt; 0,INDEX(A:A,FuzzyVLookup(D819,A:A,0,,,3)),"Non-PDL")</f>
        <v>XELJANZ XR (tofacitinib)</v>
      </c>
      <c r="F819" t="str">
        <f t="shared" si="24"/>
        <v>Non-Preferred</v>
      </c>
      <c r="G819" s="1" cm="1">
        <f t="array" ref="G819">FuzzyPercent(D819,E819,3)</f>
        <v>0.31999999284744263</v>
      </c>
      <c r="H819" t="str">
        <f t="shared" si="25"/>
        <v/>
      </c>
    </row>
    <row r="820" spans="1:8" x14ac:dyDescent="0.2">
      <c r="A820" t="s">
        <v>41</v>
      </c>
      <c r="B820" t="s">
        <v>1</v>
      </c>
      <c r="D820" t="s">
        <v>2934</v>
      </c>
      <c r="E820" t="str" cm="1">
        <f t="array" ref="E820">IF(COUNTIF(A:A, "*" &amp; LEFT(D820, FIND(" ", D820 &amp; " ") - 1) &amp; "*") &gt; 0,INDEX(A:A,FuzzyVLookup(D820,A:A,0,,,3)),"Non-PDL")</f>
        <v>XENAZINE (tetrabenazine)</v>
      </c>
      <c r="F820" t="str">
        <f t="shared" si="24"/>
        <v>Non-Preferred</v>
      </c>
      <c r="G820" s="1" cm="1">
        <f t="array" ref="G820">FuzzyPercent(D820,E820,3)</f>
        <v>0.38461539149284363</v>
      </c>
      <c r="H820" t="str">
        <f t="shared" si="25"/>
        <v/>
      </c>
    </row>
    <row r="821" spans="1:8" x14ac:dyDescent="0.2">
      <c r="A821" t="s">
        <v>43</v>
      </c>
      <c r="B821" t="s">
        <v>1</v>
      </c>
      <c r="D821" t="s">
        <v>2935</v>
      </c>
      <c r="E821" t="str" cm="1">
        <f t="array" ref="E821">IF(COUNTIF(A:A, "*" &amp; LEFT(D821, FIND(" ", D821 &amp; " ") - 1) &amp; "*") &gt; 0,INDEX(A:A,FuzzyVLookup(D821,A:A,0,,,3)),"Non-PDL")</f>
        <v>Non-PDL</v>
      </c>
      <c r="F821" t="str">
        <f t="shared" si="24"/>
        <v>Non-PDL</v>
      </c>
      <c r="G821" s="1" cm="1">
        <f t="array" ref="G821">FuzzyPercent(D821,E821,3)</f>
        <v>6.6666670143604279E-2</v>
      </c>
      <c r="H821" t="str">
        <f t="shared" si="25"/>
        <v/>
      </c>
    </row>
    <row r="822" spans="1:8" x14ac:dyDescent="0.2">
      <c r="A822" t="s">
        <v>45</v>
      </c>
      <c r="B822" t="s">
        <v>1</v>
      </c>
      <c r="D822" t="s">
        <v>2936</v>
      </c>
      <c r="E822" t="str" cm="1">
        <f t="array" ref="E822">IF(COUNTIF(A:A, "*" &amp; LEFT(D822, FIND(" ", D822 &amp; " ") - 1) &amp; "*") &gt; 0,INDEX(A:A,FuzzyVLookup(D822,A:A,0,,,3)),"Non-PDL")</f>
        <v>XIGDUO XR (dapagliflozin/metformin)</v>
      </c>
      <c r="F822" t="str">
        <f t="shared" si="24"/>
        <v>Non-Preferred</v>
      </c>
      <c r="G822" s="1" cm="1">
        <f t="array" ref="G822">FuzzyPercent(D822,E822,3)</f>
        <v>0.29870128631591797</v>
      </c>
      <c r="H822" t="str">
        <f t="shared" si="25"/>
        <v>CHECK</v>
      </c>
    </row>
    <row r="823" spans="1:8" x14ac:dyDescent="0.2">
      <c r="A823" t="s">
        <v>47</v>
      </c>
      <c r="B823" t="s">
        <v>1</v>
      </c>
      <c r="D823" t="s">
        <v>2937</v>
      </c>
      <c r="E823" t="str" cm="1">
        <f t="array" ref="E823">IF(COUNTIF(A:A, "*" &amp; LEFT(D823, FIND(" ", D823 &amp; " ") - 1) &amp; "*") &gt; 0,INDEX(A:A,FuzzyVLookup(D823,A:A,0,,,3)),"Non-PDL")</f>
        <v>Non-PDL</v>
      </c>
      <c r="F823" t="str">
        <f t="shared" si="24"/>
        <v>Non-PDL</v>
      </c>
      <c r="G823" s="1" cm="1">
        <f t="array" ref="G823">FuzzyPercent(D823,E823,3)</f>
        <v>6.6666670143604279E-2</v>
      </c>
      <c r="H823" t="str">
        <f t="shared" si="25"/>
        <v/>
      </c>
    </row>
    <row r="824" spans="1:8" x14ac:dyDescent="0.2">
      <c r="A824" t="s">
        <v>49</v>
      </c>
      <c r="B824" t="s">
        <v>1</v>
      </c>
      <c r="D824" t="s">
        <v>2938</v>
      </c>
      <c r="E824" t="str" cm="1">
        <f t="array" ref="E824">IF(COUNTIF(A:A, "*" &amp; LEFT(D824, FIND(" ", D824 &amp; " ") - 1) &amp; "*") &gt; 0,INDEX(A:A,FuzzyVLookup(D824,A:A,0,,,3)),"Non-PDL")</f>
        <v>XOFLUZA (baloxavir)</v>
      </c>
      <c r="F824" t="str">
        <f t="shared" si="24"/>
        <v>Preferred</v>
      </c>
      <c r="G824" s="1" cm="1">
        <f t="array" ref="G824">FuzzyPercent(D824,E824,3)</f>
        <v>0.42105263471603394</v>
      </c>
      <c r="H824" t="str">
        <f t="shared" si="25"/>
        <v/>
      </c>
    </row>
    <row r="825" spans="1:8" x14ac:dyDescent="0.2">
      <c r="A825" t="s">
        <v>51</v>
      </c>
      <c r="B825" t="s">
        <v>1</v>
      </c>
      <c r="D825" t="s">
        <v>2939</v>
      </c>
      <c r="E825" t="str" cm="1">
        <f t="array" ref="E825">IF(COUNTIF(A:A, "*" &amp; LEFT(D825, FIND(" ", D825 &amp; " ") - 1) &amp; "*") &gt; 0,INDEX(A:A,FuzzyVLookup(D825,A:A,0,,,3)),"Non-PDL")</f>
        <v>XOLAIR (omalizumab)</v>
      </c>
      <c r="F825" t="str">
        <f t="shared" si="24"/>
        <v>Preferred</v>
      </c>
      <c r="G825" s="1" cm="1">
        <f t="array" ref="G825">FuzzyPercent(D825,E825,3)</f>
        <v>0.27272728085517883</v>
      </c>
      <c r="H825" t="str">
        <f t="shared" si="25"/>
        <v>CHECK</v>
      </c>
    </row>
    <row r="826" spans="1:8" x14ac:dyDescent="0.2">
      <c r="A826" t="s">
        <v>53</v>
      </c>
      <c r="B826" t="s">
        <v>1</v>
      </c>
      <c r="D826" t="s">
        <v>2940</v>
      </c>
      <c r="E826" t="str" cm="1">
        <f t="array" ref="E826">IF(COUNTIF(A:A, "*" &amp; LEFT(D826, FIND(" ", D826 &amp; " ") - 1) &amp; "*") &gt; 0,INDEX(A:A,FuzzyVLookup(D826,A:A,0,,,3)),"Non-PDL")</f>
        <v>XOPENEX HFA (levalbuterol)</v>
      </c>
      <c r="F826" t="str">
        <f t="shared" si="24"/>
        <v>Non-Preferred</v>
      </c>
      <c r="G826" s="1" cm="1">
        <f t="array" ref="G826">FuzzyPercent(D826,E826,3)</f>
        <v>0.48333331942558289</v>
      </c>
      <c r="H826" t="str">
        <f t="shared" si="25"/>
        <v/>
      </c>
    </row>
    <row r="827" spans="1:8" x14ac:dyDescent="0.2">
      <c r="A827" t="s">
        <v>55</v>
      </c>
      <c r="B827" t="s">
        <v>1</v>
      </c>
      <c r="D827" t="s">
        <v>2941</v>
      </c>
      <c r="E827" t="str" cm="1">
        <f t="array" ref="E827">IF(COUNTIF(A:A, "*" &amp; LEFT(D827, FIND(" ", D827 &amp; " ") - 1) &amp; "*") &gt; 0,INDEX(A:A,FuzzyVLookup(D827,A:A,0,,,3)),"Non-PDL")</f>
        <v>XTANDI (enzalutamide)</v>
      </c>
      <c r="F827" t="str">
        <f t="shared" si="24"/>
        <v>Preferred</v>
      </c>
      <c r="G827" s="1" cm="1">
        <f t="array" ref="G827">FuzzyPercent(D827,E827,3)</f>
        <v>0.3333333432674408</v>
      </c>
      <c r="H827" t="str">
        <f t="shared" si="25"/>
        <v/>
      </c>
    </row>
    <row r="828" spans="1:8" x14ac:dyDescent="0.2">
      <c r="A828" t="s">
        <v>57</v>
      </c>
      <c r="B828" t="s">
        <v>1</v>
      </c>
      <c r="D828" t="s">
        <v>2942</v>
      </c>
      <c r="E828" t="str" cm="1">
        <f t="array" ref="E828">IF(COUNTIF(A:A, "*" &amp; LEFT(D828, FIND(" ", D828 &amp; " ") - 1) &amp; "*") &gt; 0,INDEX(A:A,FuzzyVLookup(D828,A:A,0,,,3)),"Non-PDL")</f>
        <v>Non-PDL</v>
      </c>
      <c r="F828" t="str">
        <f t="shared" si="24"/>
        <v>Non-PDL</v>
      </c>
      <c r="G828" s="1" cm="1">
        <f t="array" ref="G828">FuzzyPercent(D828,E828,3)</f>
        <v>3.3333335071802139E-2</v>
      </c>
      <c r="H828" t="str">
        <f t="shared" si="25"/>
        <v/>
      </c>
    </row>
    <row r="829" spans="1:8" x14ac:dyDescent="0.2">
      <c r="A829" t="s">
        <v>59</v>
      </c>
      <c r="B829" t="s">
        <v>1</v>
      </c>
      <c r="D829" t="s">
        <v>2943</v>
      </c>
      <c r="E829" t="str" cm="1">
        <f t="array" ref="E829">IF(COUNTIF(A:A, "*" &amp; LEFT(D829, FIND(" ", D829 &amp; " ") - 1) &amp; "*") &gt; 0,INDEX(A:A,FuzzyVLookup(D829,A:A,0,,,3)),"Non-PDL")</f>
        <v>XULTOPHY (insulin degludec/liraglutide)</v>
      </c>
      <c r="F829" t="str">
        <f t="shared" si="24"/>
        <v>Non-Preferred</v>
      </c>
      <c r="G829" s="1" cm="1">
        <f t="array" ref="G829">FuzzyPercent(D829,E829,3)</f>
        <v>0.23529411852359772</v>
      </c>
      <c r="H829" t="str">
        <f t="shared" si="25"/>
        <v>CHECK</v>
      </c>
    </row>
    <row r="830" spans="1:8" x14ac:dyDescent="0.2">
      <c r="A830" t="s">
        <v>61</v>
      </c>
      <c r="B830" t="s">
        <v>1</v>
      </c>
      <c r="D830" t="s">
        <v>2944</v>
      </c>
      <c r="E830" t="str" cm="1">
        <f t="array" ref="E830">IF(COUNTIF(A:A, "*" &amp; LEFT(D830, FIND(" ", D830 &amp; " ") - 1) &amp; "*") &gt; 0,INDEX(A:A,FuzzyVLookup(D830,A:A,0,,,3)),"Non-PDL")</f>
        <v>lanthanum</v>
      </c>
      <c r="F830" t="str">
        <f t="shared" si="24"/>
        <v>Non-Preferred</v>
      </c>
      <c r="G830" s="1" cm="1">
        <f t="array" ref="G830">FuzzyPercent(D830,E830,3)</f>
        <v>0.37837839126586914</v>
      </c>
      <c r="H830" t="str">
        <f t="shared" si="25"/>
        <v/>
      </c>
    </row>
    <row r="831" spans="1:8" x14ac:dyDescent="0.2">
      <c r="A831" t="s">
        <v>63</v>
      </c>
      <c r="B831" t="s">
        <v>1</v>
      </c>
      <c r="D831" t="s">
        <v>2945</v>
      </c>
      <c r="E831" t="str" cm="1">
        <f t="array" ref="E831">IF(COUNTIF(A:A, "*" &amp; LEFT(D831, FIND(" ", D831 &amp; " ") - 1) &amp; "*") &gt; 0,INDEX(A:A,FuzzyVLookup(D831,A:A,0,,,3)),"Non-PDL")</f>
        <v>XYREM (sodium oxybate)</v>
      </c>
      <c r="F831" t="str">
        <f t="shared" si="24"/>
        <v>Preferred</v>
      </c>
      <c r="G831" s="1" cm="1">
        <f t="array" ref="G831">FuzzyPercent(D831,E831,3)</f>
        <v>0.2380952388048172</v>
      </c>
      <c r="H831" t="str">
        <f t="shared" si="25"/>
        <v>CHECK</v>
      </c>
    </row>
    <row r="832" spans="1:8" x14ac:dyDescent="0.2">
      <c r="A832" t="s">
        <v>65</v>
      </c>
      <c r="B832" t="s">
        <v>1</v>
      </c>
      <c r="D832" t="s">
        <v>2946</v>
      </c>
      <c r="E832" t="str" cm="1">
        <f t="array" ref="E832">IF(COUNTIF(A:A, "*" &amp; LEFT(D832, FIND(" ", D832 &amp; " ") - 1) &amp; "*") &gt; 0,INDEX(A:A,FuzzyVLookup(D832,A:A,0,,,3)),"Non-PDL")</f>
        <v>warfarin</v>
      </c>
      <c r="F832" t="str">
        <f t="shared" si="24"/>
        <v>Preferred</v>
      </c>
      <c r="G832" s="1" cm="1">
        <f t="array" ref="G832">FuzzyPercent(D832,E832,3)</f>
        <v>0.1666666716337204</v>
      </c>
      <c r="H832" t="str">
        <f t="shared" si="25"/>
        <v>CHECK</v>
      </c>
    </row>
    <row r="833" spans="1:8" x14ac:dyDescent="0.2">
      <c r="A833" t="s">
        <v>67</v>
      </c>
      <c r="B833" t="s">
        <v>1</v>
      </c>
      <c r="D833" t="s">
        <v>2947</v>
      </c>
      <c r="E833" t="str" cm="1">
        <f t="array" ref="E833">IF(COUNTIF(A:A, "*" &amp; LEFT(D833, FIND(" ", D833 &amp; " ") - 1) &amp; "*") &gt; 0,INDEX(A:A,FuzzyVLookup(D833,A:A,0,,,3)),"Non-PDL")</f>
        <v>Non-PDL</v>
      </c>
      <c r="F833" t="str">
        <f t="shared" si="24"/>
        <v>Non-PDL</v>
      </c>
      <c r="G833" s="1" cm="1">
        <f t="array" ref="G833">FuzzyPercent(D833,E833,3)</f>
        <v>3.3333335071802139E-2</v>
      </c>
      <c r="H833" t="str">
        <f t="shared" si="25"/>
        <v/>
      </c>
    </row>
    <row r="834" spans="1:8" x14ac:dyDescent="0.2">
      <c r="A834" t="s">
        <v>69</v>
      </c>
      <c r="B834" t="s">
        <v>1</v>
      </c>
      <c r="D834" t="s">
        <v>2948</v>
      </c>
      <c r="E834" t="str" cm="1">
        <f t="array" ref="E834">IF(COUNTIF(A:A, "*" &amp; LEFT(D834, FIND(" ", D834 &amp; " ") - 1) &amp; "*") &gt; 0,INDEX(A:A,FuzzyVLookup(D834,A:A,0,,,3)),"Non-PDL")</f>
        <v>Non-PDL</v>
      </c>
      <c r="F834" t="str">
        <f t="shared" si="24"/>
        <v>Non-PDL</v>
      </c>
      <c r="G834" s="1" cm="1">
        <f t="array" ref="G834">FuzzyPercent(D834,E834,3)</f>
        <v>3.3333335071802139E-2</v>
      </c>
      <c r="H834" t="str">
        <f t="shared" si="25"/>
        <v/>
      </c>
    </row>
    <row r="835" spans="1:8" x14ac:dyDescent="0.2">
      <c r="A835" t="s">
        <v>71</v>
      </c>
      <c r="B835" t="s">
        <v>1</v>
      </c>
      <c r="D835" t="s">
        <v>2949</v>
      </c>
      <c r="E835" t="str" cm="1">
        <f t="array" ref="E835">IF(COUNTIF(A:A, "*" &amp; LEFT(D835, FIND(" ", D835 &amp; " ") - 1) &amp; "*") &gt; 0,INDEX(A:A,FuzzyVLookup(D835,A:A,0,,,3)),"Non-PDL")</f>
        <v>Non-PDL</v>
      </c>
      <c r="F835" t="str">
        <f t="shared" ref="F835:F867" si="26">_xlfn.IFNA(_xlfn.XLOOKUP(E835,A:A,B:B),"Non-PDL")</f>
        <v>Non-PDL</v>
      </c>
      <c r="G835" s="1" cm="1">
        <f t="array" ref="G835">FuzzyPercent(D835,E835,3)</f>
        <v>0</v>
      </c>
      <c r="H835" t="str">
        <f t="shared" ref="H835:H867" si="27">IF(F835="Non-PDL","",IF(G835&lt;0.3,"CHECK",""))</f>
        <v/>
      </c>
    </row>
    <row r="836" spans="1:8" x14ac:dyDescent="0.2">
      <c r="A836" t="s">
        <v>73</v>
      </c>
      <c r="B836" t="s">
        <v>1</v>
      </c>
      <c r="D836" t="s">
        <v>2950</v>
      </c>
      <c r="E836" t="str" cm="1">
        <f t="array" ref="E836">IF(COUNTIF(A:A, "*" &amp; LEFT(D836, FIND(" ", D836 &amp; " ") - 1) &amp; "*") &gt; 0,INDEX(A:A,FuzzyVLookup(D836,A:A,0,,,3)),"Non-PDL")</f>
        <v>YORVIPATH (palopegteriparatide)</v>
      </c>
      <c r="F836" t="str">
        <f t="shared" si="26"/>
        <v>Non-Preferred</v>
      </c>
      <c r="G836" s="1" cm="1">
        <f t="array" ref="G836">FuzzyPercent(D836,E836,3)</f>
        <v>0.3382352888584137</v>
      </c>
      <c r="H836" t="str">
        <f t="shared" si="27"/>
        <v/>
      </c>
    </row>
    <row r="837" spans="1:8" x14ac:dyDescent="0.2">
      <c r="A837" t="s">
        <v>75</v>
      </c>
      <c r="B837" t="s">
        <v>1</v>
      </c>
      <c r="D837" t="s">
        <v>2951</v>
      </c>
      <c r="E837" t="str" cm="1">
        <f t="array" ref="E837">IF(COUNTIF(A:A, "*" &amp; LEFT(D837, FIND(" ", D837 &amp; " ") - 1) &amp; "*") &gt; 0,INDEX(A:A,FuzzyVLookup(D837,A:A,0,,,3)),"Non-PDL")</f>
        <v>YUFLYMA (adalimumab-aaty)</v>
      </c>
      <c r="F837" t="str">
        <f t="shared" si="26"/>
        <v>Non-Preferred</v>
      </c>
      <c r="G837" s="1" cm="1">
        <f t="array" ref="G837">FuzzyPercent(D837,E837,3)</f>
        <v>0.31067961454391479</v>
      </c>
      <c r="H837" t="str">
        <f t="shared" si="27"/>
        <v/>
      </c>
    </row>
    <row r="838" spans="1:8" x14ac:dyDescent="0.2">
      <c r="A838" t="s">
        <v>77</v>
      </c>
      <c r="B838" t="s">
        <v>1</v>
      </c>
      <c r="D838" t="s">
        <v>2952</v>
      </c>
      <c r="E838" t="str" cm="1">
        <f t="array" ref="E838">IF(COUNTIF(A:A, "*" &amp; LEFT(D838, FIND(" ", D838 &amp; " ") - 1) &amp; "*") &gt; 0,INDEX(A:A,FuzzyVLookup(D838,A:A,0,,,3)),"Non-PDL")</f>
        <v>Non-PDL</v>
      </c>
      <c r="F838" t="str">
        <f t="shared" si="26"/>
        <v>Non-PDL</v>
      </c>
      <c r="G838" s="1" cm="1">
        <f t="array" ref="G838">FuzzyPercent(D838,E838,3)</f>
        <v>1.875000074505806E-2</v>
      </c>
      <c r="H838" t="str">
        <f t="shared" si="27"/>
        <v/>
      </c>
    </row>
    <row r="839" spans="1:8" x14ac:dyDescent="0.2">
      <c r="A839" t="s">
        <v>79</v>
      </c>
      <c r="B839" t="s">
        <v>1</v>
      </c>
      <c r="D839" t="s">
        <v>2953</v>
      </c>
      <c r="E839" t="str" cm="1">
        <f t="array" ref="E839">IF(COUNTIF(A:A, "*" &amp; LEFT(D839, FIND(" ", D839 &amp; " ") - 1) &amp; "*") &gt; 0,INDEX(A:A,FuzzyVLookup(D839,A:A,0,,,3)),"Non-PDL")</f>
        <v>YUSIMRY (adalimumab-aqvh)</v>
      </c>
      <c r="F839" t="str">
        <f t="shared" si="26"/>
        <v>Non-Preferred</v>
      </c>
      <c r="G839" s="1" cm="1">
        <f t="array" ref="G839">FuzzyPercent(D839,E839,3)</f>
        <v>0.31067961454391479</v>
      </c>
      <c r="H839" t="str">
        <f t="shared" si="27"/>
        <v/>
      </c>
    </row>
    <row r="840" spans="1:8" x14ac:dyDescent="0.2">
      <c r="A840" t="s">
        <v>81</v>
      </c>
      <c r="B840" t="s">
        <v>1</v>
      </c>
      <c r="D840" t="s">
        <v>2954</v>
      </c>
      <c r="E840" t="str" cm="1">
        <f t="array" ref="E840">IF(COUNTIF(A:A, "*" &amp; LEFT(D840, FIND(" ", D840 &amp; " ") - 1) &amp; "*") &gt; 0,INDEX(A:A,FuzzyVLookup(D840,A:A,0,,,3)),"Non-PDL")</f>
        <v>zaleplon</v>
      </c>
      <c r="F840" t="str">
        <f t="shared" si="26"/>
        <v>Preferred</v>
      </c>
      <c r="G840" s="1" cm="1">
        <f t="array" ref="G840">FuzzyPercent(D840,E840,3)</f>
        <v>0.23529411852359772</v>
      </c>
      <c r="H840" t="str">
        <f t="shared" si="27"/>
        <v>CHECK</v>
      </c>
    </row>
    <row r="841" spans="1:8" x14ac:dyDescent="0.2">
      <c r="A841" t="s">
        <v>83</v>
      </c>
      <c r="B841" t="s">
        <v>1</v>
      </c>
      <c r="D841" t="s">
        <v>2955</v>
      </c>
      <c r="E841" t="str" cm="1">
        <f t="array" ref="E841">IF(COUNTIF(A:A, "*" &amp; LEFT(D841, FIND(" ", D841 &amp; " ") - 1) &amp; "*") &gt; 0,INDEX(A:A,FuzzyVLookup(D841,A:A,0,,,3)),"Non-PDL")</f>
        <v>Non-PDL</v>
      </c>
      <c r="F841" t="str">
        <f t="shared" si="26"/>
        <v>Non-PDL</v>
      </c>
      <c r="G841" s="1" cm="1">
        <f t="array" ref="G841">FuzzyPercent(D841,E841,3)</f>
        <v>0</v>
      </c>
      <c r="H841" t="str">
        <f t="shared" si="27"/>
        <v/>
      </c>
    </row>
    <row r="842" spans="1:8" x14ac:dyDescent="0.2">
      <c r="A842" t="s">
        <v>85</v>
      </c>
      <c r="B842" t="s">
        <v>1</v>
      </c>
      <c r="D842" t="s">
        <v>2956</v>
      </c>
      <c r="E842" t="str" cm="1">
        <f t="array" ref="E842">IF(COUNTIF(A:A, "*" &amp; LEFT(D842, FIND(" ", D842 &amp; " ") - 1) &amp; "*") &gt; 0,INDEX(A:A,FuzzyVLookup(D842,A:A,0,,,3)),"Non-PDL")</f>
        <v>zolpidem capsule</v>
      </c>
      <c r="F842" t="str">
        <f t="shared" si="26"/>
        <v>Non-Preferred</v>
      </c>
      <c r="G842" s="1" cm="1">
        <f t="array" ref="G842">FuzzyPercent(D842,E842,3)</f>
        <v>0.40000000596046448</v>
      </c>
      <c r="H842" t="str">
        <f t="shared" si="27"/>
        <v/>
      </c>
    </row>
    <row r="843" spans="1:8" x14ac:dyDescent="0.2">
      <c r="A843" t="s">
        <v>87</v>
      </c>
      <c r="B843" t="s">
        <v>1</v>
      </c>
      <c r="D843" t="s">
        <v>2957</v>
      </c>
      <c r="E843" t="str" cm="1">
        <f t="array" ref="E843">IF(COUNTIF(A:A, "*" &amp; LEFT(D843, FIND(" ", D843 &amp; " ") - 1) &amp; "*") &gt; 0,INDEX(A:A,FuzzyVLookup(D843,A:A,0,,,3)),"Non-PDL")</f>
        <v>ZANAFLEX (tizanidine)</v>
      </c>
      <c r="F843" t="str">
        <f t="shared" si="26"/>
        <v>Non-Preferred</v>
      </c>
      <c r="G843" s="1" cm="1">
        <f t="array" ref="G843">FuzzyPercent(D843,E843,3)</f>
        <v>0.42608696222305298</v>
      </c>
      <c r="H843" t="str">
        <f t="shared" si="27"/>
        <v/>
      </c>
    </row>
    <row r="844" spans="1:8" x14ac:dyDescent="0.2">
      <c r="A844" t="s">
        <v>89</v>
      </c>
      <c r="B844" t="s">
        <v>1</v>
      </c>
      <c r="D844" t="s">
        <v>2958</v>
      </c>
      <c r="E844" t="str" cm="1">
        <f t="array" ref="E844">IF(COUNTIF(A:A, "*" &amp; LEFT(D844, FIND(" ", D844 &amp; " ") - 1) &amp; "*") &gt; 0,INDEX(A:A,FuzzyVLookup(D844,A:A,0,,,3)),"Non-PDL")</f>
        <v>ZARXIO (filgrastim-sndz)</v>
      </c>
      <c r="F844" t="str">
        <f t="shared" si="26"/>
        <v>Non-Preferred</v>
      </c>
      <c r="G844" s="1" cm="1">
        <f t="array" ref="G844">FuzzyPercent(D844,E844,3)</f>
        <v>0.28571429848670959</v>
      </c>
      <c r="H844" t="str">
        <f t="shared" si="27"/>
        <v>CHECK</v>
      </c>
    </row>
    <row r="845" spans="1:8" x14ac:dyDescent="0.2">
      <c r="A845" t="s">
        <v>91</v>
      </c>
      <c r="B845" t="s">
        <v>1</v>
      </c>
      <c r="D845" t="s">
        <v>2959</v>
      </c>
      <c r="E845" t="str" cm="1">
        <f t="array" ref="E845">IF(COUNTIF(A:A, "*" &amp; LEFT(D845, FIND(" ", D845 &amp; " ") - 1) &amp; "*") &gt; 0,INDEX(A:A,FuzzyVLookup(D845,A:A,0,,,3)),"Non-PDL")</f>
        <v>ZAVZPRET (zavegepant)</v>
      </c>
      <c r="F845" t="str">
        <f t="shared" si="26"/>
        <v>Non-Preferred</v>
      </c>
      <c r="G845" s="1" cm="1">
        <f t="array" ref="G845">FuzzyPercent(D845,E845,3)</f>
        <v>0.4444444477558136</v>
      </c>
      <c r="H845" t="str">
        <f t="shared" si="27"/>
        <v/>
      </c>
    </row>
    <row r="846" spans="1:8" x14ac:dyDescent="0.2">
      <c r="A846" t="s">
        <v>93</v>
      </c>
      <c r="B846" t="s">
        <v>1</v>
      </c>
      <c r="D846" t="s">
        <v>2960</v>
      </c>
      <c r="E846" t="str" cm="1">
        <f t="array" ref="E846">IF(COUNTIF(A:A, "*" &amp; LEFT(D846, FIND(" ", D846 &amp; " ") - 1) &amp; "*") &gt; 0,INDEX(A:A,FuzzyVLookup(D846,A:A,0,,,3)),"Non-PDL")</f>
        <v>meperidine</v>
      </c>
      <c r="F846" t="str">
        <f t="shared" si="26"/>
        <v>Non-Preferred</v>
      </c>
      <c r="G846" s="1" cm="1">
        <f t="array" ref="G846">FuzzyPercent(D846,E846,3)</f>
        <v>0.32558140158653259</v>
      </c>
      <c r="H846" t="str">
        <f t="shared" si="27"/>
        <v/>
      </c>
    </row>
    <row r="847" spans="1:8" x14ac:dyDescent="0.2">
      <c r="A847" t="s">
        <v>95</v>
      </c>
      <c r="B847" t="s">
        <v>1</v>
      </c>
      <c r="D847" t="s">
        <v>2961</v>
      </c>
      <c r="E847" t="str" cm="1">
        <f t="array" ref="E847">IF(COUNTIF(A:A, "*" &amp; LEFT(D847, FIND(" ", D847 &amp; " ") - 1) &amp; "*") &gt; 0,INDEX(A:A,FuzzyVLookup(D847,A:A,0,,,3)),"Non-PDL")</f>
        <v>ZEJULA (niraparib)</v>
      </c>
      <c r="F847" t="str">
        <f t="shared" si="26"/>
        <v>Preferred</v>
      </c>
      <c r="G847" s="1" cm="1">
        <f t="array" ref="G847">FuzzyPercent(D847,E847,3)</f>
        <v>0.3888888955116272</v>
      </c>
      <c r="H847" t="str">
        <f t="shared" si="27"/>
        <v/>
      </c>
    </row>
    <row r="848" spans="1:8" x14ac:dyDescent="0.2">
      <c r="A848" t="s">
        <v>97</v>
      </c>
      <c r="B848" t="s">
        <v>1</v>
      </c>
      <c r="D848" t="s">
        <v>2962</v>
      </c>
      <c r="E848" t="str" cm="1">
        <f t="array" ref="E848">IF(COUNTIF(A:A, "*" &amp; LEFT(D848, FIND(" ", D848 &amp; " ") - 1) &amp; "*") &gt; 0,INDEX(A:A,FuzzyVLookup(D848,A:A,0,,,3)),"Non-PDL")</f>
        <v>quazepam</v>
      </c>
      <c r="F848" t="str">
        <f t="shared" si="26"/>
        <v>Non-Preferred</v>
      </c>
      <c r="G848" s="1" cm="1">
        <f t="array" ref="G848">FuzzyPercent(D848,E848,3)</f>
        <v>0.40000000596046448</v>
      </c>
      <c r="H848" t="str">
        <f t="shared" si="27"/>
        <v/>
      </c>
    </row>
    <row r="849" spans="1:8" x14ac:dyDescent="0.2">
      <c r="A849" t="s">
        <v>99</v>
      </c>
      <c r="B849" t="s">
        <v>1</v>
      </c>
      <c r="D849" t="s">
        <v>2963</v>
      </c>
      <c r="E849" t="str" cm="1">
        <f t="array" ref="E849">IF(COUNTIF(A:A, "*" &amp; LEFT(D849, FIND(" ", D849 &amp; " ") - 1) &amp; "*") &gt; 0,INDEX(A:A,FuzzyVLookup(D849,A:A,0,,,3)),"Non-PDL")</f>
        <v>ZEPOSIA (ozanimod)</v>
      </c>
      <c r="F849" t="str">
        <f t="shared" si="26"/>
        <v>Non-Preferred</v>
      </c>
      <c r="G849" s="1" cm="1">
        <f t="array" ref="G849">FuzzyPercent(D849,E849,3)</f>
        <v>0.43243244290351868</v>
      </c>
      <c r="H849" t="str">
        <f t="shared" si="27"/>
        <v/>
      </c>
    </row>
    <row r="850" spans="1:8" x14ac:dyDescent="0.2">
      <c r="A850" t="s">
        <v>101</v>
      </c>
      <c r="B850" t="s">
        <v>1</v>
      </c>
      <c r="D850" t="s">
        <v>2964</v>
      </c>
      <c r="E850" t="str" cm="1">
        <f t="array" ref="E850">IF(COUNTIF(A:A, "*" &amp; LEFT(D850, FIND(" ", D850 &amp; " ") - 1) &amp; "*") &gt; 0,INDEX(A:A,FuzzyVLookup(D850,A:A,0,,,3)),"Non-PDL")</f>
        <v>Non-PDL</v>
      </c>
      <c r="F850" t="str">
        <f t="shared" si="26"/>
        <v>Non-PDL</v>
      </c>
      <c r="G850" s="1" cm="1">
        <f t="array" ref="G850">FuzzyPercent(D850,E850,3)</f>
        <v>5.000000074505806E-2</v>
      </c>
      <c r="H850" t="str">
        <f t="shared" si="27"/>
        <v/>
      </c>
    </row>
    <row r="851" spans="1:8" x14ac:dyDescent="0.2">
      <c r="A851" t="s">
        <v>103</v>
      </c>
      <c r="B851" t="s">
        <v>1</v>
      </c>
      <c r="D851" t="s">
        <v>2965</v>
      </c>
      <c r="E851" t="str" cm="1">
        <f t="array" ref="E851">IF(COUNTIF(A:A, "*" &amp; LEFT(D851, FIND(" ", D851 &amp; " ") - 1) &amp; "*") &gt; 0,INDEX(A:A,FuzzyVLookup(D851,A:A,0,,,3)),"Non-PDL")</f>
        <v>ZERVIATE (cetirizine)</v>
      </c>
      <c r="F851" t="str">
        <f t="shared" si="26"/>
        <v>Preferred</v>
      </c>
      <c r="G851" s="1" cm="1">
        <f t="array" ref="G851">FuzzyPercent(D851,E851,3)</f>
        <v>0.4375</v>
      </c>
      <c r="H851" t="str">
        <f t="shared" si="27"/>
        <v/>
      </c>
    </row>
    <row r="852" spans="1:8" x14ac:dyDescent="0.2">
      <c r="A852" t="s">
        <v>105</v>
      </c>
      <c r="B852" t="s">
        <v>1</v>
      </c>
      <c r="D852" t="s">
        <v>2966</v>
      </c>
      <c r="E852" t="str" cm="1">
        <f t="array" ref="E852">IF(COUNTIF(A:A, "*" &amp; LEFT(D852, FIND(" ", D852 &amp; " ") - 1) &amp; "*") &gt; 0,INDEX(A:A,FuzzyVLookup(D852,A:A,0,,,3)),"Non-PDL")</f>
        <v>ZIEXTENZO (pegfilgratim-bmez)</v>
      </c>
      <c r="F852" t="str">
        <f t="shared" si="26"/>
        <v>Preferred</v>
      </c>
      <c r="G852" s="1" cm="1">
        <f t="array" ref="G852">FuzzyPercent(D852,E852,3)</f>
        <v>0.3650793731212616</v>
      </c>
      <c r="H852" t="str">
        <f t="shared" si="27"/>
        <v/>
      </c>
    </row>
    <row r="853" spans="1:8" x14ac:dyDescent="0.2">
      <c r="A853" t="s">
        <v>107</v>
      </c>
      <c r="B853" t="s">
        <v>1</v>
      </c>
      <c r="D853" t="s">
        <v>2967</v>
      </c>
      <c r="E853" t="str" cm="1">
        <f t="array" ref="E853">IF(COUNTIF(A:A, "*" &amp; LEFT(D853, FIND(" ", D853 &amp; " ") - 1) &amp; "*") &gt; 0,INDEX(A:A,FuzzyVLookup(D853,A:A,0,,,3)),"Non-PDL")</f>
        <v>Non-PDL</v>
      </c>
      <c r="F853" t="str">
        <f t="shared" si="26"/>
        <v>Non-PDL</v>
      </c>
      <c r="G853" s="1" cm="1">
        <f t="array" ref="G853">FuzzyPercent(D853,E853,3)</f>
        <v>0</v>
      </c>
      <c r="H853" t="str">
        <f t="shared" si="27"/>
        <v/>
      </c>
    </row>
    <row r="854" spans="1:8" x14ac:dyDescent="0.2">
      <c r="A854" t="s">
        <v>109</v>
      </c>
      <c r="B854" t="s">
        <v>1</v>
      </c>
      <c r="D854" t="s">
        <v>2968</v>
      </c>
      <c r="E854" t="str" cm="1">
        <f t="array" ref="E854">IF(COUNTIF(A:A, "*" &amp; LEFT(D854, FIND(" ", D854 &amp; " ") - 1) &amp; "*") &gt; 0,INDEX(A:A,FuzzyVLookup(D854,A:A,0,,,3)),"Non-PDL")</f>
        <v>ziprasidone</v>
      </c>
      <c r="F854" t="str">
        <f t="shared" si="26"/>
        <v>Preferred</v>
      </c>
      <c r="G854" s="1" cm="1">
        <f t="array" ref="G854">FuzzyPercent(D854,E854,3)</f>
        <v>1</v>
      </c>
      <c r="H854" t="str">
        <f t="shared" si="27"/>
        <v/>
      </c>
    </row>
    <row r="855" spans="1:8" x14ac:dyDescent="0.2">
      <c r="A855" t="s">
        <v>111</v>
      </c>
      <c r="B855" t="s">
        <v>1</v>
      </c>
      <c r="D855" t="s">
        <v>2969</v>
      </c>
      <c r="E855" t="str" cm="1">
        <f t="array" ref="E855">IF(COUNTIF(A:A, "*" &amp; LEFT(D855, FIND(" ", D855 &amp; " ") - 1) &amp; "*") &gt; 0,INDEX(A:A,FuzzyVLookup(D855,A:A,0,,,3)),"Non-PDL")</f>
        <v>Non-PDL</v>
      </c>
      <c r="F855" t="str">
        <f t="shared" si="26"/>
        <v>Non-PDL</v>
      </c>
      <c r="G855" s="1" cm="1">
        <f t="array" ref="G855">FuzzyPercent(D855,E855,3)</f>
        <v>6.25E-2</v>
      </c>
      <c r="H855" t="str">
        <f t="shared" si="27"/>
        <v/>
      </c>
    </row>
    <row r="856" spans="1:8" x14ac:dyDescent="0.2">
      <c r="A856" t="s">
        <v>113</v>
      </c>
      <c r="B856" t="s">
        <v>1</v>
      </c>
      <c r="D856" t="s">
        <v>2970</v>
      </c>
      <c r="E856" t="str" cm="1">
        <f t="array" ref="E856">IF(COUNTIF(A:A, "*" &amp; LEFT(D856, FIND(" ", D856 &amp; " ") - 1) &amp; "*") &gt; 0,INDEX(A:A,FuzzyVLookup(D856,A:A,0,,,3)),"Non-PDL")</f>
        <v>Non-PDL</v>
      </c>
      <c r="F856" t="str">
        <f t="shared" si="26"/>
        <v>Non-PDL</v>
      </c>
      <c r="G856" s="1" cm="1">
        <f t="array" ref="G856">FuzzyPercent(D856,E856,3)</f>
        <v>4.3478261679410934E-2</v>
      </c>
      <c r="H856" t="str">
        <f t="shared" si="27"/>
        <v/>
      </c>
    </row>
    <row r="857" spans="1:8" x14ac:dyDescent="0.2">
      <c r="A857" t="s">
        <v>115</v>
      </c>
      <c r="B857" t="s">
        <v>1</v>
      </c>
      <c r="D857" t="s">
        <v>2971</v>
      </c>
      <c r="E857" t="str" cm="1">
        <f t="array" ref="E857">IF(COUNTIF(A:A, "*" &amp; LEFT(D857, FIND(" ", D857 &amp; " ") - 1) &amp; "*") &gt; 0,INDEX(A:A,FuzzyVLookup(D857,A:A,0,,,3)),"Non-PDL")</f>
        <v>zolpidem ER</v>
      </c>
      <c r="F857" t="str">
        <f t="shared" si="26"/>
        <v>Non-Preferred</v>
      </c>
      <c r="G857" s="1" cm="1">
        <f t="array" ref="G857">FuzzyPercent(D857,E857,3)</f>
        <v>0.8163265585899353</v>
      </c>
      <c r="H857" t="str">
        <f t="shared" si="27"/>
        <v/>
      </c>
    </row>
    <row r="858" spans="1:8" x14ac:dyDescent="0.2">
      <c r="A858" t="s">
        <v>117</v>
      </c>
      <c r="B858" t="s">
        <v>1</v>
      </c>
      <c r="D858" t="s">
        <v>2972</v>
      </c>
      <c r="E858" t="str" cm="1">
        <f t="array" ref="E858">IF(COUNTIF(A:A, "*" &amp; LEFT(D858, FIND(" ", D858 &amp; " ") - 1) &amp; "*") &gt; 0,INDEX(A:A,FuzzyVLookup(D858,A:A,0,,,3)),"Non-PDL")</f>
        <v>zolpidem ER</v>
      </c>
      <c r="F858" t="str">
        <f t="shared" si="26"/>
        <v>Non-Preferred</v>
      </c>
      <c r="G858" s="1" cm="1">
        <f t="array" ref="G858">FuzzyPercent(D858,E858,3)</f>
        <v>0.82758623361587524</v>
      </c>
      <c r="H858" t="str">
        <f t="shared" si="27"/>
        <v/>
      </c>
    </row>
    <row r="859" spans="1:8" x14ac:dyDescent="0.2">
      <c r="A859" t="s">
        <v>119</v>
      </c>
      <c r="B859" t="s">
        <v>1</v>
      </c>
      <c r="D859" t="s">
        <v>2973</v>
      </c>
      <c r="E859" t="str" cm="1">
        <f t="array" ref="E859">IF(COUNTIF(A:A, "*" &amp; LEFT(D859, FIND(" ", D859 &amp; " ") - 1) &amp; "*") &gt; 0,INDEX(A:A,FuzzyVLookup(D859,A:A,0,,,3)),"Non-PDL")</f>
        <v>zonisamide</v>
      </c>
      <c r="F859" t="str">
        <f t="shared" si="26"/>
        <v>Preferred</v>
      </c>
      <c r="G859" s="1" cm="1">
        <f t="array" ref="G859">FuzzyPercent(D859,E859,3)</f>
        <v>0.6808510422706604</v>
      </c>
      <c r="H859" t="str">
        <f t="shared" si="27"/>
        <v/>
      </c>
    </row>
    <row r="860" spans="1:8" x14ac:dyDescent="0.2">
      <c r="A860" t="s">
        <v>121</v>
      </c>
      <c r="B860" t="s">
        <v>1</v>
      </c>
      <c r="D860" t="s">
        <v>2974</v>
      </c>
      <c r="E860" t="str" cm="1">
        <f t="array" ref="E860">IF(COUNTIF(A:A, "*" &amp; LEFT(D860, FIND(" ", D860 &amp; " ") - 1) &amp; "*") &gt; 0,INDEX(A:A,FuzzyVLookup(D860,A:A,0,,,3)),"Non-PDL")</f>
        <v>ZORYVE (roflumilast) 0.15% cream</v>
      </c>
      <c r="F860" t="str">
        <f t="shared" si="26"/>
        <v>Non-Preferred</v>
      </c>
      <c r="G860" s="1" cm="1">
        <f t="array" ref="G860">FuzzyPercent(D860,E860,3)</f>
        <v>0.19178082048892975</v>
      </c>
      <c r="H860" t="str">
        <f t="shared" si="27"/>
        <v>CHECK</v>
      </c>
    </row>
    <row r="861" spans="1:8" x14ac:dyDescent="0.2">
      <c r="A861" t="s">
        <v>123</v>
      </c>
      <c r="B861" t="s">
        <v>1</v>
      </c>
      <c r="D861" t="s">
        <v>2975</v>
      </c>
      <c r="E861" t="str" cm="1">
        <f t="array" ref="E861">IF(COUNTIF(A:A, "*" &amp; LEFT(D861, FIND(" ", D861 &amp; " ") - 1) &amp; "*") &gt; 0,INDEX(A:A,FuzzyVLookup(D861,A:A,0,,,3)),"Non-PDL")</f>
        <v>ZORYVE (roflumilast) 0.15% cream</v>
      </c>
      <c r="F861" t="str">
        <f t="shared" si="26"/>
        <v>Non-Preferred</v>
      </c>
      <c r="G861" s="1" cm="1">
        <f t="array" ref="G861">FuzzyPercent(D861,E861,3)</f>
        <v>0.20000000298023224</v>
      </c>
      <c r="H861" t="str">
        <f t="shared" si="27"/>
        <v>CHECK</v>
      </c>
    </row>
    <row r="862" spans="1:8" x14ac:dyDescent="0.2">
      <c r="A862" t="s">
        <v>125</v>
      </c>
      <c r="B862" t="s">
        <v>1</v>
      </c>
      <c r="D862" t="s">
        <v>2976</v>
      </c>
      <c r="E862" t="str" cm="1">
        <f t="array" ref="E862">IF(COUNTIF(A:A, "*" &amp; LEFT(D862, FIND(" ", D862 &amp; " ") - 1) &amp; "*") &gt; 0,INDEX(A:A,FuzzyVLookup(D862,A:A,0,,,3)),"Non-PDL")</f>
        <v>ZTALMY (ganaxolone)</v>
      </c>
      <c r="F862" t="str">
        <f t="shared" si="26"/>
        <v>Preferred</v>
      </c>
      <c r="G862" s="1" cm="1">
        <f t="array" ref="G862">FuzzyPercent(D862,E862,3)</f>
        <v>0.37837839126586914</v>
      </c>
      <c r="H862" t="str">
        <f t="shared" si="27"/>
        <v/>
      </c>
    </row>
    <row r="863" spans="1:8" x14ac:dyDescent="0.2">
      <c r="A863" t="s">
        <v>127</v>
      </c>
      <c r="B863" t="s">
        <v>1</v>
      </c>
      <c r="D863" t="s">
        <v>2977</v>
      </c>
      <c r="E863" t="str" cm="1">
        <f t="array" ref="E863">IF(COUNTIF(A:A, "*" &amp; LEFT(D863, FIND(" ", D863 &amp; " ") - 1) &amp; "*") &gt; 0,INDEX(A:A,FuzzyVLookup(D863,A:A,0,,,3)),"Non-PDL")</f>
        <v>ZURZUVAE (zuranolone)</v>
      </c>
      <c r="F863" t="str">
        <f t="shared" si="26"/>
        <v>Non-Preferred</v>
      </c>
      <c r="G863" s="1" cm="1">
        <f t="array" ref="G863">FuzzyPercent(D863,E863,3)</f>
        <v>0.4444444477558136</v>
      </c>
      <c r="H863" t="str">
        <f t="shared" si="27"/>
        <v/>
      </c>
    </row>
    <row r="864" spans="1:8" x14ac:dyDescent="0.2">
      <c r="A864" t="s">
        <v>129</v>
      </c>
      <c r="B864" t="s">
        <v>1</v>
      </c>
      <c r="D864" t="s">
        <v>2978</v>
      </c>
      <c r="E864" t="str" cm="1">
        <f t="array" ref="E864">IF(COUNTIF(A:A, "*" &amp; LEFT(D864, FIND(" ", D864 &amp; " ") - 1) &amp; "*") &gt; 0,INDEX(A:A,FuzzyVLookup(D864,A:A,0,,,3)),"Non-PDL")</f>
        <v>Non-PDL</v>
      </c>
      <c r="F864" t="str">
        <f t="shared" si="26"/>
        <v>Non-PDL</v>
      </c>
      <c r="G864" s="1" cm="1">
        <f t="array" ref="G864">FuzzyPercent(D864,E864,3)</f>
        <v>0.15000000596046448</v>
      </c>
      <c r="H864" t="str">
        <f t="shared" si="27"/>
        <v/>
      </c>
    </row>
    <row r="865" spans="1:8" x14ac:dyDescent="0.2">
      <c r="A865" t="s">
        <v>131</v>
      </c>
      <c r="B865" t="s">
        <v>1</v>
      </c>
      <c r="D865" t="s">
        <v>2979</v>
      </c>
      <c r="E865" t="str" cm="1">
        <f t="array" ref="E865">IF(COUNTIF(A:A, "*" &amp; LEFT(D865, FIND(" ", D865 &amp; " ") - 1) &amp; "*") &gt; 0,INDEX(A:A,FuzzyVLookup(D865,A:A,0,,,3)),"Non-PDL")</f>
        <v>ZYPREXA (olanzapine)</v>
      </c>
      <c r="F865" t="str">
        <f t="shared" si="26"/>
        <v>Non-Preferred</v>
      </c>
      <c r="G865" s="1" cm="1">
        <f t="array" ref="G865">FuzzyPercent(D865,E865,3)</f>
        <v>0.39024388790130615</v>
      </c>
      <c r="H865" t="str">
        <f t="shared" si="27"/>
        <v/>
      </c>
    </row>
    <row r="866" spans="1:8" x14ac:dyDescent="0.2">
      <c r="A866" t="s">
        <v>133</v>
      </c>
      <c r="B866" t="s">
        <v>1</v>
      </c>
      <c r="D866" t="s">
        <v>2980</v>
      </c>
      <c r="E866" t="str" cm="1">
        <f t="array" ref="E866">IF(COUNTIF(A:A, "*" &amp; LEFT(D866, FIND(" ", D866 &amp; " ") - 1) &amp; "*") &gt; 0,INDEX(A:A,FuzzyVLookup(D866,A:A,0,,,3)),"Non-PDL")</f>
        <v>ZYPREXA ZYDIS (olanzapine)</v>
      </c>
      <c r="F866" t="str">
        <f t="shared" si="26"/>
        <v>Non-Preferred</v>
      </c>
      <c r="G866" s="1" cm="1">
        <f t="array" ref="G866">FuzzyPercent(D866,E866,3)</f>
        <v>0.578125</v>
      </c>
      <c r="H866" t="str">
        <f t="shared" si="27"/>
        <v/>
      </c>
    </row>
    <row r="867" spans="1:8" x14ac:dyDescent="0.2">
      <c r="A867" t="s">
        <v>135</v>
      </c>
      <c r="B867" t="s">
        <v>1</v>
      </c>
      <c r="D867" t="s">
        <v>2981</v>
      </c>
      <c r="E867" t="str" cm="1">
        <f t="array" ref="E867">IF(COUNTIF(A:A, "*" &amp; LEFT(D867, FIND(" ", D867 &amp; " ") - 1) &amp; "*") &gt; 0,INDEX(A:A,FuzzyVLookup(D867,A:A,0,,,3)),"Non-PDL")</f>
        <v>ZYPREXA RELPREVV (olanzapine)</v>
      </c>
      <c r="F867" t="str">
        <f t="shared" si="26"/>
        <v>Non-Preferred</v>
      </c>
      <c r="G867" s="1" cm="1">
        <f t="array" ref="G867">FuzzyPercent(D867,E867,3)</f>
        <v>0.65359479188919067</v>
      </c>
      <c r="H867" t="str">
        <f t="shared" si="27"/>
        <v/>
      </c>
    </row>
    <row r="868" spans="1:8" x14ac:dyDescent="0.2">
      <c r="A868" t="s">
        <v>137</v>
      </c>
      <c r="B868" t="s">
        <v>1</v>
      </c>
    </row>
    <row r="869" spans="1:8" x14ac:dyDescent="0.2">
      <c r="A869" t="s">
        <v>139</v>
      </c>
      <c r="B869" t="s">
        <v>1</v>
      </c>
    </row>
    <row r="870" spans="1:8" x14ac:dyDescent="0.2">
      <c r="A870" t="s">
        <v>141</v>
      </c>
      <c r="B870" t="s">
        <v>1</v>
      </c>
    </row>
    <row r="871" spans="1:8" x14ac:dyDescent="0.2">
      <c r="A871" t="s">
        <v>143</v>
      </c>
      <c r="B871" t="s">
        <v>1</v>
      </c>
    </row>
    <row r="872" spans="1:8" x14ac:dyDescent="0.2">
      <c r="A872" t="s">
        <v>145</v>
      </c>
      <c r="B872" t="s">
        <v>1</v>
      </c>
    </row>
    <row r="873" spans="1:8" x14ac:dyDescent="0.2">
      <c r="A873" t="s">
        <v>147</v>
      </c>
      <c r="B873" t="s">
        <v>1</v>
      </c>
    </row>
    <row r="874" spans="1:8" x14ac:dyDescent="0.2">
      <c r="A874" t="s">
        <v>149</v>
      </c>
      <c r="B874" t="s">
        <v>1</v>
      </c>
    </row>
    <row r="875" spans="1:8" x14ac:dyDescent="0.2">
      <c r="A875" t="s">
        <v>151</v>
      </c>
      <c r="B875" t="s">
        <v>1</v>
      </c>
    </row>
    <row r="876" spans="1:8" x14ac:dyDescent="0.2">
      <c r="A876" t="s">
        <v>153</v>
      </c>
      <c r="B876" t="s">
        <v>1</v>
      </c>
    </row>
    <row r="877" spans="1:8" x14ac:dyDescent="0.2">
      <c r="A877" t="s">
        <v>155</v>
      </c>
      <c r="B877" t="s">
        <v>1</v>
      </c>
    </row>
    <row r="878" spans="1:8" x14ac:dyDescent="0.2">
      <c r="A878" t="s">
        <v>157</v>
      </c>
      <c r="B878" t="s">
        <v>1</v>
      </c>
    </row>
    <row r="879" spans="1:8" x14ac:dyDescent="0.2">
      <c r="A879" t="s">
        <v>159</v>
      </c>
      <c r="B879" t="s">
        <v>1</v>
      </c>
    </row>
    <row r="880" spans="1:8" x14ac:dyDescent="0.2">
      <c r="A880" t="s">
        <v>161</v>
      </c>
      <c r="B880" t="s">
        <v>1</v>
      </c>
    </row>
    <row r="881" spans="1:2" x14ac:dyDescent="0.2">
      <c r="A881" t="s">
        <v>163</v>
      </c>
      <c r="B881" t="s">
        <v>1</v>
      </c>
    </row>
    <row r="882" spans="1:2" x14ac:dyDescent="0.2">
      <c r="A882" t="s">
        <v>165</v>
      </c>
      <c r="B882" t="s">
        <v>1</v>
      </c>
    </row>
    <row r="883" spans="1:2" x14ac:dyDescent="0.2">
      <c r="A883" t="s">
        <v>167</v>
      </c>
      <c r="B883" t="s">
        <v>1</v>
      </c>
    </row>
    <row r="884" spans="1:2" x14ac:dyDescent="0.2">
      <c r="A884" t="s">
        <v>169</v>
      </c>
      <c r="B884" t="s">
        <v>1</v>
      </c>
    </row>
    <row r="885" spans="1:2" x14ac:dyDescent="0.2">
      <c r="A885" t="s">
        <v>171</v>
      </c>
      <c r="B885" t="s">
        <v>1</v>
      </c>
    </row>
    <row r="886" spans="1:2" x14ac:dyDescent="0.2">
      <c r="A886" t="s">
        <v>173</v>
      </c>
      <c r="B886" t="s">
        <v>1</v>
      </c>
    </row>
    <row r="887" spans="1:2" x14ac:dyDescent="0.2">
      <c r="A887" t="s">
        <v>175</v>
      </c>
      <c r="B887" t="s">
        <v>1</v>
      </c>
    </row>
    <row r="888" spans="1:2" x14ac:dyDescent="0.2">
      <c r="A888" t="s">
        <v>177</v>
      </c>
      <c r="B888" t="s">
        <v>1</v>
      </c>
    </row>
    <row r="889" spans="1:2" x14ac:dyDescent="0.2">
      <c r="A889" t="s">
        <v>179</v>
      </c>
      <c r="B889" t="s">
        <v>1</v>
      </c>
    </row>
    <row r="890" spans="1:2" x14ac:dyDescent="0.2">
      <c r="A890" t="s">
        <v>181</v>
      </c>
      <c r="B890" t="s">
        <v>1</v>
      </c>
    </row>
    <row r="891" spans="1:2" x14ac:dyDescent="0.2">
      <c r="A891" t="s">
        <v>183</v>
      </c>
      <c r="B891" t="s">
        <v>1</v>
      </c>
    </row>
    <row r="892" spans="1:2" x14ac:dyDescent="0.2">
      <c r="A892" t="s">
        <v>185</v>
      </c>
      <c r="B892" t="s">
        <v>1</v>
      </c>
    </row>
    <row r="893" spans="1:2" x14ac:dyDescent="0.2">
      <c r="A893" t="s">
        <v>187</v>
      </c>
      <c r="B893" t="s">
        <v>1</v>
      </c>
    </row>
    <row r="894" spans="1:2" x14ac:dyDescent="0.2">
      <c r="A894" t="s">
        <v>189</v>
      </c>
      <c r="B894" t="s">
        <v>1</v>
      </c>
    </row>
    <row r="895" spans="1:2" x14ac:dyDescent="0.2">
      <c r="A895" t="s">
        <v>191</v>
      </c>
      <c r="B895" t="s">
        <v>1</v>
      </c>
    </row>
    <row r="896" spans="1:2" x14ac:dyDescent="0.2">
      <c r="A896" t="s">
        <v>193</v>
      </c>
      <c r="B896" t="s">
        <v>1</v>
      </c>
    </row>
    <row r="897" spans="1:2" x14ac:dyDescent="0.2">
      <c r="A897" t="s">
        <v>195</v>
      </c>
      <c r="B897" t="s">
        <v>1</v>
      </c>
    </row>
    <row r="898" spans="1:2" x14ac:dyDescent="0.2">
      <c r="A898" t="s">
        <v>197</v>
      </c>
      <c r="B898" t="s">
        <v>1</v>
      </c>
    </row>
    <row r="899" spans="1:2" x14ac:dyDescent="0.2">
      <c r="A899" t="s">
        <v>199</v>
      </c>
      <c r="B899" t="s">
        <v>1</v>
      </c>
    </row>
    <row r="900" spans="1:2" x14ac:dyDescent="0.2">
      <c r="A900" t="s">
        <v>201</v>
      </c>
      <c r="B900" t="s">
        <v>1</v>
      </c>
    </row>
    <row r="901" spans="1:2" x14ac:dyDescent="0.2">
      <c r="A901" t="s">
        <v>203</v>
      </c>
      <c r="B901" t="s">
        <v>1</v>
      </c>
    </row>
    <row r="902" spans="1:2" x14ac:dyDescent="0.2">
      <c r="A902" t="s">
        <v>205</v>
      </c>
      <c r="B902" t="s">
        <v>1</v>
      </c>
    </row>
    <row r="903" spans="1:2" x14ac:dyDescent="0.2">
      <c r="A903" t="s">
        <v>207</v>
      </c>
      <c r="B903" t="s">
        <v>1</v>
      </c>
    </row>
    <row r="904" spans="1:2" x14ac:dyDescent="0.2">
      <c r="A904" t="s">
        <v>209</v>
      </c>
      <c r="B904" t="s">
        <v>1</v>
      </c>
    </row>
    <row r="905" spans="1:2" x14ac:dyDescent="0.2">
      <c r="A905" t="s">
        <v>211</v>
      </c>
      <c r="B905" t="s">
        <v>1</v>
      </c>
    </row>
    <row r="906" spans="1:2" x14ac:dyDescent="0.2">
      <c r="A906" t="s">
        <v>213</v>
      </c>
      <c r="B906" t="s">
        <v>1</v>
      </c>
    </row>
    <row r="907" spans="1:2" x14ac:dyDescent="0.2">
      <c r="A907" t="s">
        <v>215</v>
      </c>
      <c r="B907" t="s">
        <v>1</v>
      </c>
    </row>
    <row r="908" spans="1:2" x14ac:dyDescent="0.2">
      <c r="A908" t="s">
        <v>217</v>
      </c>
      <c r="B908" t="s">
        <v>1</v>
      </c>
    </row>
    <row r="909" spans="1:2" x14ac:dyDescent="0.2">
      <c r="A909" t="s">
        <v>219</v>
      </c>
      <c r="B909" t="s">
        <v>1</v>
      </c>
    </row>
    <row r="910" spans="1:2" x14ac:dyDescent="0.2">
      <c r="A910" t="s">
        <v>221</v>
      </c>
      <c r="B910" t="s">
        <v>1</v>
      </c>
    </row>
    <row r="911" spans="1:2" x14ac:dyDescent="0.2">
      <c r="A911" t="s">
        <v>223</v>
      </c>
      <c r="B911" t="s">
        <v>1</v>
      </c>
    </row>
    <row r="912" spans="1:2" x14ac:dyDescent="0.2">
      <c r="A912" t="s">
        <v>225</v>
      </c>
      <c r="B912" t="s">
        <v>1</v>
      </c>
    </row>
    <row r="913" spans="1:2" x14ac:dyDescent="0.2">
      <c r="A913" t="s">
        <v>227</v>
      </c>
      <c r="B913" t="s">
        <v>1</v>
      </c>
    </row>
    <row r="914" spans="1:2" x14ac:dyDescent="0.2">
      <c r="A914" t="s">
        <v>229</v>
      </c>
      <c r="B914" t="s">
        <v>1</v>
      </c>
    </row>
    <row r="915" spans="1:2" x14ac:dyDescent="0.2">
      <c r="A915" t="s">
        <v>231</v>
      </c>
      <c r="B915" t="s">
        <v>1</v>
      </c>
    </row>
    <row r="916" spans="1:2" x14ac:dyDescent="0.2">
      <c r="A916" t="s">
        <v>233</v>
      </c>
      <c r="B916" t="s">
        <v>1</v>
      </c>
    </row>
    <row r="917" spans="1:2" x14ac:dyDescent="0.2">
      <c r="A917" t="s">
        <v>235</v>
      </c>
      <c r="B917" t="s">
        <v>1</v>
      </c>
    </row>
    <row r="918" spans="1:2" x14ac:dyDescent="0.2">
      <c r="A918" t="s">
        <v>237</v>
      </c>
      <c r="B918" t="s">
        <v>1</v>
      </c>
    </row>
    <row r="919" spans="1:2" x14ac:dyDescent="0.2">
      <c r="A919" t="s">
        <v>239</v>
      </c>
      <c r="B919" t="s">
        <v>1</v>
      </c>
    </row>
    <row r="920" spans="1:2" x14ac:dyDescent="0.2">
      <c r="A920" t="s">
        <v>241</v>
      </c>
      <c r="B920" t="s">
        <v>1</v>
      </c>
    </row>
    <row r="921" spans="1:2" x14ac:dyDescent="0.2">
      <c r="A921" t="s">
        <v>243</v>
      </c>
      <c r="B921" t="s">
        <v>1</v>
      </c>
    </row>
    <row r="922" spans="1:2" x14ac:dyDescent="0.2">
      <c r="A922" t="s">
        <v>245</v>
      </c>
      <c r="B922" t="s">
        <v>1</v>
      </c>
    </row>
    <row r="923" spans="1:2" x14ac:dyDescent="0.2">
      <c r="A923" t="s">
        <v>247</v>
      </c>
      <c r="B923" t="s">
        <v>1</v>
      </c>
    </row>
    <row r="924" spans="1:2" x14ac:dyDescent="0.2">
      <c r="A924" t="s">
        <v>249</v>
      </c>
      <c r="B924" t="s">
        <v>1</v>
      </c>
    </row>
    <row r="925" spans="1:2" x14ac:dyDescent="0.2">
      <c r="A925" t="s">
        <v>251</v>
      </c>
      <c r="B925" t="s">
        <v>1</v>
      </c>
    </row>
    <row r="926" spans="1:2" x14ac:dyDescent="0.2">
      <c r="A926" t="s">
        <v>253</v>
      </c>
      <c r="B926" t="s">
        <v>1</v>
      </c>
    </row>
    <row r="927" spans="1:2" x14ac:dyDescent="0.2">
      <c r="A927" t="s">
        <v>255</v>
      </c>
      <c r="B927" t="s">
        <v>1</v>
      </c>
    </row>
    <row r="928" spans="1:2" x14ac:dyDescent="0.2">
      <c r="A928" t="s">
        <v>257</v>
      </c>
      <c r="B928" t="s">
        <v>1</v>
      </c>
    </row>
    <row r="929" spans="1:2" x14ac:dyDescent="0.2">
      <c r="A929" t="s">
        <v>259</v>
      </c>
      <c r="B929" t="s">
        <v>1</v>
      </c>
    </row>
    <row r="930" spans="1:2" x14ac:dyDescent="0.2">
      <c r="A930" t="s">
        <v>261</v>
      </c>
      <c r="B930" t="s">
        <v>1</v>
      </c>
    </row>
    <row r="931" spans="1:2" x14ac:dyDescent="0.2">
      <c r="A931" t="s">
        <v>263</v>
      </c>
      <c r="B931" t="s">
        <v>1</v>
      </c>
    </row>
    <row r="932" spans="1:2" x14ac:dyDescent="0.2">
      <c r="A932" t="s">
        <v>265</v>
      </c>
      <c r="B932" t="s">
        <v>1</v>
      </c>
    </row>
    <row r="933" spans="1:2" x14ac:dyDescent="0.2">
      <c r="A933" t="s">
        <v>267</v>
      </c>
      <c r="B933" t="s">
        <v>1</v>
      </c>
    </row>
    <row r="934" spans="1:2" x14ac:dyDescent="0.2">
      <c r="A934" t="s">
        <v>269</v>
      </c>
      <c r="B934" t="s">
        <v>1</v>
      </c>
    </row>
    <row r="935" spans="1:2" x14ac:dyDescent="0.2">
      <c r="A935" t="s">
        <v>271</v>
      </c>
      <c r="B935" t="s">
        <v>1</v>
      </c>
    </row>
    <row r="936" spans="1:2" x14ac:dyDescent="0.2">
      <c r="A936" t="s">
        <v>273</v>
      </c>
      <c r="B936" t="s">
        <v>1</v>
      </c>
    </row>
    <row r="937" spans="1:2" x14ac:dyDescent="0.2">
      <c r="A937" t="s">
        <v>275</v>
      </c>
      <c r="B937" t="s">
        <v>1</v>
      </c>
    </row>
    <row r="938" spans="1:2" x14ac:dyDescent="0.2">
      <c r="A938" t="s">
        <v>277</v>
      </c>
      <c r="B938" t="s">
        <v>1</v>
      </c>
    </row>
    <row r="939" spans="1:2" x14ac:dyDescent="0.2">
      <c r="A939" t="s">
        <v>279</v>
      </c>
      <c r="B939" t="s">
        <v>1</v>
      </c>
    </row>
    <row r="940" spans="1:2" x14ac:dyDescent="0.2">
      <c r="A940" t="s">
        <v>281</v>
      </c>
      <c r="B940" t="s">
        <v>1</v>
      </c>
    </row>
    <row r="941" spans="1:2" x14ac:dyDescent="0.2">
      <c r="A941" t="s">
        <v>283</v>
      </c>
      <c r="B941" t="s">
        <v>1</v>
      </c>
    </row>
    <row r="942" spans="1:2" x14ac:dyDescent="0.2">
      <c r="A942" t="s">
        <v>285</v>
      </c>
      <c r="B942" t="s">
        <v>1</v>
      </c>
    </row>
    <row r="943" spans="1:2" x14ac:dyDescent="0.2">
      <c r="A943" t="s">
        <v>287</v>
      </c>
      <c r="B943" t="s">
        <v>1</v>
      </c>
    </row>
    <row r="944" spans="1:2" x14ac:dyDescent="0.2">
      <c r="A944" t="s">
        <v>289</v>
      </c>
      <c r="B944" t="s">
        <v>1</v>
      </c>
    </row>
    <row r="945" spans="1:2" x14ac:dyDescent="0.2">
      <c r="A945" t="s">
        <v>291</v>
      </c>
      <c r="B945" t="s">
        <v>1</v>
      </c>
    </row>
    <row r="946" spans="1:2" x14ac:dyDescent="0.2">
      <c r="A946" t="s">
        <v>293</v>
      </c>
      <c r="B946" t="s">
        <v>1</v>
      </c>
    </row>
    <row r="947" spans="1:2" x14ac:dyDescent="0.2">
      <c r="A947" t="s">
        <v>295</v>
      </c>
      <c r="B947" t="s">
        <v>1</v>
      </c>
    </row>
    <row r="948" spans="1:2" x14ac:dyDescent="0.2">
      <c r="A948" t="s">
        <v>297</v>
      </c>
      <c r="B948" t="s">
        <v>1</v>
      </c>
    </row>
    <row r="949" spans="1:2" x14ac:dyDescent="0.2">
      <c r="A949" t="s">
        <v>299</v>
      </c>
      <c r="B949" t="s">
        <v>1</v>
      </c>
    </row>
    <row r="950" spans="1:2" x14ac:dyDescent="0.2">
      <c r="A950" t="s">
        <v>301</v>
      </c>
      <c r="B950" t="s">
        <v>1</v>
      </c>
    </row>
    <row r="951" spans="1:2" x14ac:dyDescent="0.2">
      <c r="A951" t="s">
        <v>303</v>
      </c>
      <c r="B951" t="s">
        <v>1</v>
      </c>
    </row>
    <row r="952" spans="1:2" x14ac:dyDescent="0.2">
      <c r="A952" t="s">
        <v>305</v>
      </c>
      <c r="B952" t="s">
        <v>1</v>
      </c>
    </row>
    <row r="953" spans="1:2" x14ac:dyDescent="0.2">
      <c r="A953" t="s">
        <v>307</v>
      </c>
      <c r="B953" t="s">
        <v>1</v>
      </c>
    </row>
    <row r="954" spans="1:2" x14ac:dyDescent="0.2">
      <c r="A954" t="s">
        <v>309</v>
      </c>
      <c r="B954" t="s">
        <v>1</v>
      </c>
    </row>
    <row r="955" spans="1:2" x14ac:dyDescent="0.2">
      <c r="A955" t="s">
        <v>311</v>
      </c>
      <c r="B955" t="s">
        <v>1</v>
      </c>
    </row>
    <row r="956" spans="1:2" x14ac:dyDescent="0.2">
      <c r="A956" t="s">
        <v>313</v>
      </c>
      <c r="B956" t="s">
        <v>1</v>
      </c>
    </row>
    <row r="957" spans="1:2" x14ac:dyDescent="0.2">
      <c r="A957" t="s">
        <v>315</v>
      </c>
      <c r="B957" t="s">
        <v>1</v>
      </c>
    </row>
    <row r="958" spans="1:2" x14ac:dyDescent="0.2">
      <c r="A958" t="s">
        <v>317</v>
      </c>
      <c r="B958" t="s">
        <v>1</v>
      </c>
    </row>
    <row r="959" spans="1:2" x14ac:dyDescent="0.2">
      <c r="A959" t="s">
        <v>319</v>
      </c>
      <c r="B959" t="s">
        <v>1</v>
      </c>
    </row>
    <row r="960" spans="1:2" x14ac:dyDescent="0.2">
      <c r="A960" t="s">
        <v>321</v>
      </c>
      <c r="B960" t="s">
        <v>1</v>
      </c>
    </row>
    <row r="961" spans="1:2" x14ac:dyDescent="0.2">
      <c r="A961" t="s">
        <v>323</v>
      </c>
      <c r="B961" t="s">
        <v>1</v>
      </c>
    </row>
    <row r="962" spans="1:2" x14ac:dyDescent="0.2">
      <c r="A962" t="s">
        <v>325</v>
      </c>
      <c r="B962" t="s">
        <v>1</v>
      </c>
    </row>
    <row r="963" spans="1:2" x14ac:dyDescent="0.2">
      <c r="A963" t="s">
        <v>327</v>
      </c>
      <c r="B963" t="s">
        <v>1</v>
      </c>
    </row>
    <row r="964" spans="1:2" x14ac:dyDescent="0.2">
      <c r="A964" t="s">
        <v>329</v>
      </c>
      <c r="B964" t="s">
        <v>1</v>
      </c>
    </row>
    <row r="965" spans="1:2" x14ac:dyDescent="0.2">
      <c r="A965" t="s">
        <v>331</v>
      </c>
      <c r="B965" t="s">
        <v>1</v>
      </c>
    </row>
    <row r="966" spans="1:2" x14ac:dyDescent="0.2">
      <c r="A966" t="s">
        <v>333</v>
      </c>
      <c r="B966" t="s">
        <v>1</v>
      </c>
    </row>
    <row r="967" spans="1:2" x14ac:dyDescent="0.2">
      <c r="A967" t="s">
        <v>335</v>
      </c>
      <c r="B967" t="s">
        <v>1</v>
      </c>
    </row>
    <row r="968" spans="1:2" x14ac:dyDescent="0.2">
      <c r="A968" t="s">
        <v>337</v>
      </c>
      <c r="B968" t="s">
        <v>1</v>
      </c>
    </row>
    <row r="969" spans="1:2" x14ac:dyDescent="0.2">
      <c r="A969" t="s">
        <v>339</v>
      </c>
      <c r="B969" t="s">
        <v>1</v>
      </c>
    </row>
    <row r="970" spans="1:2" x14ac:dyDescent="0.2">
      <c r="A970" t="s">
        <v>341</v>
      </c>
      <c r="B970" t="s">
        <v>1</v>
      </c>
    </row>
    <row r="971" spans="1:2" x14ac:dyDescent="0.2">
      <c r="A971" t="s">
        <v>343</v>
      </c>
      <c r="B971" t="s">
        <v>1</v>
      </c>
    </row>
    <row r="972" spans="1:2" x14ac:dyDescent="0.2">
      <c r="A972" t="s">
        <v>345</v>
      </c>
      <c r="B972" t="s">
        <v>1</v>
      </c>
    </row>
    <row r="973" spans="1:2" x14ac:dyDescent="0.2">
      <c r="A973" t="s">
        <v>347</v>
      </c>
      <c r="B973" t="s">
        <v>1</v>
      </c>
    </row>
    <row r="974" spans="1:2" x14ac:dyDescent="0.2">
      <c r="A974" t="s">
        <v>349</v>
      </c>
      <c r="B974" t="s">
        <v>1</v>
      </c>
    </row>
    <row r="975" spans="1:2" x14ac:dyDescent="0.2">
      <c r="A975" t="s">
        <v>188</v>
      </c>
      <c r="B975" t="s">
        <v>1</v>
      </c>
    </row>
    <row r="976" spans="1:2" x14ac:dyDescent="0.2">
      <c r="A976" t="s">
        <v>352</v>
      </c>
      <c r="B976" t="s">
        <v>1</v>
      </c>
    </row>
    <row r="977" spans="1:2" x14ac:dyDescent="0.2">
      <c r="A977" t="s">
        <v>354</v>
      </c>
      <c r="B977" t="s">
        <v>1</v>
      </c>
    </row>
    <row r="978" spans="1:2" x14ac:dyDescent="0.2">
      <c r="A978" t="s">
        <v>356</v>
      </c>
      <c r="B978" t="s">
        <v>1</v>
      </c>
    </row>
    <row r="979" spans="1:2" x14ac:dyDescent="0.2">
      <c r="A979" t="s">
        <v>358</v>
      </c>
      <c r="B979" t="s">
        <v>1</v>
      </c>
    </row>
    <row r="980" spans="1:2" x14ac:dyDescent="0.2">
      <c r="A980" t="s">
        <v>360</v>
      </c>
      <c r="B980" t="s">
        <v>1</v>
      </c>
    </row>
    <row r="981" spans="1:2" x14ac:dyDescent="0.2">
      <c r="A981" t="s">
        <v>362</v>
      </c>
      <c r="B981" t="s">
        <v>1</v>
      </c>
    </row>
    <row r="982" spans="1:2" x14ac:dyDescent="0.2">
      <c r="A982" t="s">
        <v>363</v>
      </c>
      <c r="B982" t="s">
        <v>1</v>
      </c>
    </row>
    <row r="983" spans="1:2" x14ac:dyDescent="0.2">
      <c r="A983" t="s">
        <v>365</v>
      </c>
      <c r="B983" t="s">
        <v>1</v>
      </c>
    </row>
    <row r="984" spans="1:2" x14ac:dyDescent="0.2">
      <c r="A984" t="s">
        <v>367</v>
      </c>
      <c r="B984" t="s">
        <v>1</v>
      </c>
    </row>
    <row r="985" spans="1:2" x14ac:dyDescent="0.2">
      <c r="A985" t="s">
        <v>369</v>
      </c>
      <c r="B985" t="s">
        <v>1</v>
      </c>
    </row>
    <row r="986" spans="1:2" x14ac:dyDescent="0.2">
      <c r="A986" t="s">
        <v>371</v>
      </c>
      <c r="B986" t="s">
        <v>1</v>
      </c>
    </row>
    <row r="987" spans="1:2" x14ac:dyDescent="0.2">
      <c r="A987" t="s">
        <v>373</v>
      </c>
      <c r="B987" t="s">
        <v>1</v>
      </c>
    </row>
    <row r="988" spans="1:2" x14ac:dyDescent="0.2">
      <c r="A988" t="s">
        <v>375</v>
      </c>
      <c r="B988" t="s">
        <v>1</v>
      </c>
    </row>
    <row r="989" spans="1:2" x14ac:dyDescent="0.2">
      <c r="A989" t="s">
        <v>377</v>
      </c>
      <c r="B989" t="s">
        <v>1</v>
      </c>
    </row>
    <row r="990" spans="1:2" x14ac:dyDescent="0.2">
      <c r="A990" t="s">
        <v>379</v>
      </c>
      <c r="B990" t="s">
        <v>1</v>
      </c>
    </row>
    <row r="991" spans="1:2" x14ac:dyDescent="0.2">
      <c r="A991" t="s">
        <v>381</v>
      </c>
      <c r="B991" t="s">
        <v>1</v>
      </c>
    </row>
    <row r="992" spans="1:2" x14ac:dyDescent="0.2">
      <c r="A992" t="s">
        <v>383</v>
      </c>
      <c r="B992" t="s">
        <v>1</v>
      </c>
    </row>
    <row r="993" spans="1:2" x14ac:dyDescent="0.2">
      <c r="A993" t="s">
        <v>385</v>
      </c>
      <c r="B993" t="s">
        <v>1</v>
      </c>
    </row>
    <row r="994" spans="1:2" x14ac:dyDescent="0.2">
      <c r="A994" t="s">
        <v>387</v>
      </c>
      <c r="B994" t="s">
        <v>1</v>
      </c>
    </row>
    <row r="995" spans="1:2" x14ac:dyDescent="0.2">
      <c r="A995" t="s">
        <v>389</v>
      </c>
      <c r="B995" t="s">
        <v>1</v>
      </c>
    </row>
    <row r="996" spans="1:2" x14ac:dyDescent="0.2">
      <c r="A996" t="s">
        <v>391</v>
      </c>
      <c r="B996" t="s">
        <v>1</v>
      </c>
    </row>
    <row r="997" spans="1:2" x14ac:dyDescent="0.2">
      <c r="A997" t="s">
        <v>393</v>
      </c>
      <c r="B997" t="s">
        <v>1</v>
      </c>
    </row>
    <row r="998" spans="1:2" x14ac:dyDescent="0.2">
      <c r="A998" t="s">
        <v>395</v>
      </c>
      <c r="B998" t="s">
        <v>1</v>
      </c>
    </row>
    <row r="999" spans="1:2" x14ac:dyDescent="0.2">
      <c r="A999" t="s">
        <v>397</v>
      </c>
      <c r="B999" t="s">
        <v>1</v>
      </c>
    </row>
    <row r="1000" spans="1:2" x14ac:dyDescent="0.2">
      <c r="A1000" t="s">
        <v>399</v>
      </c>
      <c r="B1000" t="s">
        <v>1</v>
      </c>
    </row>
    <row r="1001" spans="1:2" x14ac:dyDescent="0.2">
      <c r="A1001" t="s">
        <v>401</v>
      </c>
      <c r="B1001" t="s">
        <v>1</v>
      </c>
    </row>
    <row r="1002" spans="1:2" x14ac:dyDescent="0.2">
      <c r="A1002" t="s">
        <v>403</v>
      </c>
      <c r="B1002" t="s">
        <v>1</v>
      </c>
    </row>
    <row r="1003" spans="1:2" x14ac:dyDescent="0.2">
      <c r="A1003" t="s">
        <v>405</v>
      </c>
      <c r="B1003" t="s">
        <v>1</v>
      </c>
    </row>
    <row r="1004" spans="1:2" x14ac:dyDescent="0.2">
      <c r="A1004" t="s">
        <v>407</v>
      </c>
      <c r="B1004" t="s">
        <v>1</v>
      </c>
    </row>
    <row r="1005" spans="1:2" x14ac:dyDescent="0.2">
      <c r="A1005" t="s">
        <v>409</v>
      </c>
      <c r="B1005" t="s">
        <v>1</v>
      </c>
    </row>
    <row r="1006" spans="1:2" x14ac:dyDescent="0.2">
      <c r="A1006" t="s">
        <v>411</v>
      </c>
      <c r="B1006" t="s">
        <v>1</v>
      </c>
    </row>
    <row r="1007" spans="1:2" x14ac:dyDescent="0.2">
      <c r="A1007" t="s">
        <v>413</v>
      </c>
      <c r="B1007" t="s">
        <v>1</v>
      </c>
    </row>
    <row r="1008" spans="1:2" x14ac:dyDescent="0.2">
      <c r="A1008" t="s">
        <v>415</v>
      </c>
      <c r="B1008" t="s">
        <v>1</v>
      </c>
    </row>
    <row r="1009" spans="1:2" x14ac:dyDescent="0.2">
      <c r="A1009" t="s">
        <v>417</v>
      </c>
      <c r="B1009" t="s">
        <v>1</v>
      </c>
    </row>
    <row r="1010" spans="1:2" x14ac:dyDescent="0.2">
      <c r="A1010" t="s">
        <v>419</v>
      </c>
      <c r="B1010" t="s">
        <v>1</v>
      </c>
    </row>
    <row r="1011" spans="1:2" x14ac:dyDescent="0.2">
      <c r="A1011" t="s">
        <v>421</v>
      </c>
      <c r="B1011" t="s">
        <v>1</v>
      </c>
    </row>
    <row r="1012" spans="1:2" x14ac:dyDescent="0.2">
      <c r="A1012" t="s">
        <v>423</v>
      </c>
      <c r="B1012" t="s">
        <v>1</v>
      </c>
    </row>
    <row r="1013" spans="1:2" x14ac:dyDescent="0.2">
      <c r="A1013" t="s">
        <v>425</v>
      </c>
      <c r="B1013" t="s">
        <v>1</v>
      </c>
    </row>
    <row r="1014" spans="1:2" x14ac:dyDescent="0.2">
      <c r="A1014" t="s">
        <v>427</v>
      </c>
      <c r="B1014" t="s">
        <v>1</v>
      </c>
    </row>
    <row r="1015" spans="1:2" x14ac:dyDescent="0.2">
      <c r="A1015" t="s">
        <v>429</v>
      </c>
      <c r="B1015" t="s">
        <v>1</v>
      </c>
    </row>
    <row r="1016" spans="1:2" x14ac:dyDescent="0.2">
      <c r="A1016" t="s">
        <v>431</v>
      </c>
      <c r="B1016" t="s">
        <v>1</v>
      </c>
    </row>
    <row r="1017" spans="1:2" x14ac:dyDescent="0.2">
      <c r="A1017" t="s">
        <v>433</v>
      </c>
      <c r="B1017" t="s">
        <v>1</v>
      </c>
    </row>
    <row r="1018" spans="1:2" x14ac:dyDescent="0.2">
      <c r="A1018" t="s">
        <v>435</v>
      </c>
      <c r="B1018" t="s">
        <v>1</v>
      </c>
    </row>
    <row r="1019" spans="1:2" x14ac:dyDescent="0.2">
      <c r="A1019" t="s">
        <v>437</v>
      </c>
      <c r="B1019" t="s">
        <v>1</v>
      </c>
    </row>
    <row r="1020" spans="1:2" x14ac:dyDescent="0.2">
      <c r="A1020" t="s">
        <v>439</v>
      </c>
      <c r="B1020" t="s">
        <v>1</v>
      </c>
    </row>
    <row r="1021" spans="1:2" x14ac:dyDescent="0.2">
      <c r="A1021" t="s">
        <v>441</v>
      </c>
      <c r="B1021" t="s">
        <v>1</v>
      </c>
    </row>
    <row r="1022" spans="1:2" x14ac:dyDescent="0.2">
      <c r="A1022" t="s">
        <v>443</v>
      </c>
      <c r="B1022" t="s">
        <v>1</v>
      </c>
    </row>
    <row r="1023" spans="1:2" x14ac:dyDescent="0.2">
      <c r="A1023" t="s">
        <v>445</v>
      </c>
      <c r="B1023" t="s">
        <v>1</v>
      </c>
    </row>
    <row r="1024" spans="1:2" x14ac:dyDescent="0.2">
      <c r="A1024" t="s">
        <v>447</v>
      </c>
      <c r="B1024" t="s">
        <v>1</v>
      </c>
    </row>
    <row r="1025" spans="1:2" x14ac:dyDescent="0.2">
      <c r="A1025" t="s">
        <v>449</v>
      </c>
      <c r="B1025" t="s">
        <v>1</v>
      </c>
    </row>
    <row r="1026" spans="1:2" x14ac:dyDescent="0.2">
      <c r="A1026" t="s">
        <v>451</v>
      </c>
      <c r="B1026" t="s">
        <v>1</v>
      </c>
    </row>
    <row r="1027" spans="1:2" x14ac:dyDescent="0.2">
      <c r="A1027" t="s">
        <v>453</v>
      </c>
      <c r="B1027" t="s">
        <v>1</v>
      </c>
    </row>
    <row r="1028" spans="1:2" x14ac:dyDescent="0.2">
      <c r="A1028" t="s">
        <v>455</v>
      </c>
      <c r="B1028" t="s">
        <v>1</v>
      </c>
    </row>
    <row r="1029" spans="1:2" x14ac:dyDescent="0.2">
      <c r="A1029" t="s">
        <v>457</v>
      </c>
      <c r="B1029" t="s">
        <v>1</v>
      </c>
    </row>
    <row r="1030" spans="1:2" x14ac:dyDescent="0.2">
      <c r="A1030" t="s">
        <v>459</v>
      </c>
      <c r="B1030" t="s">
        <v>1</v>
      </c>
    </row>
    <row r="1031" spans="1:2" x14ac:dyDescent="0.2">
      <c r="A1031" t="s">
        <v>461</v>
      </c>
      <c r="B1031" t="s">
        <v>1</v>
      </c>
    </row>
    <row r="1032" spans="1:2" x14ac:dyDescent="0.2">
      <c r="A1032" t="s">
        <v>463</v>
      </c>
      <c r="B1032" t="s">
        <v>1</v>
      </c>
    </row>
    <row r="1033" spans="1:2" x14ac:dyDescent="0.2">
      <c r="A1033" t="s">
        <v>465</v>
      </c>
      <c r="B1033" t="s">
        <v>1</v>
      </c>
    </row>
    <row r="1034" spans="1:2" x14ac:dyDescent="0.2">
      <c r="A1034" t="s">
        <v>467</v>
      </c>
      <c r="B1034" t="s">
        <v>1</v>
      </c>
    </row>
    <row r="1035" spans="1:2" x14ac:dyDescent="0.2">
      <c r="A1035" t="s">
        <v>469</v>
      </c>
      <c r="B1035" t="s">
        <v>1</v>
      </c>
    </row>
    <row r="1036" spans="1:2" x14ac:dyDescent="0.2">
      <c r="A1036" t="s">
        <v>471</v>
      </c>
      <c r="B1036" t="s">
        <v>1</v>
      </c>
    </row>
    <row r="1037" spans="1:2" x14ac:dyDescent="0.2">
      <c r="A1037" t="s">
        <v>473</v>
      </c>
      <c r="B1037" t="s">
        <v>1</v>
      </c>
    </row>
    <row r="1038" spans="1:2" x14ac:dyDescent="0.2">
      <c r="A1038" t="s">
        <v>475</v>
      </c>
      <c r="B1038" t="s">
        <v>1</v>
      </c>
    </row>
    <row r="1039" spans="1:2" x14ac:dyDescent="0.2">
      <c r="A1039" t="s">
        <v>477</v>
      </c>
      <c r="B1039" t="s">
        <v>1</v>
      </c>
    </row>
    <row r="1040" spans="1:2" x14ac:dyDescent="0.2">
      <c r="A1040" t="s">
        <v>479</v>
      </c>
      <c r="B1040" t="s">
        <v>1</v>
      </c>
    </row>
    <row r="1041" spans="1:2" x14ac:dyDescent="0.2">
      <c r="A1041" t="s">
        <v>481</v>
      </c>
      <c r="B1041" t="s">
        <v>1</v>
      </c>
    </row>
    <row r="1042" spans="1:2" x14ac:dyDescent="0.2">
      <c r="A1042" t="s">
        <v>483</v>
      </c>
      <c r="B1042" t="s">
        <v>1</v>
      </c>
    </row>
    <row r="1043" spans="1:2" x14ac:dyDescent="0.2">
      <c r="A1043" t="s">
        <v>485</v>
      </c>
      <c r="B1043" t="s">
        <v>1</v>
      </c>
    </row>
    <row r="1044" spans="1:2" x14ac:dyDescent="0.2">
      <c r="A1044" t="s">
        <v>487</v>
      </c>
      <c r="B1044" t="s">
        <v>1</v>
      </c>
    </row>
    <row r="1045" spans="1:2" x14ac:dyDescent="0.2">
      <c r="A1045" t="s">
        <v>489</v>
      </c>
      <c r="B1045" t="s">
        <v>1</v>
      </c>
    </row>
    <row r="1046" spans="1:2" x14ac:dyDescent="0.2">
      <c r="A1046" t="s">
        <v>491</v>
      </c>
      <c r="B1046" t="s">
        <v>1</v>
      </c>
    </row>
    <row r="1047" spans="1:2" x14ac:dyDescent="0.2">
      <c r="A1047" t="s">
        <v>493</v>
      </c>
      <c r="B1047" t="s">
        <v>1</v>
      </c>
    </row>
    <row r="1048" spans="1:2" x14ac:dyDescent="0.2">
      <c r="A1048" t="s">
        <v>495</v>
      </c>
      <c r="B1048" t="s">
        <v>1</v>
      </c>
    </row>
    <row r="1049" spans="1:2" x14ac:dyDescent="0.2">
      <c r="A1049" t="s">
        <v>497</v>
      </c>
      <c r="B1049" t="s">
        <v>1</v>
      </c>
    </row>
    <row r="1050" spans="1:2" x14ac:dyDescent="0.2">
      <c r="A1050" t="s">
        <v>499</v>
      </c>
      <c r="B1050" t="s">
        <v>1</v>
      </c>
    </row>
    <row r="1051" spans="1:2" x14ac:dyDescent="0.2">
      <c r="A1051" t="s">
        <v>501</v>
      </c>
      <c r="B1051" t="s">
        <v>1</v>
      </c>
    </row>
    <row r="1052" spans="1:2" x14ac:dyDescent="0.2">
      <c r="A1052" t="s">
        <v>503</v>
      </c>
      <c r="B1052" t="s">
        <v>1</v>
      </c>
    </row>
    <row r="1053" spans="1:2" x14ac:dyDescent="0.2">
      <c r="A1053" t="s">
        <v>505</v>
      </c>
      <c r="B1053" t="s">
        <v>1</v>
      </c>
    </row>
    <row r="1054" spans="1:2" x14ac:dyDescent="0.2">
      <c r="A1054" t="s">
        <v>507</v>
      </c>
      <c r="B1054" t="s">
        <v>1</v>
      </c>
    </row>
    <row r="1055" spans="1:2" x14ac:dyDescent="0.2">
      <c r="A1055" t="s">
        <v>509</v>
      </c>
      <c r="B1055" t="s">
        <v>1</v>
      </c>
    </row>
    <row r="1056" spans="1:2" x14ac:dyDescent="0.2">
      <c r="A1056" t="s">
        <v>511</v>
      </c>
      <c r="B1056" t="s">
        <v>1</v>
      </c>
    </row>
    <row r="1057" spans="1:2" x14ac:dyDescent="0.2">
      <c r="A1057" t="s">
        <v>513</v>
      </c>
      <c r="B1057" t="s">
        <v>1</v>
      </c>
    </row>
    <row r="1058" spans="1:2" x14ac:dyDescent="0.2">
      <c r="A1058" t="s">
        <v>515</v>
      </c>
      <c r="B1058" t="s">
        <v>1</v>
      </c>
    </row>
    <row r="1059" spans="1:2" x14ac:dyDescent="0.2">
      <c r="A1059" t="s">
        <v>517</v>
      </c>
      <c r="B1059" t="s">
        <v>1</v>
      </c>
    </row>
    <row r="1060" spans="1:2" x14ac:dyDescent="0.2">
      <c r="A1060" t="s">
        <v>519</v>
      </c>
      <c r="B1060" t="s">
        <v>1</v>
      </c>
    </row>
    <row r="1061" spans="1:2" x14ac:dyDescent="0.2">
      <c r="A1061" t="s">
        <v>521</v>
      </c>
      <c r="B1061" t="s">
        <v>1</v>
      </c>
    </row>
    <row r="1062" spans="1:2" x14ac:dyDescent="0.2">
      <c r="A1062" t="s">
        <v>523</v>
      </c>
      <c r="B1062" t="s">
        <v>1</v>
      </c>
    </row>
    <row r="1063" spans="1:2" x14ac:dyDescent="0.2">
      <c r="A1063" t="s">
        <v>525</v>
      </c>
      <c r="B1063" t="s">
        <v>1</v>
      </c>
    </row>
    <row r="1064" spans="1:2" x14ac:dyDescent="0.2">
      <c r="A1064" t="s">
        <v>527</v>
      </c>
      <c r="B1064" t="s">
        <v>1</v>
      </c>
    </row>
    <row r="1065" spans="1:2" x14ac:dyDescent="0.2">
      <c r="A1065" t="s">
        <v>529</v>
      </c>
      <c r="B1065" t="s">
        <v>1</v>
      </c>
    </row>
    <row r="1066" spans="1:2" x14ac:dyDescent="0.2">
      <c r="A1066" t="s">
        <v>531</v>
      </c>
      <c r="B1066" t="s">
        <v>1</v>
      </c>
    </row>
    <row r="1067" spans="1:2" x14ac:dyDescent="0.2">
      <c r="A1067" t="s">
        <v>533</v>
      </c>
      <c r="B1067" t="s">
        <v>1</v>
      </c>
    </row>
    <row r="1068" spans="1:2" x14ac:dyDescent="0.2">
      <c r="A1068" t="s">
        <v>535</v>
      </c>
      <c r="B1068" t="s">
        <v>1</v>
      </c>
    </row>
    <row r="1069" spans="1:2" x14ac:dyDescent="0.2">
      <c r="A1069" t="s">
        <v>537</v>
      </c>
      <c r="B1069" t="s">
        <v>1</v>
      </c>
    </row>
    <row r="1070" spans="1:2" x14ac:dyDescent="0.2">
      <c r="A1070" t="s">
        <v>539</v>
      </c>
      <c r="B1070" t="s">
        <v>1</v>
      </c>
    </row>
    <row r="1071" spans="1:2" x14ac:dyDescent="0.2">
      <c r="A1071" t="s">
        <v>541</v>
      </c>
      <c r="B1071" t="s">
        <v>1</v>
      </c>
    </row>
    <row r="1072" spans="1:2" x14ac:dyDescent="0.2">
      <c r="A1072" t="s">
        <v>543</v>
      </c>
      <c r="B1072" t="s">
        <v>1</v>
      </c>
    </row>
    <row r="1073" spans="1:2" x14ac:dyDescent="0.2">
      <c r="A1073" t="s">
        <v>545</v>
      </c>
      <c r="B1073" t="s">
        <v>1</v>
      </c>
    </row>
    <row r="1074" spans="1:2" x14ac:dyDescent="0.2">
      <c r="A1074" t="s">
        <v>547</v>
      </c>
      <c r="B1074" t="s">
        <v>1</v>
      </c>
    </row>
    <row r="1075" spans="1:2" x14ac:dyDescent="0.2">
      <c r="A1075" t="s">
        <v>549</v>
      </c>
      <c r="B1075" t="s">
        <v>1</v>
      </c>
    </row>
    <row r="1076" spans="1:2" x14ac:dyDescent="0.2">
      <c r="A1076" t="s">
        <v>551</v>
      </c>
      <c r="B1076" t="s">
        <v>1</v>
      </c>
    </row>
    <row r="1077" spans="1:2" x14ac:dyDescent="0.2">
      <c r="A1077" t="s">
        <v>553</v>
      </c>
      <c r="B1077" t="s">
        <v>1</v>
      </c>
    </row>
    <row r="1078" spans="1:2" x14ac:dyDescent="0.2">
      <c r="A1078" t="s">
        <v>555</v>
      </c>
      <c r="B1078" t="s">
        <v>1</v>
      </c>
    </row>
    <row r="1079" spans="1:2" x14ac:dyDescent="0.2">
      <c r="A1079" t="s">
        <v>557</v>
      </c>
      <c r="B1079" t="s">
        <v>1</v>
      </c>
    </row>
    <row r="1080" spans="1:2" x14ac:dyDescent="0.2">
      <c r="A1080" t="s">
        <v>559</v>
      </c>
      <c r="B1080" t="s">
        <v>1</v>
      </c>
    </row>
    <row r="1081" spans="1:2" x14ac:dyDescent="0.2">
      <c r="A1081" t="s">
        <v>561</v>
      </c>
      <c r="B1081" t="s">
        <v>1</v>
      </c>
    </row>
    <row r="1082" spans="1:2" x14ac:dyDescent="0.2">
      <c r="A1082" t="s">
        <v>563</v>
      </c>
      <c r="B1082" t="s">
        <v>1</v>
      </c>
    </row>
    <row r="1083" spans="1:2" x14ac:dyDescent="0.2">
      <c r="A1083" t="s">
        <v>565</v>
      </c>
      <c r="B1083" t="s">
        <v>1</v>
      </c>
    </row>
    <row r="1084" spans="1:2" x14ac:dyDescent="0.2">
      <c r="A1084" t="s">
        <v>567</v>
      </c>
      <c r="B1084" t="s">
        <v>1</v>
      </c>
    </row>
    <row r="1085" spans="1:2" x14ac:dyDescent="0.2">
      <c r="A1085" t="s">
        <v>569</v>
      </c>
      <c r="B1085" t="s">
        <v>1</v>
      </c>
    </row>
    <row r="1086" spans="1:2" x14ac:dyDescent="0.2">
      <c r="A1086" t="s">
        <v>571</v>
      </c>
      <c r="B1086" t="s">
        <v>1</v>
      </c>
    </row>
    <row r="1087" spans="1:2" x14ac:dyDescent="0.2">
      <c r="A1087" t="s">
        <v>573</v>
      </c>
      <c r="B1087" t="s">
        <v>1</v>
      </c>
    </row>
    <row r="1088" spans="1:2" x14ac:dyDescent="0.2">
      <c r="A1088" t="s">
        <v>575</v>
      </c>
      <c r="B1088" t="s">
        <v>1</v>
      </c>
    </row>
    <row r="1089" spans="1:2" x14ac:dyDescent="0.2">
      <c r="A1089" t="s">
        <v>577</v>
      </c>
      <c r="B1089" t="s">
        <v>1</v>
      </c>
    </row>
    <row r="1090" spans="1:2" x14ac:dyDescent="0.2">
      <c r="A1090" t="s">
        <v>579</v>
      </c>
      <c r="B1090" t="s">
        <v>1</v>
      </c>
    </row>
    <row r="1091" spans="1:2" x14ac:dyDescent="0.2">
      <c r="A1091" t="s">
        <v>581</v>
      </c>
      <c r="B1091" t="s">
        <v>1</v>
      </c>
    </row>
    <row r="1092" spans="1:2" x14ac:dyDescent="0.2">
      <c r="A1092" t="s">
        <v>583</v>
      </c>
      <c r="B1092" t="s">
        <v>1</v>
      </c>
    </row>
    <row r="1093" spans="1:2" x14ac:dyDescent="0.2">
      <c r="A1093" t="s">
        <v>585</v>
      </c>
      <c r="B1093" t="s">
        <v>1</v>
      </c>
    </row>
    <row r="1094" spans="1:2" x14ac:dyDescent="0.2">
      <c r="A1094" t="s">
        <v>587</v>
      </c>
      <c r="B1094" t="s">
        <v>1</v>
      </c>
    </row>
    <row r="1095" spans="1:2" x14ac:dyDescent="0.2">
      <c r="A1095" t="s">
        <v>589</v>
      </c>
      <c r="B1095" t="s">
        <v>1</v>
      </c>
    </row>
    <row r="1096" spans="1:2" x14ac:dyDescent="0.2">
      <c r="A1096" t="s">
        <v>591</v>
      </c>
      <c r="B1096" t="s">
        <v>1</v>
      </c>
    </row>
    <row r="1097" spans="1:2" x14ac:dyDescent="0.2">
      <c r="A1097" t="s">
        <v>593</v>
      </c>
      <c r="B1097" t="s">
        <v>1</v>
      </c>
    </row>
    <row r="1098" spans="1:2" x14ac:dyDescent="0.2">
      <c r="A1098" t="s">
        <v>595</v>
      </c>
      <c r="B1098" t="s">
        <v>1</v>
      </c>
    </row>
    <row r="1099" spans="1:2" x14ac:dyDescent="0.2">
      <c r="A1099" t="s">
        <v>597</v>
      </c>
      <c r="B1099" t="s">
        <v>1</v>
      </c>
    </row>
    <row r="1100" spans="1:2" x14ac:dyDescent="0.2">
      <c r="A1100" t="s">
        <v>599</v>
      </c>
      <c r="B1100" t="s">
        <v>1</v>
      </c>
    </row>
    <row r="1101" spans="1:2" x14ac:dyDescent="0.2">
      <c r="A1101" t="s">
        <v>601</v>
      </c>
      <c r="B1101" t="s">
        <v>1</v>
      </c>
    </row>
    <row r="1102" spans="1:2" x14ac:dyDescent="0.2">
      <c r="A1102" t="s">
        <v>603</v>
      </c>
      <c r="B1102" t="s">
        <v>1</v>
      </c>
    </row>
    <row r="1103" spans="1:2" x14ac:dyDescent="0.2">
      <c r="A1103" t="s">
        <v>605</v>
      </c>
      <c r="B1103" t="s">
        <v>1</v>
      </c>
    </row>
    <row r="1104" spans="1:2" x14ac:dyDescent="0.2">
      <c r="A1104" t="s">
        <v>607</v>
      </c>
      <c r="B1104" t="s">
        <v>1</v>
      </c>
    </row>
    <row r="1105" spans="1:2" x14ac:dyDescent="0.2">
      <c r="A1105" t="s">
        <v>609</v>
      </c>
      <c r="B1105" t="s">
        <v>1</v>
      </c>
    </row>
    <row r="1106" spans="1:2" x14ac:dyDescent="0.2">
      <c r="A1106" t="s">
        <v>611</v>
      </c>
      <c r="B1106" t="s">
        <v>1</v>
      </c>
    </row>
    <row r="1107" spans="1:2" x14ac:dyDescent="0.2">
      <c r="A1107" t="s">
        <v>613</v>
      </c>
      <c r="B1107" t="s">
        <v>1</v>
      </c>
    </row>
    <row r="1108" spans="1:2" x14ac:dyDescent="0.2">
      <c r="A1108" t="s">
        <v>615</v>
      </c>
      <c r="B1108" t="s">
        <v>1</v>
      </c>
    </row>
    <row r="1109" spans="1:2" x14ac:dyDescent="0.2">
      <c r="A1109" t="s">
        <v>617</v>
      </c>
      <c r="B1109" t="s">
        <v>1</v>
      </c>
    </row>
    <row r="1110" spans="1:2" x14ac:dyDescent="0.2">
      <c r="A1110" t="s">
        <v>619</v>
      </c>
      <c r="B1110" t="s">
        <v>1</v>
      </c>
    </row>
    <row r="1111" spans="1:2" x14ac:dyDescent="0.2">
      <c r="A1111" t="s">
        <v>621</v>
      </c>
      <c r="B1111" t="s">
        <v>1</v>
      </c>
    </row>
    <row r="1112" spans="1:2" x14ac:dyDescent="0.2">
      <c r="A1112" t="s">
        <v>623</v>
      </c>
      <c r="B1112" t="s">
        <v>1</v>
      </c>
    </row>
    <row r="1113" spans="1:2" x14ac:dyDescent="0.2">
      <c r="A1113" t="s">
        <v>625</v>
      </c>
      <c r="B1113" t="s">
        <v>1</v>
      </c>
    </row>
    <row r="1114" spans="1:2" x14ac:dyDescent="0.2">
      <c r="A1114" t="s">
        <v>627</v>
      </c>
      <c r="B1114" t="s">
        <v>1</v>
      </c>
    </row>
    <row r="1115" spans="1:2" x14ac:dyDescent="0.2">
      <c r="A1115" t="s">
        <v>629</v>
      </c>
      <c r="B1115" t="s">
        <v>1</v>
      </c>
    </row>
    <row r="1116" spans="1:2" x14ac:dyDescent="0.2">
      <c r="A1116" t="s">
        <v>631</v>
      </c>
      <c r="B1116" t="s">
        <v>1</v>
      </c>
    </row>
    <row r="1117" spans="1:2" x14ac:dyDescent="0.2">
      <c r="A1117" t="s">
        <v>633</v>
      </c>
      <c r="B1117" t="s">
        <v>1</v>
      </c>
    </row>
    <row r="1118" spans="1:2" x14ac:dyDescent="0.2">
      <c r="A1118" t="s">
        <v>635</v>
      </c>
      <c r="B1118" t="s">
        <v>1</v>
      </c>
    </row>
    <row r="1119" spans="1:2" x14ac:dyDescent="0.2">
      <c r="A1119" t="s">
        <v>637</v>
      </c>
      <c r="B1119" t="s">
        <v>1</v>
      </c>
    </row>
    <row r="1120" spans="1:2" x14ac:dyDescent="0.2">
      <c r="A1120" t="s">
        <v>639</v>
      </c>
      <c r="B1120" t="s">
        <v>1</v>
      </c>
    </row>
    <row r="1121" spans="1:2" x14ac:dyDescent="0.2">
      <c r="A1121" t="s">
        <v>641</v>
      </c>
      <c r="B1121" t="s">
        <v>1</v>
      </c>
    </row>
    <row r="1122" spans="1:2" x14ac:dyDescent="0.2">
      <c r="A1122" t="s">
        <v>643</v>
      </c>
      <c r="B1122" t="s">
        <v>1</v>
      </c>
    </row>
    <row r="1123" spans="1:2" x14ac:dyDescent="0.2">
      <c r="A1123" t="s">
        <v>645</v>
      </c>
      <c r="B1123" t="s">
        <v>1</v>
      </c>
    </row>
    <row r="1124" spans="1:2" x14ac:dyDescent="0.2">
      <c r="A1124" t="s">
        <v>647</v>
      </c>
      <c r="B1124" t="s">
        <v>1</v>
      </c>
    </row>
    <row r="1125" spans="1:2" x14ac:dyDescent="0.2">
      <c r="A1125" t="s">
        <v>649</v>
      </c>
      <c r="B1125" t="s">
        <v>1</v>
      </c>
    </row>
    <row r="1126" spans="1:2" x14ac:dyDescent="0.2">
      <c r="A1126" t="s">
        <v>651</v>
      </c>
      <c r="B1126" t="s">
        <v>1</v>
      </c>
    </row>
    <row r="1127" spans="1:2" x14ac:dyDescent="0.2">
      <c r="A1127" t="s">
        <v>653</v>
      </c>
      <c r="B1127" t="s">
        <v>1</v>
      </c>
    </row>
    <row r="1128" spans="1:2" x14ac:dyDescent="0.2">
      <c r="A1128" t="s">
        <v>655</v>
      </c>
      <c r="B1128" t="s">
        <v>1</v>
      </c>
    </row>
    <row r="1129" spans="1:2" x14ac:dyDescent="0.2">
      <c r="A1129" t="s">
        <v>657</v>
      </c>
      <c r="B1129" t="s">
        <v>1</v>
      </c>
    </row>
    <row r="1130" spans="1:2" x14ac:dyDescent="0.2">
      <c r="A1130" t="s">
        <v>659</v>
      </c>
      <c r="B1130" t="s">
        <v>1</v>
      </c>
    </row>
    <row r="1131" spans="1:2" x14ac:dyDescent="0.2">
      <c r="A1131" t="s">
        <v>661</v>
      </c>
      <c r="B1131" t="s">
        <v>1</v>
      </c>
    </row>
    <row r="1132" spans="1:2" x14ac:dyDescent="0.2">
      <c r="A1132" t="s">
        <v>663</v>
      </c>
      <c r="B1132" t="s">
        <v>1</v>
      </c>
    </row>
    <row r="1133" spans="1:2" x14ac:dyDescent="0.2">
      <c r="A1133" t="s">
        <v>353</v>
      </c>
      <c r="B1133" t="s">
        <v>1</v>
      </c>
    </row>
    <row r="1134" spans="1:2" x14ac:dyDescent="0.2">
      <c r="A1134" t="s">
        <v>666</v>
      </c>
      <c r="B1134" t="s">
        <v>1</v>
      </c>
    </row>
    <row r="1135" spans="1:2" x14ac:dyDescent="0.2">
      <c r="A1135" t="s">
        <v>364</v>
      </c>
      <c r="B1135" t="s">
        <v>1</v>
      </c>
    </row>
    <row r="1136" spans="1:2" x14ac:dyDescent="0.2">
      <c r="A1136" t="s">
        <v>669</v>
      </c>
      <c r="B1136" t="s">
        <v>1</v>
      </c>
    </row>
    <row r="1137" spans="1:2" x14ac:dyDescent="0.2">
      <c r="A1137" t="s">
        <v>671</v>
      </c>
      <c r="B1137" t="s">
        <v>1</v>
      </c>
    </row>
    <row r="1138" spans="1:2" x14ac:dyDescent="0.2">
      <c r="A1138" t="s">
        <v>673</v>
      </c>
      <c r="B1138" t="s">
        <v>1</v>
      </c>
    </row>
    <row r="1139" spans="1:2" x14ac:dyDescent="0.2">
      <c r="A1139" t="s">
        <v>675</v>
      </c>
      <c r="B1139" t="s">
        <v>1</v>
      </c>
    </row>
    <row r="1140" spans="1:2" x14ac:dyDescent="0.2">
      <c r="A1140" t="s">
        <v>677</v>
      </c>
      <c r="B1140" t="s">
        <v>1</v>
      </c>
    </row>
    <row r="1141" spans="1:2" x14ac:dyDescent="0.2">
      <c r="A1141" t="s">
        <v>353</v>
      </c>
      <c r="B1141" t="s">
        <v>1</v>
      </c>
    </row>
    <row r="1142" spans="1:2" x14ac:dyDescent="0.2">
      <c r="A1142" t="s">
        <v>680</v>
      </c>
      <c r="B1142" t="s">
        <v>1</v>
      </c>
    </row>
    <row r="1143" spans="1:2" x14ac:dyDescent="0.2">
      <c r="A1143" t="s">
        <v>682</v>
      </c>
      <c r="B1143" t="s">
        <v>1</v>
      </c>
    </row>
    <row r="1144" spans="1:2" x14ac:dyDescent="0.2">
      <c r="A1144" t="s">
        <v>684</v>
      </c>
      <c r="B1144" t="s">
        <v>1</v>
      </c>
    </row>
    <row r="1145" spans="1:2" x14ac:dyDescent="0.2">
      <c r="A1145" t="s">
        <v>686</v>
      </c>
      <c r="B1145" t="s">
        <v>1</v>
      </c>
    </row>
    <row r="1146" spans="1:2" x14ac:dyDescent="0.2">
      <c r="A1146" t="s">
        <v>688</v>
      </c>
      <c r="B1146" t="s">
        <v>1</v>
      </c>
    </row>
    <row r="1147" spans="1:2" x14ac:dyDescent="0.2">
      <c r="A1147" t="s">
        <v>669</v>
      </c>
      <c r="B1147" t="s">
        <v>1</v>
      </c>
    </row>
    <row r="1148" spans="1:2" x14ac:dyDescent="0.2">
      <c r="A1148" t="s">
        <v>691</v>
      </c>
      <c r="B1148" t="s">
        <v>1</v>
      </c>
    </row>
    <row r="1149" spans="1:2" x14ac:dyDescent="0.2">
      <c r="A1149" t="s">
        <v>693</v>
      </c>
      <c r="B1149" t="s">
        <v>1</v>
      </c>
    </row>
    <row r="1150" spans="1:2" x14ac:dyDescent="0.2">
      <c r="A1150" t="s">
        <v>695</v>
      </c>
      <c r="B1150" t="s">
        <v>1</v>
      </c>
    </row>
    <row r="1151" spans="1:2" x14ac:dyDescent="0.2">
      <c r="A1151" t="s">
        <v>697</v>
      </c>
      <c r="B1151" t="s">
        <v>1</v>
      </c>
    </row>
    <row r="1152" spans="1:2" x14ac:dyDescent="0.2">
      <c r="A1152" t="s">
        <v>699</v>
      </c>
      <c r="B1152" t="s">
        <v>1</v>
      </c>
    </row>
    <row r="1153" spans="1:2" x14ac:dyDescent="0.2">
      <c r="A1153" t="s">
        <v>701</v>
      </c>
      <c r="B1153" t="s">
        <v>1</v>
      </c>
    </row>
    <row r="1154" spans="1:2" x14ac:dyDescent="0.2">
      <c r="A1154" t="s">
        <v>703</v>
      </c>
      <c r="B1154" t="s">
        <v>1</v>
      </c>
    </row>
    <row r="1155" spans="1:2" x14ac:dyDescent="0.2">
      <c r="A1155" t="s">
        <v>705</v>
      </c>
      <c r="B1155" t="s">
        <v>1</v>
      </c>
    </row>
    <row r="1156" spans="1:2" x14ac:dyDescent="0.2">
      <c r="A1156" t="s">
        <v>707</v>
      </c>
      <c r="B1156" t="s">
        <v>1</v>
      </c>
    </row>
    <row r="1157" spans="1:2" x14ac:dyDescent="0.2">
      <c r="A1157" t="s">
        <v>709</v>
      </c>
      <c r="B1157" t="s">
        <v>1</v>
      </c>
    </row>
    <row r="1158" spans="1:2" x14ac:dyDescent="0.2">
      <c r="A1158" t="s">
        <v>711</v>
      </c>
      <c r="B1158" t="s">
        <v>1</v>
      </c>
    </row>
    <row r="1159" spans="1:2" x14ac:dyDescent="0.2">
      <c r="A1159" t="s">
        <v>713</v>
      </c>
      <c r="B1159" t="s">
        <v>1</v>
      </c>
    </row>
    <row r="1160" spans="1:2" x14ac:dyDescent="0.2">
      <c r="A1160" t="s">
        <v>715</v>
      </c>
      <c r="B1160" t="s">
        <v>1</v>
      </c>
    </row>
    <row r="1161" spans="1:2" x14ac:dyDescent="0.2">
      <c r="A1161" t="s">
        <v>717</v>
      </c>
      <c r="B1161" t="s">
        <v>1</v>
      </c>
    </row>
    <row r="1162" spans="1:2" x14ac:dyDescent="0.2">
      <c r="A1162" t="s">
        <v>719</v>
      </c>
      <c r="B1162" t="s">
        <v>1</v>
      </c>
    </row>
    <row r="1163" spans="1:2" x14ac:dyDescent="0.2">
      <c r="A1163" t="s">
        <v>721</v>
      </c>
      <c r="B1163" t="s">
        <v>1</v>
      </c>
    </row>
    <row r="1164" spans="1:2" x14ac:dyDescent="0.2">
      <c r="A1164" t="s">
        <v>723</v>
      </c>
      <c r="B1164" t="s">
        <v>1</v>
      </c>
    </row>
    <row r="1165" spans="1:2" x14ac:dyDescent="0.2">
      <c r="A1165" t="s">
        <v>725</v>
      </c>
      <c r="B1165" t="s">
        <v>1</v>
      </c>
    </row>
    <row r="1166" spans="1:2" x14ac:dyDescent="0.2">
      <c r="A1166" t="s">
        <v>727</v>
      </c>
      <c r="B1166" t="s">
        <v>1</v>
      </c>
    </row>
    <row r="1167" spans="1:2" x14ac:dyDescent="0.2">
      <c r="A1167" t="s">
        <v>729</v>
      </c>
      <c r="B1167" t="s">
        <v>1</v>
      </c>
    </row>
    <row r="1168" spans="1:2" x14ac:dyDescent="0.2">
      <c r="A1168" t="s">
        <v>731</v>
      </c>
      <c r="B1168" t="s">
        <v>1</v>
      </c>
    </row>
    <row r="1169" spans="1:2" x14ac:dyDescent="0.2">
      <c r="A1169" t="s">
        <v>733</v>
      </c>
      <c r="B1169" t="s">
        <v>1</v>
      </c>
    </row>
    <row r="1170" spans="1:2" x14ac:dyDescent="0.2">
      <c r="A1170" t="s">
        <v>735</v>
      </c>
      <c r="B1170" t="s">
        <v>1</v>
      </c>
    </row>
    <row r="1171" spans="1:2" x14ac:dyDescent="0.2">
      <c r="A1171" t="s">
        <v>737</v>
      </c>
      <c r="B1171" t="s">
        <v>1</v>
      </c>
    </row>
    <row r="1172" spans="1:2" x14ac:dyDescent="0.2">
      <c r="A1172" t="s">
        <v>739</v>
      </c>
      <c r="B1172" t="s">
        <v>1</v>
      </c>
    </row>
    <row r="1173" spans="1:2" x14ac:dyDescent="0.2">
      <c r="A1173" t="s">
        <v>741</v>
      </c>
      <c r="B1173" t="s">
        <v>1</v>
      </c>
    </row>
    <row r="1174" spans="1:2" x14ac:dyDescent="0.2">
      <c r="A1174" t="s">
        <v>743</v>
      </c>
      <c r="B1174" t="s">
        <v>1</v>
      </c>
    </row>
    <row r="1175" spans="1:2" x14ac:dyDescent="0.2">
      <c r="A1175" t="s">
        <v>745</v>
      </c>
      <c r="B1175" t="s">
        <v>1</v>
      </c>
    </row>
    <row r="1176" spans="1:2" x14ac:dyDescent="0.2">
      <c r="A1176" t="s">
        <v>747</v>
      </c>
      <c r="B1176" t="s">
        <v>1</v>
      </c>
    </row>
    <row r="1177" spans="1:2" x14ac:dyDescent="0.2">
      <c r="A1177" t="s">
        <v>749</v>
      </c>
      <c r="B1177" t="s">
        <v>1</v>
      </c>
    </row>
    <row r="1178" spans="1:2" x14ac:dyDescent="0.2">
      <c r="A1178" t="s">
        <v>751</v>
      </c>
      <c r="B1178" t="s">
        <v>1</v>
      </c>
    </row>
    <row r="1179" spans="1:2" x14ac:dyDescent="0.2">
      <c r="A1179" t="s">
        <v>753</v>
      </c>
      <c r="B1179" t="s">
        <v>1</v>
      </c>
    </row>
    <row r="1180" spans="1:2" x14ac:dyDescent="0.2">
      <c r="A1180" t="s">
        <v>755</v>
      </c>
      <c r="B1180" t="s">
        <v>1</v>
      </c>
    </row>
    <row r="1181" spans="1:2" x14ac:dyDescent="0.2">
      <c r="A1181" t="s">
        <v>757</v>
      </c>
      <c r="B1181" t="s">
        <v>1</v>
      </c>
    </row>
    <row r="1182" spans="1:2" x14ac:dyDescent="0.2">
      <c r="A1182" t="s">
        <v>759</v>
      </c>
      <c r="B1182" t="s">
        <v>1</v>
      </c>
    </row>
    <row r="1183" spans="1:2" x14ac:dyDescent="0.2">
      <c r="A1183" t="s">
        <v>761</v>
      </c>
      <c r="B1183" t="s">
        <v>1</v>
      </c>
    </row>
    <row r="1184" spans="1:2" x14ac:dyDescent="0.2">
      <c r="A1184" t="s">
        <v>763</v>
      </c>
      <c r="B1184" t="s">
        <v>1</v>
      </c>
    </row>
    <row r="1185" spans="1:2" x14ac:dyDescent="0.2">
      <c r="A1185" t="s">
        <v>765</v>
      </c>
      <c r="B1185" t="s">
        <v>1</v>
      </c>
    </row>
    <row r="1186" spans="1:2" x14ac:dyDescent="0.2">
      <c r="A1186" t="s">
        <v>767</v>
      </c>
      <c r="B1186" t="s">
        <v>1</v>
      </c>
    </row>
    <row r="1187" spans="1:2" x14ac:dyDescent="0.2">
      <c r="A1187" t="s">
        <v>769</v>
      </c>
      <c r="B1187" t="s">
        <v>1</v>
      </c>
    </row>
    <row r="1188" spans="1:2" x14ac:dyDescent="0.2">
      <c r="A1188" t="s">
        <v>771</v>
      </c>
      <c r="B1188" t="s">
        <v>1</v>
      </c>
    </row>
    <row r="1189" spans="1:2" x14ac:dyDescent="0.2">
      <c r="A1189" t="s">
        <v>773</v>
      </c>
      <c r="B1189" t="s">
        <v>1</v>
      </c>
    </row>
    <row r="1190" spans="1:2" x14ac:dyDescent="0.2">
      <c r="A1190" t="s">
        <v>775</v>
      </c>
      <c r="B1190" t="s">
        <v>1</v>
      </c>
    </row>
    <row r="1191" spans="1:2" x14ac:dyDescent="0.2">
      <c r="A1191" t="s">
        <v>777</v>
      </c>
      <c r="B1191" t="s">
        <v>1</v>
      </c>
    </row>
    <row r="1192" spans="1:2" x14ac:dyDescent="0.2">
      <c r="A1192" t="s">
        <v>779</v>
      </c>
      <c r="B1192" t="s">
        <v>1</v>
      </c>
    </row>
    <row r="1193" spans="1:2" x14ac:dyDescent="0.2">
      <c r="A1193" t="s">
        <v>781</v>
      </c>
      <c r="B1193" t="s">
        <v>1</v>
      </c>
    </row>
    <row r="1194" spans="1:2" x14ac:dyDescent="0.2">
      <c r="A1194" t="s">
        <v>783</v>
      </c>
      <c r="B1194" t="s">
        <v>1</v>
      </c>
    </row>
    <row r="1195" spans="1:2" x14ac:dyDescent="0.2">
      <c r="A1195" t="s">
        <v>785</v>
      </c>
      <c r="B1195" t="s">
        <v>1</v>
      </c>
    </row>
    <row r="1196" spans="1:2" x14ac:dyDescent="0.2">
      <c r="A1196" t="s">
        <v>787</v>
      </c>
      <c r="B1196" t="s">
        <v>1</v>
      </c>
    </row>
    <row r="1197" spans="1:2" x14ac:dyDescent="0.2">
      <c r="A1197" t="s">
        <v>789</v>
      </c>
      <c r="B1197" t="s">
        <v>1</v>
      </c>
    </row>
    <row r="1198" spans="1:2" x14ac:dyDescent="0.2">
      <c r="A1198" t="s">
        <v>791</v>
      </c>
      <c r="B1198" t="s">
        <v>1</v>
      </c>
    </row>
    <row r="1199" spans="1:2" x14ac:dyDescent="0.2">
      <c r="A1199" t="s">
        <v>793</v>
      </c>
      <c r="B1199" t="s">
        <v>1</v>
      </c>
    </row>
    <row r="1200" spans="1:2" x14ac:dyDescent="0.2">
      <c r="A1200" t="s">
        <v>795</v>
      </c>
      <c r="B1200" t="s">
        <v>1</v>
      </c>
    </row>
    <row r="1201" spans="1:2" x14ac:dyDescent="0.2">
      <c r="A1201" t="s">
        <v>797</v>
      </c>
      <c r="B1201" t="s">
        <v>1</v>
      </c>
    </row>
    <row r="1202" spans="1:2" x14ac:dyDescent="0.2">
      <c r="A1202" t="s">
        <v>799</v>
      </c>
      <c r="B1202" t="s">
        <v>1</v>
      </c>
    </row>
    <row r="1203" spans="1:2" x14ac:dyDescent="0.2">
      <c r="A1203" t="s">
        <v>801</v>
      </c>
      <c r="B1203" t="s">
        <v>1</v>
      </c>
    </row>
    <row r="1204" spans="1:2" x14ac:dyDescent="0.2">
      <c r="A1204" t="s">
        <v>803</v>
      </c>
      <c r="B1204" t="s">
        <v>1</v>
      </c>
    </row>
    <row r="1205" spans="1:2" x14ac:dyDescent="0.2">
      <c r="A1205" t="s">
        <v>805</v>
      </c>
      <c r="B1205" t="s">
        <v>1</v>
      </c>
    </row>
    <row r="1206" spans="1:2" x14ac:dyDescent="0.2">
      <c r="A1206" t="s">
        <v>807</v>
      </c>
      <c r="B1206" t="s">
        <v>1</v>
      </c>
    </row>
    <row r="1207" spans="1:2" x14ac:dyDescent="0.2">
      <c r="A1207" t="s">
        <v>809</v>
      </c>
      <c r="B1207" t="s">
        <v>1</v>
      </c>
    </row>
    <row r="1208" spans="1:2" x14ac:dyDescent="0.2">
      <c r="A1208" t="s">
        <v>811</v>
      </c>
      <c r="B1208" t="s">
        <v>1</v>
      </c>
    </row>
    <row r="1209" spans="1:2" x14ac:dyDescent="0.2">
      <c r="A1209" t="s">
        <v>813</v>
      </c>
      <c r="B1209" t="s">
        <v>1</v>
      </c>
    </row>
    <row r="1210" spans="1:2" x14ac:dyDescent="0.2">
      <c r="A1210" t="s">
        <v>815</v>
      </c>
      <c r="B1210" t="s">
        <v>1</v>
      </c>
    </row>
    <row r="1211" spans="1:2" x14ac:dyDescent="0.2">
      <c r="A1211" t="s">
        <v>817</v>
      </c>
      <c r="B1211" t="s">
        <v>1</v>
      </c>
    </row>
    <row r="1212" spans="1:2" x14ac:dyDescent="0.2">
      <c r="A1212" t="s">
        <v>819</v>
      </c>
      <c r="B1212" t="s">
        <v>1</v>
      </c>
    </row>
    <row r="1213" spans="1:2" x14ac:dyDescent="0.2">
      <c r="A1213" t="s">
        <v>821</v>
      </c>
      <c r="B1213" t="s">
        <v>1</v>
      </c>
    </row>
    <row r="1214" spans="1:2" x14ac:dyDescent="0.2">
      <c r="A1214" t="s">
        <v>823</v>
      </c>
      <c r="B1214" t="s">
        <v>1</v>
      </c>
    </row>
    <row r="1215" spans="1:2" x14ac:dyDescent="0.2">
      <c r="A1215" t="s">
        <v>825</v>
      </c>
      <c r="B1215" t="s">
        <v>1</v>
      </c>
    </row>
    <row r="1216" spans="1:2" x14ac:dyDescent="0.2">
      <c r="A1216" t="s">
        <v>827</v>
      </c>
      <c r="B1216" t="s">
        <v>1</v>
      </c>
    </row>
    <row r="1217" spans="1:2" x14ac:dyDescent="0.2">
      <c r="A1217" t="s">
        <v>829</v>
      </c>
      <c r="B1217" t="s">
        <v>1</v>
      </c>
    </row>
    <row r="1218" spans="1:2" x14ac:dyDescent="0.2">
      <c r="A1218" t="s">
        <v>831</v>
      </c>
      <c r="B1218" t="s">
        <v>1</v>
      </c>
    </row>
    <row r="1219" spans="1:2" x14ac:dyDescent="0.2">
      <c r="A1219" t="s">
        <v>833</v>
      </c>
      <c r="B1219" t="s">
        <v>1</v>
      </c>
    </row>
    <row r="1220" spans="1:2" x14ac:dyDescent="0.2">
      <c r="A1220" t="s">
        <v>835</v>
      </c>
      <c r="B1220" t="s">
        <v>1</v>
      </c>
    </row>
    <row r="1221" spans="1:2" x14ac:dyDescent="0.2">
      <c r="A1221" t="s">
        <v>837</v>
      </c>
      <c r="B1221" t="s">
        <v>1</v>
      </c>
    </row>
    <row r="1222" spans="1:2" x14ac:dyDescent="0.2">
      <c r="A1222" t="s">
        <v>839</v>
      </c>
      <c r="B1222" t="s">
        <v>1</v>
      </c>
    </row>
    <row r="1223" spans="1:2" x14ac:dyDescent="0.2">
      <c r="A1223" t="s">
        <v>841</v>
      </c>
      <c r="B1223" t="s">
        <v>1</v>
      </c>
    </row>
    <row r="1224" spans="1:2" x14ac:dyDescent="0.2">
      <c r="A1224" t="s">
        <v>843</v>
      </c>
      <c r="B1224" t="s">
        <v>1</v>
      </c>
    </row>
    <row r="1225" spans="1:2" x14ac:dyDescent="0.2">
      <c r="A1225" t="s">
        <v>845</v>
      </c>
      <c r="B1225" t="s">
        <v>1</v>
      </c>
    </row>
    <row r="1226" spans="1:2" x14ac:dyDescent="0.2">
      <c r="A1226" t="s">
        <v>847</v>
      </c>
      <c r="B1226" t="s">
        <v>1</v>
      </c>
    </row>
    <row r="1227" spans="1:2" x14ac:dyDescent="0.2">
      <c r="A1227" t="s">
        <v>849</v>
      </c>
      <c r="B1227" t="s">
        <v>1</v>
      </c>
    </row>
    <row r="1228" spans="1:2" x14ac:dyDescent="0.2">
      <c r="A1228" t="s">
        <v>851</v>
      </c>
      <c r="B1228" t="s">
        <v>1</v>
      </c>
    </row>
    <row r="1229" spans="1:2" x14ac:dyDescent="0.2">
      <c r="A1229" t="s">
        <v>853</v>
      </c>
      <c r="B1229" t="s">
        <v>1</v>
      </c>
    </row>
    <row r="1230" spans="1:2" x14ac:dyDescent="0.2">
      <c r="A1230" t="s">
        <v>855</v>
      </c>
      <c r="B1230" t="s">
        <v>1</v>
      </c>
    </row>
    <row r="1231" spans="1:2" x14ac:dyDescent="0.2">
      <c r="A1231" t="s">
        <v>857</v>
      </c>
      <c r="B1231" t="s">
        <v>1</v>
      </c>
    </row>
    <row r="1232" spans="1:2" x14ac:dyDescent="0.2">
      <c r="A1232" t="s">
        <v>859</v>
      </c>
      <c r="B1232" t="s">
        <v>1</v>
      </c>
    </row>
    <row r="1233" spans="1:2" x14ac:dyDescent="0.2">
      <c r="A1233" t="s">
        <v>861</v>
      </c>
      <c r="B1233" t="s">
        <v>1</v>
      </c>
    </row>
    <row r="1234" spans="1:2" x14ac:dyDescent="0.2">
      <c r="A1234" t="s">
        <v>863</v>
      </c>
      <c r="B1234" t="s">
        <v>1</v>
      </c>
    </row>
    <row r="1235" spans="1:2" x14ac:dyDescent="0.2">
      <c r="A1235" t="s">
        <v>865</v>
      </c>
      <c r="B1235" t="s">
        <v>1</v>
      </c>
    </row>
    <row r="1236" spans="1:2" x14ac:dyDescent="0.2">
      <c r="A1236" t="s">
        <v>867</v>
      </c>
      <c r="B1236" t="s">
        <v>1</v>
      </c>
    </row>
    <row r="1237" spans="1:2" x14ac:dyDescent="0.2">
      <c r="A1237" t="s">
        <v>869</v>
      </c>
      <c r="B1237" t="s">
        <v>1</v>
      </c>
    </row>
    <row r="1238" spans="1:2" x14ac:dyDescent="0.2">
      <c r="A1238" t="s">
        <v>871</v>
      </c>
      <c r="B1238" t="s">
        <v>1</v>
      </c>
    </row>
    <row r="1239" spans="1:2" x14ac:dyDescent="0.2">
      <c r="A1239" t="s">
        <v>873</v>
      </c>
      <c r="B1239" t="s">
        <v>1</v>
      </c>
    </row>
    <row r="1240" spans="1:2" x14ac:dyDescent="0.2">
      <c r="A1240" t="s">
        <v>875</v>
      </c>
      <c r="B1240" t="s">
        <v>1</v>
      </c>
    </row>
    <row r="1241" spans="1:2" x14ac:dyDescent="0.2">
      <c r="A1241" t="s">
        <v>877</v>
      </c>
      <c r="B1241" t="s">
        <v>1</v>
      </c>
    </row>
    <row r="1242" spans="1:2" x14ac:dyDescent="0.2">
      <c r="A1242" t="s">
        <v>879</v>
      </c>
      <c r="B1242" t="s">
        <v>1</v>
      </c>
    </row>
    <row r="1243" spans="1:2" x14ac:dyDescent="0.2">
      <c r="A1243" t="s">
        <v>881</v>
      </c>
      <c r="B1243" t="s">
        <v>1</v>
      </c>
    </row>
    <row r="1244" spans="1:2" x14ac:dyDescent="0.2">
      <c r="A1244" t="s">
        <v>883</v>
      </c>
      <c r="B1244" t="s">
        <v>1</v>
      </c>
    </row>
    <row r="1245" spans="1:2" x14ac:dyDescent="0.2">
      <c r="A1245" t="s">
        <v>885</v>
      </c>
      <c r="B1245" t="s">
        <v>1</v>
      </c>
    </row>
    <row r="1246" spans="1:2" x14ac:dyDescent="0.2">
      <c r="A1246" t="s">
        <v>887</v>
      </c>
      <c r="B1246" t="s">
        <v>1</v>
      </c>
    </row>
    <row r="1247" spans="1:2" x14ac:dyDescent="0.2">
      <c r="A1247" t="s">
        <v>889</v>
      </c>
      <c r="B1247" t="s">
        <v>1</v>
      </c>
    </row>
    <row r="1248" spans="1:2" x14ac:dyDescent="0.2">
      <c r="A1248" t="s">
        <v>891</v>
      </c>
      <c r="B1248" t="s">
        <v>1</v>
      </c>
    </row>
    <row r="1249" spans="1:2" x14ac:dyDescent="0.2">
      <c r="A1249" t="s">
        <v>893</v>
      </c>
      <c r="B1249" t="s">
        <v>1</v>
      </c>
    </row>
    <row r="1250" spans="1:2" x14ac:dyDescent="0.2">
      <c r="A1250" t="s">
        <v>895</v>
      </c>
      <c r="B1250" t="s">
        <v>1</v>
      </c>
    </row>
    <row r="1251" spans="1:2" x14ac:dyDescent="0.2">
      <c r="A1251" t="s">
        <v>897</v>
      </c>
      <c r="B1251" t="s">
        <v>1</v>
      </c>
    </row>
    <row r="1252" spans="1:2" x14ac:dyDescent="0.2">
      <c r="A1252" t="s">
        <v>899</v>
      </c>
      <c r="B1252" t="s">
        <v>1</v>
      </c>
    </row>
    <row r="1253" spans="1:2" x14ac:dyDescent="0.2">
      <c r="A1253" t="s">
        <v>901</v>
      </c>
      <c r="B1253" t="s">
        <v>1</v>
      </c>
    </row>
    <row r="1254" spans="1:2" x14ac:dyDescent="0.2">
      <c r="A1254" t="s">
        <v>903</v>
      </c>
      <c r="B1254" t="s">
        <v>1</v>
      </c>
    </row>
    <row r="1255" spans="1:2" x14ac:dyDescent="0.2">
      <c r="A1255" t="s">
        <v>905</v>
      </c>
      <c r="B1255" t="s">
        <v>1</v>
      </c>
    </row>
    <row r="1256" spans="1:2" x14ac:dyDescent="0.2">
      <c r="A1256" t="s">
        <v>907</v>
      </c>
      <c r="B1256" t="s">
        <v>1</v>
      </c>
    </row>
    <row r="1257" spans="1:2" x14ac:dyDescent="0.2">
      <c r="A1257" t="s">
        <v>909</v>
      </c>
      <c r="B1257" t="s">
        <v>1</v>
      </c>
    </row>
    <row r="1258" spans="1:2" x14ac:dyDescent="0.2">
      <c r="A1258" t="s">
        <v>911</v>
      </c>
      <c r="B1258" t="s">
        <v>1</v>
      </c>
    </row>
    <row r="1259" spans="1:2" x14ac:dyDescent="0.2">
      <c r="A1259" t="s">
        <v>913</v>
      </c>
      <c r="B1259" t="s">
        <v>1</v>
      </c>
    </row>
    <row r="1260" spans="1:2" x14ac:dyDescent="0.2">
      <c r="A1260" t="s">
        <v>915</v>
      </c>
      <c r="B1260" t="s">
        <v>1</v>
      </c>
    </row>
    <row r="1261" spans="1:2" x14ac:dyDescent="0.2">
      <c r="A1261" t="s">
        <v>917</v>
      </c>
      <c r="B1261" t="s">
        <v>1</v>
      </c>
    </row>
    <row r="1262" spans="1:2" x14ac:dyDescent="0.2">
      <c r="A1262" t="s">
        <v>919</v>
      </c>
      <c r="B1262" t="s">
        <v>1</v>
      </c>
    </row>
    <row r="1263" spans="1:2" x14ac:dyDescent="0.2">
      <c r="A1263" t="s">
        <v>921</v>
      </c>
      <c r="B1263" t="s">
        <v>1</v>
      </c>
    </row>
    <row r="1264" spans="1:2" x14ac:dyDescent="0.2">
      <c r="A1264" t="s">
        <v>923</v>
      </c>
      <c r="B1264" t="s">
        <v>1</v>
      </c>
    </row>
    <row r="1265" spans="1:2" x14ac:dyDescent="0.2">
      <c r="A1265" t="s">
        <v>925</v>
      </c>
      <c r="B1265" t="s">
        <v>1</v>
      </c>
    </row>
    <row r="1266" spans="1:2" x14ac:dyDescent="0.2">
      <c r="A1266" t="s">
        <v>927</v>
      </c>
      <c r="B1266" t="s">
        <v>1</v>
      </c>
    </row>
    <row r="1267" spans="1:2" x14ac:dyDescent="0.2">
      <c r="A1267" t="s">
        <v>929</v>
      </c>
      <c r="B1267" t="s">
        <v>1</v>
      </c>
    </row>
    <row r="1268" spans="1:2" x14ac:dyDescent="0.2">
      <c r="A1268" t="s">
        <v>931</v>
      </c>
      <c r="B1268" t="s">
        <v>1</v>
      </c>
    </row>
    <row r="1269" spans="1:2" x14ac:dyDescent="0.2">
      <c r="A1269" t="s">
        <v>933</v>
      </c>
      <c r="B1269" t="s">
        <v>1</v>
      </c>
    </row>
    <row r="1270" spans="1:2" x14ac:dyDescent="0.2">
      <c r="A1270" t="s">
        <v>935</v>
      </c>
      <c r="B1270" t="s">
        <v>1</v>
      </c>
    </row>
    <row r="1271" spans="1:2" x14ac:dyDescent="0.2">
      <c r="A1271" t="s">
        <v>937</v>
      </c>
      <c r="B1271" t="s">
        <v>1</v>
      </c>
    </row>
    <row r="1272" spans="1:2" x14ac:dyDescent="0.2">
      <c r="A1272" t="s">
        <v>939</v>
      </c>
      <c r="B1272" t="s">
        <v>1</v>
      </c>
    </row>
    <row r="1273" spans="1:2" x14ac:dyDescent="0.2">
      <c r="A1273" t="s">
        <v>941</v>
      </c>
      <c r="B1273" t="s">
        <v>1</v>
      </c>
    </row>
    <row r="1274" spans="1:2" x14ac:dyDescent="0.2">
      <c r="A1274" t="s">
        <v>500</v>
      </c>
      <c r="B1274" t="s">
        <v>1</v>
      </c>
    </row>
    <row r="1275" spans="1:2" x14ac:dyDescent="0.2">
      <c r="A1275" t="s">
        <v>944</v>
      </c>
      <c r="B1275" t="s">
        <v>1</v>
      </c>
    </row>
    <row r="1276" spans="1:2" x14ac:dyDescent="0.2">
      <c r="A1276" t="s">
        <v>946</v>
      </c>
      <c r="B1276" t="s">
        <v>1</v>
      </c>
    </row>
    <row r="1277" spans="1:2" x14ac:dyDescent="0.2">
      <c r="A1277" t="s">
        <v>518</v>
      </c>
      <c r="B1277" t="s">
        <v>1</v>
      </c>
    </row>
    <row r="1278" spans="1:2" x14ac:dyDescent="0.2">
      <c r="A1278" t="s">
        <v>949</v>
      </c>
      <c r="B1278" t="s">
        <v>1</v>
      </c>
    </row>
    <row r="1279" spans="1:2" x14ac:dyDescent="0.2">
      <c r="A1279" t="s">
        <v>951</v>
      </c>
      <c r="B1279" t="s">
        <v>1</v>
      </c>
    </row>
    <row r="1280" spans="1:2" x14ac:dyDescent="0.2">
      <c r="A1280" t="s">
        <v>953</v>
      </c>
      <c r="B1280" t="s">
        <v>1</v>
      </c>
    </row>
    <row r="1281" spans="1:2" x14ac:dyDescent="0.2">
      <c r="A1281" t="s">
        <v>955</v>
      </c>
      <c r="B1281" t="s">
        <v>1</v>
      </c>
    </row>
    <row r="1282" spans="1:2" x14ac:dyDescent="0.2">
      <c r="A1282" t="s">
        <v>957</v>
      </c>
      <c r="B1282" t="s">
        <v>1</v>
      </c>
    </row>
    <row r="1283" spans="1:2" x14ac:dyDescent="0.2">
      <c r="A1283" t="s">
        <v>959</v>
      </c>
      <c r="B1283" t="s">
        <v>1</v>
      </c>
    </row>
    <row r="1284" spans="1:2" x14ac:dyDescent="0.2">
      <c r="A1284" t="s">
        <v>961</v>
      </c>
      <c r="B1284" t="s">
        <v>1</v>
      </c>
    </row>
    <row r="1285" spans="1:2" x14ac:dyDescent="0.2">
      <c r="A1285" t="s">
        <v>963</v>
      </c>
      <c r="B1285" t="s">
        <v>1</v>
      </c>
    </row>
    <row r="1286" spans="1:2" x14ac:dyDescent="0.2">
      <c r="A1286" t="s">
        <v>965</v>
      </c>
      <c r="B1286" t="s">
        <v>1</v>
      </c>
    </row>
    <row r="1287" spans="1:2" x14ac:dyDescent="0.2">
      <c r="A1287" t="s">
        <v>967</v>
      </c>
      <c r="B1287" t="s">
        <v>1</v>
      </c>
    </row>
    <row r="1288" spans="1:2" x14ac:dyDescent="0.2">
      <c r="A1288" t="s">
        <v>969</v>
      </c>
      <c r="B1288" t="s">
        <v>1</v>
      </c>
    </row>
    <row r="1289" spans="1:2" x14ac:dyDescent="0.2">
      <c r="A1289" t="s">
        <v>971</v>
      </c>
      <c r="B1289" t="s">
        <v>1</v>
      </c>
    </row>
    <row r="1290" spans="1:2" x14ac:dyDescent="0.2">
      <c r="A1290" t="s">
        <v>941</v>
      </c>
      <c r="B1290" t="s">
        <v>1</v>
      </c>
    </row>
    <row r="1291" spans="1:2" x14ac:dyDescent="0.2">
      <c r="A1291" t="s">
        <v>974</v>
      </c>
      <c r="B1291" t="s">
        <v>1</v>
      </c>
    </row>
    <row r="1292" spans="1:2" x14ac:dyDescent="0.2">
      <c r="A1292" t="s">
        <v>976</v>
      </c>
      <c r="B1292" t="s">
        <v>1</v>
      </c>
    </row>
    <row r="1293" spans="1:2" x14ac:dyDescent="0.2">
      <c r="A1293" t="s">
        <v>978</v>
      </c>
      <c r="B1293" t="s">
        <v>1</v>
      </c>
    </row>
    <row r="1294" spans="1:2" x14ac:dyDescent="0.2">
      <c r="A1294" t="s">
        <v>980</v>
      </c>
      <c r="B1294" t="s">
        <v>1</v>
      </c>
    </row>
    <row r="1295" spans="1:2" x14ac:dyDescent="0.2">
      <c r="A1295" t="s">
        <v>982</v>
      </c>
      <c r="B1295" t="s">
        <v>1</v>
      </c>
    </row>
    <row r="1296" spans="1:2" x14ac:dyDescent="0.2">
      <c r="A1296" t="s">
        <v>984</v>
      </c>
      <c r="B1296" t="s">
        <v>1</v>
      </c>
    </row>
    <row r="1297" spans="1:2" x14ac:dyDescent="0.2">
      <c r="A1297" t="s">
        <v>986</v>
      </c>
      <c r="B1297" t="s">
        <v>1</v>
      </c>
    </row>
    <row r="1298" spans="1:2" x14ac:dyDescent="0.2">
      <c r="A1298" t="s">
        <v>988</v>
      </c>
      <c r="B1298" t="s">
        <v>1</v>
      </c>
    </row>
    <row r="1299" spans="1:2" x14ac:dyDescent="0.2">
      <c r="A1299" t="s">
        <v>990</v>
      </c>
      <c r="B1299" t="s">
        <v>1</v>
      </c>
    </row>
    <row r="1300" spans="1:2" x14ac:dyDescent="0.2">
      <c r="A1300" t="s">
        <v>992</v>
      </c>
      <c r="B1300" t="s">
        <v>1</v>
      </c>
    </row>
    <row r="1301" spans="1:2" x14ac:dyDescent="0.2">
      <c r="A1301" t="s">
        <v>994</v>
      </c>
      <c r="B1301" t="s">
        <v>1</v>
      </c>
    </row>
    <row r="1302" spans="1:2" x14ac:dyDescent="0.2">
      <c r="A1302" t="s">
        <v>996</v>
      </c>
      <c r="B1302" t="s">
        <v>1</v>
      </c>
    </row>
    <row r="1303" spans="1:2" x14ac:dyDescent="0.2">
      <c r="A1303" t="s">
        <v>998</v>
      </c>
      <c r="B1303" t="s">
        <v>1</v>
      </c>
    </row>
    <row r="1304" spans="1:2" x14ac:dyDescent="0.2">
      <c r="A1304" t="s">
        <v>1000</v>
      </c>
      <c r="B1304" t="s">
        <v>1</v>
      </c>
    </row>
    <row r="1305" spans="1:2" x14ac:dyDescent="0.2">
      <c r="A1305" t="s">
        <v>1002</v>
      </c>
      <c r="B1305" t="s">
        <v>1</v>
      </c>
    </row>
    <row r="1306" spans="1:2" x14ac:dyDescent="0.2">
      <c r="A1306" t="s">
        <v>1004</v>
      </c>
      <c r="B1306" t="s">
        <v>1</v>
      </c>
    </row>
    <row r="1307" spans="1:2" x14ac:dyDescent="0.2">
      <c r="A1307" t="s">
        <v>949</v>
      </c>
      <c r="B1307" t="s">
        <v>1</v>
      </c>
    </row>
    <row r="1308" spans="1:2" x14ac:dyDescent="0.2">
      <c r="A1308" t="s">
        <v>1007</v>
      </c>
      <c r="B1308" t="s">
        <v>1</v>
      </c>
    </row>
    <row r="1309" spans="1:2" x14ac:dyDescent="0.2">
      <c r="A1309" t="s">
        <v>1009</v>
      </c>
      <c r="B1309" t="s">
        <v>1</v>
      </c>
    </row>
    <row r="1310" spans="1:2" x14ac:dyDescent="0.2">
      <c r="A1310" t="s">
        <v>1011</v>
      </c>
      <c r="B1310" t="s">
        <v>1</v>
      </c>
    </row>
    <row r="1311" spans="1:2" x14ac:dyDescent="0.2">
      <c r="A1311" t="s">
        <v>1013</v>
      </c>
      <c r="B1311" t="s">
        <v>1</v>
      </c>
    </row>
    <row r="1312" spans="1:2" x14ac:dyDescent="0.2">
      <c r="A1312" t="s">
        <v>1015</v>
      </c>
      <c r="B1312" t="s">
        <v>1</v>
      </c>
    </row>
    <row r="1313" spans="1:2" x14ac:dyDescent="0.2">
      <c r="A1313" t="s">
        <v>1017</v>
      </c>
      <c r="B1313" t="s">
        <v>1</v>
      </c>
    </row>
    <row r="1314" spans="1:2" x14ac:dyDescent="0.2">
      <c r="A1314" t="s">
        <v>1019</v>
      </c>
      <c r="B1314" t="s">
        <v>1</v>
      </c>
    </row>
    <row r="1315" spans="1:2" x14ac:dyDescent="0.2">
      <c r="A1315" t="s">
        <v>1021</v>
      </c>
      <c r="B1315" t="s">
        <v>1</v>
      </c>
    </row>
    <row r="1316" spans="1:2" x14ac:dyDescent="0.2">
      <c r="A1316" t="s">
        <v>1023</v>
      </c>
      <c r="B1316" t="s">
        <v>1</v>
      </c>
    </row>
    <row r="1317" spans="1:2" x14ac:dyDescent="0.2">
      <c r="A1317" t="s">
        <v>1025</v>
      </c>
      <c r="B1317" t="s">
        <v>1</v>
      </c>
    </row>
    <row r="1318" spans="1:2" x14ac:dyDescent="0.2">
      <c r="A1318" t="s">
        <v>1027</v>
      </c>
      <c r="B1318" t="s">
        <v>1</v>
      </c>
    </row>
    <row r="1319" spans="1:2" x14ac:dyDescent="0.2">
      <c r="A1319" t="s">
        <v>1029</v>
      </c>
      <c r="B1319" t="s">
        <v>1</v>
      </c>
    </row>
    <row r="1320" spans="1:2" x14ac:dyDescent="0.2">
      <c r="A1320" t="s">
        <v>1031</v>
      </c>
      <c r="B1320" t="s">
        <v>1</v>
      </c>
    </row>
    <row r="1321" spans="1:2" x14ac:dyDescent="0.2">
      <c r="A1321" t="s">
        <v>1033</v>
      </c>
      <c r="B1321" t="s">
        <v>1</v>
      </c>
    </row>
    <row r="1322" spans="1:2" x14ac:dyDescent="0.2">
      <c r="A1322" t="s">
        <v>1035</v>
      </c>
      <c r="B1322" t="s">
        <v>1</v>
      </c>
    </row>
    <row r="1323" spans="1:2" x14ac:dyDescent="0.2">
      <c r="A1323" t="s">
        <v>1037</v>
      </c>
      <c r="B1323" t="s">
        <v>1</v>
      </c>
    </row>
    <row r="1324" spans="1:2" x14ac:dyDescent="0.2">
      <c r="A1324" t="s">
        <v>1039</v>
      </c>
      <c r="B1324" t="s">
        <v>1</v>
      </c>
    </row>
    <row r="1325" spans="1:2" x14ac:dyDescent="0.2">
      <c r="A1325" t="s">
        <v>1041</v>
      </c>
      <c r="B1325" t="s">
        <v>1</v>
      </c>
    </row>
    <row r="1326" spans="1:2" x14ac:dyDescent="0.2">
      <c r="A1326" t="s">
        <v>1043</v>
      </c>
      <c r="B1326" t="s">
        <v>1</v>
      </c>
    </row>
    <row r="1327" spans="1:2" x14ac:dyDescent="0.2">
      <c r="A1327" t="s">
        <v>1045</v>
      </c>
      <c r="B1327" t="s">
        <v>1</v>
      </c>
    </row>
    <row r="1328" spans="1:2" x14ac:dyDescent="0.2">
      <c r="A1328" t="s">
        <v>1047</v>
      </c>
      <c r="B1328" t="s">
        <v>1</v>
      </c>
    </row>
    <row r="1329" spans="1:2" x14ac:dyDescent="0.2">
      <c r="A1329" t="s">
        <v>1049</v>
      </c>
      <c r="B1329" t="s">
        <v>1</v>
      </c>
    </row>
    <row r="1330" spans="1:2" x14ac:dyDescent="0.2">
      <c r="A1330" t="s">
        <v>1051</v>
      </c>
      <c r="B1330" t="s">
        <v>1</v>
      </c>
    </row>
    <row r="1331" spans="1:2" x14ac:dyDescent="0.2">
      <c r="A1331" t="s">
        <v>1052</v>
      </c>
      <c r="B1331" t="s">
        <v>1</v>
      </c>
    </row>
    <row r="1332" spans="1:2" x14ac:dyDescent="0.2">
      <c r="A1332" t="s">
        <v>1054</v>
      </c>
      <c r="B1332" t="s">
        <v>1</v>
      </c>
    </row>
    <row r="1333" spans="1:2" x14ac:dyDescent="0.2">
      <c r="A1333" t="s">
        <v>1056</v>
      </c>
      <c r="B1333" t="s">
        <v>1</v>
      </c>
    </row>
    <row r="1334" spans="1:2" x14ac:dyDescent="0.2">
      <c r="A1334" t="s">
        <v>1058</v>
      </c>
      <c r="B1334" t="s">
        <v>1</v>
      </c>
    </row>
    <row r="1335" spans="1:2" x14ac:dyDescent="0.2">
      <c r="A1335" t="s">
        <v>1060</v>
      </c>
      <c r="B1335" t="s">
        <v>1</v>
      </c>
    </row>
    <row r="1336" spans="1:2" x14ac:dyDescent="0.2">
      <c r="A1336" t="s">
        <v>1062</v>
      </c>
      <c r="B1336" t="s">
        <v>1</v>
      </c>
    </row>
    <row r="1337" spans="1:2" x14ac:dyDescent="0.2">
      <c r="A1337" t="s">
        <v>1064</v>
      </c>
      <c r="B1337" t="s">
        <v>1</v>
      </c>
    </row>
    <row r="1338" spans="1:2" x14ac:dyDescent="0.2">
      <c r="A1338" t="s">
        <v>1065</v>
      </c>
      <c r="B1338" t="s">
        <v>1</v>
      </c>
    </row>
    <row r="1339" spans="1:2" x14ac:dyDescent="0.2">
      <c r="A1339" t="s">
        <v>1067</v>
      </c>
      <c r="B1339" t="s">
        <v>1</v>
      </c>
    </row>
    <row r="1340" spans="1:2" x14ac:dyDescent="0.2">
      <c r="A1340" t="s">
        <v>1069</v>
      </c>
      <c r="B1340" t="s">
        <v>1</v>
      </c>
    </row>
    <row r="1341" spans="1:2" x14ac:dyDescent="0.2">
      <c r="A1341" t="s">
        <v>1071</v>
      </c>
      <c r="B1341" t="s">
        <v>1</v>
      </c>
    </row>
    <row r="1342" spans="1:2" x14ac:dyDescent="0.2">
      <c r="A1342" t="s">
        <v>1073</v>
      </c>
      <c r="B1342" t="s">
        <v>1</v>
      </c>
    </row>
    <row r="1343" spans="1:2" x14ac:dyDescent="0.2">
      <c r="A1343" t="s">
        <v>1075</v>
      </c>
      <c r="B1343" t="s">
        <v>1</v>
      </c>
    </row>
    <row r="1344" spans="1:2" x14ac:dyDescent="0.2">
      <c r="A1344" t="s">
        <v>1077</v>
      </c>
      <c r="B1344" t="s">
        <v>1</v>
      </c>
    </row>
    <row r="1345" spans="1:2" x14ac:dyDescent="0.2">
      <c r="A1345" t="s">
        <v>1079</v>
      </c>
      <c r="B1345" t="s">
        <v>1</v>
      </c>
    </row>
    <row r="1346" spans="1:2" x14ac:dyDescent="0.2">
      <c r="A1346" t="s">
        <v>1081</v>
      </c>
      <c r="B1346" t="s">
        <v>1</v>
      </c>
    </row>
    <row r="1347" spans="1:2" x14ac:dyDescent="0.2">
      <c r="A1347" t="s">
        <v>1083</v>
      </c>
      <c r="B1347" t="s">
        <v>1</v>
      </c>
    </row>
    <row r="1348" spans="1:2" x14ac:dyDescent="0.2">
      <c r="A1348" t="s">
        <v>1085</v>
      </c>
      <c r="B1348" t="s">
        <v>1</v>
      </c>
    </row>
    <row r="1349" spans="1:2" x14ac:dyDescent="0.2">
      <c r="A1349" t="s">
        <v>1087</v>
      </c>
      <c r="B1349" t="s">
        <v>1</v>
      </c>
    </row>
    <row r="1350" spans="1:2" x14ac:dyDescent="0.2">
      <c r="A1350" t="s">
        <v>584</v>
      </c>
      <c r="B1350" t="s">
        <v>1</v>
      </c>
    </row>
    <row r="1351" spans="1:2" x14ac:dyDescent="0.2">
      <c r="A1351" t="s">
        <v>1090</v>
      </c>
      <c r="B1351" t="s">
        <v>1</v>
      </c>
    </row>
    <row r="1352" spans="1:2" x14ac:dyDescent="0.2">
      <c r="A1352" t="s">
        <v>1092</v>
      </c>
      <c r="B1352" t="s">
        <v>1</v>
      </c>
    </row>
    <row r="1353" spans="1:2" x14ac:dyDescent="0.2">
      <c r="A1353" t="s">
        <v>1094</v>
      </c>
      <c r="B1353" t="s">
        <v>1</v>
      </c>
    </row>
    <row r="1354" spans="1:2" x14ac:dyDescent="0.2">
      <c r="A1354" t="s">
        <v>1096</v>
      </c>
      <c r="B1354" t="s">
        <v>1</v>
      </c>
    </row>
    <row r="1355" spans="1:2" x14ac:dyDescent="0.2">
      <c r="A1355" t="s">
        <v>1098</v>
      </c>
      <c r="B1355" t="s">
        <v>1</v>
      </c>
    </row>
    <row r="1356" spans="1:2" x14ac:dyDescent="0.2">
      <c r="A1356" t="s">
        <v>1100</v>
      </c>
      <c r="B1356" t="s">
        <v>1</v>
      </c>
    </row>
    <row r="1357" spans="1:2" x14ac:dyDescent="0.2">
      <c r="A1357" t="s">
        <v>1102</v>
      </c>
      <c r="B1357" t="s">
        <v>1</v>
      </c>
    </row>
    <row r="1358" spans="1:2" x14ac:dyDescent="0.2">
      <c r="A1358" t="s">
        <v>1104</v>
      </c>
      <c r="B1358" t="s">
        <v>1</v>
      </c>
    </row>
    <row r="1359" spans="1:2" x14ac:dyDescent="0.2">
      <c r="A1359" t="s">
        <v>1106</v>
      </c>
      <c r="B1359" t="s">
        <v>1</v>
      </c>
    </row>
    <row r="1360" spans="1:2" x14ac:dyDescent="0.2">
      <c r="A1360" t="s">
        <v>1108</v>
      </c>
      <c r="B1360" t="s">
        <v>1</v>
      </c>
    </row>
    <row r="1361" spans="1:2" x14ac:dyDescent="0.2">
      <c r="A1361" t="s">
        <v>1110</v>
      </c>
      <c r="B1361" t="s">
        <v>1</v>
      </c>
    </row>
    <row r="1362" spans="1:2" x14ac:dyDescent="0.2">
      <c r="A1362" t="s">
        <v>1112</v>
      </c>
      <c r="B1362" t="s">
        <v>1</v>
      </c>
    </row>
    <row r="1363" spans="1:2" x14ac:dyDescent="0.2">
      <c r="A1363" t="s">
        <v>1114</v>
      </c>
      <c r="B1363" t="s">
        <v>1</v>
      </c>
    </row>
    <row r="1364" spans="1:2" x14ac:dyDescent="0.2">
      <c r="A1364" t="s">
        <v>1116</v>
      </c>
      <c r="B1364" t="s">
        <v>1</v>
      </c>
    </row>
    <row r="1365" spans="1:2" x14ac:dyDescent="0.2">
      <c r="A1365" t="s">
        <v>1118</v>
      </c>
      <c r="B1365" t="s">
        <v>1</v>
      </c>
    </row>
    <row r="1366" spans="1:2" x14ac:dyDescent="0.2">
      <c r="A1366" t="s">
        <v>1120</v>
      </c>
      <c r="B1366" t="s">
        <v>1</v>
      </c>
    </row>
    <row r="1367" spans="1:2" x14ac:dyDescent="0.2">
      <c r="A1367" t="s">
        <v>1122</v>
      </c>
      <c r="B1367" t="s">
        <v>1</v>
      </c>
    </row>
    <row r="1368" spans="1:2" x14ac:dyDescent="0.2">
      <c r="A1368" t="s">
        <v>1124</v>
      </c>
      <c r="B1368" t="s">
        <v>1</v>
      </c>
    </row>
    <row r="1369" spans="1:2" x14ac:dyDescent="0.2">
      <c r="A1369" t="s">
        <v>1126</v>
      </c>
      <c r="B1369" t="s">
        <v>1</v>
      </c>
    </row>
    <row r="1370" spans="1:2" x14ac:dyDescent="0.2">
      <c r="A1370" t="s">
        <v>1128</v>
      </c>
      <c r="B1370" t="s">
        <v>1</v>
      </c>
    </row>
    <row r="1371" spans="1:2" x14ac:dyDescent="0.2">
      <c r="A1371" t="s">
        <v>1130</v>
      </c>
      <c r="B1371" t="s">
        <v>1</v>
      </c>
    </row>
    <row r="1372" spans="1:2" x14ac:dyDescent="0.2">
      <c r="A1372" t="s">
        <v>1132</v>
      </c>
      <c r="B1372" t="s">
        <v>1</v>
      </c>
    </row>
    <row r="1373" spans="1:2" x14ac:dyDescent="0.2">
      <c r="A1373" t="s">
        <v>1134</v>
      </c>
      <c r="B1373" t="s">
        <v>1</v>
      </c>
    </row>
    <row r="1374" spans="1:2" x14ac:dyDescent="0.2">
      <c r="A1374" t="s">
        <v>1136</v>
      </c>
      <c r="B1374" t="s">
        <v>1</v>
      </c>
    </row>
    <row r="1375" spans="1:2" x14ac:dyDescent="0.2">
      <c r="A1375" t="s">
        <v>1138</v>
      </c>
      <c r="B1375" t="s">
        <v>1</v>
      </c>
    </row>
    <row r="1376" spans="1:2" x14ac:dyDescent="0.2">
      <c r="A1376" t="s">
        <v>1140</v>
      </c>
      <c r="B1376" t="s">
        <v>1</v>
      </c>
    </row>
    <row r="1377" spans="1:2" x14ac:dyDescent="0.2">
      <c r="A1377" t="s">
        <v>1142</v>
      </c>
      <c r="B1377" t="s">
        <v>1</v>
      </c>
    </row>
    <row r="1378" spans="1:2" x14ac:dyDescent="0.2">
      <c r="A1378" t="s">
        <v>1144</v>
      </c>
      <c r="B1378" t="s">
        <v>1</v>
      </c>
    </row>
    <row r="1379" spans="1:2" x14ac:dyDescent="0.2">
      <c r="A1379" t="s">
        <v>1146</v>
      </c>
      <c r="B1379" t="s">
        <v>1</v>
      </c>
    </row>
    <row r="1380" spans="1:2" x14ac:dyDescent="0.2">
      <c r="A1380" t="s">
        <v>1148</v>
      </c>
      <c r="B1380" t="s">
        <v>1</v>
      </c>
    </row>
    <row r="1381" spans="1:2" x14ac:dyDescent="0.2">
      <c r="A1381" t="s">
        <v>1150</v>
      </c>
      <c r="B1381" t="s">
        <v>1</v>
      </c>
    </row>
    <row r="1382" spans="1:2" x14ac:dyDescent="0.2">
      <c r="A1382" t="s">
        <v>1152</v>
      </c>
      <c r="B1382" t="s">
        <v>1</v>
      </c>
    </row>
    <row r="1383" spans="1:2" x14ac:dyDescent="0.2">
      <c r="A1383" t="s">
        <v>1154</v>
      </c>
      <c r="B1383" t="s">
        <v>1</v>
      </c>
    </row>
    <row r="1384" spans="1:2" x14ac:dyDescent="0.2">
      <c r="A1384" t="s">
        <v>1156</v>
      </c>
      <c r="B1384" t="s">
        <v>1</v>
      </c>
    </row>
    <row r="1385" spans="1:2" x14ac:dyDescent="0.2">
      <c r="A1385" t="s">
        <v>1158</v>
      </c>
      <c r="B1385" t="s">
        <v>1</v>
      </c>
    </row>
    <row r="1386" spans="1:2" x14ac:dyDescent="0.2">
      <c r="A1386" t="s">
        <v>1160</v>
      </c>
      <c r="B1386" t="s">
        <v>1</v>
      </c>
    </row>
    <row r="1387" spans="1:2" x14ac:dyDescent="0.2">
      <c r="A1387" t="s">
        <v>1162</v>
      </c>
      <c r="B1387" t="s">
        <v>1</v>
      </c>
    </row>
    <row r="1388" spans="1:2" x14ac:dyDescent="0.2">
      <c r="A1388" t="s">
        <v>1164</v>
      </c>
      <c r="B1388" t="s">
        <v>1</v>
      </c>
    </row>
    <row r="1389" spans="1:2" x14ac:dyDescent="0.2">
      <c r="A1389" t="s">
        <v>1166</v>
      </c>
      <c r="B1389" t="s">
        <v>1</v>
      </c>
    </row>
    <row r="1390" spans="1:2" x14ac:dyDescent="0.2">
      <c r="A1390" t="s">
        <v>1168</v>
      </c>
      <c r="B1390" t="s">
        <v>1</v>
      </c>
    </row>
    <row r="1391" spans="1:2" x14ac:dyDescent="0.2">
      <c r="A1391" t="s">
        <v>1170</v>
      </c>
      <c r="B1391" t="s">
        <v>1</v>
      </c>
    </row>
    <row r="1392" spans="1:2" x14ac:dyDescent="0.2">
      <c r="A1392" t="s">
        <v>1172</v>
      </c>
      <c r="B1392" t="s">
        <v>1</v>
      </c>
    </row>
    <row r="1393" spans="1:2" x14ac:dyDescent="0.2">
      <c r="A1393" t="s">
        <v>1174</v>
      </c>
      <c r="B1393" t="s">
        <v>1</v>
      </c>
    </row>
    <row r="1394" spans="1:2" x14ac:dyDescent="0.2">
      <c r="A1394" t="s">
        <v>1176</v>
      </c>
      <c r="B1394" t="s">
        <v>1</v>
      </c>
    </row>
    <row r="1395" spans="1:2" x14ac:dyDescent="0.2">
      <c r="A1395" t="s">
        <v>1178</v>
      </c>
      <c r="B1395" t="s">
        <v>1</v>
      </c>
    </row>
    <row r="1396" spans="1:2" x14ac:dyDescent="0.2">
      <c r="A1396" t="s">
        <v>1180</v>
      </c>
      <c r="B1396" t="s">
        <v>1</v>
      </c>
    </row>
    <row r="1397" spans="1:2" x14ac:dyDescent="0.2">
      <c r="A1397" t="s">
        <v>1182</v>
      </c>
      <c r="B1397" t="s">
        <v>1</v>
      </c>
    </row>
    <row r="1398" spans="1:2" x14ac:dyDescent="0.2">
      <c r="A1398" t="s">
        <v>1184</v>
      </c>
      <c r="B1398" t="s">
        <v>1</v>
      </c>
    </row>
    <row r="1399" spans="1:2" x14ac:dyDescent="0.2">
      <c r="A1399" t="s">
        <v>1186</v>
      </c>
      <c r="B1399" t="s">
        <v>1</v>
      </c>
    </row>
    <row r="1400" spans="1:2" x14ac:dyDescent="0.2">
      <c r="A1400" t="s">
        <v>1188</v>
      </c>
      <c r="B1400" t="s">
        <v>1</v>
      </c>
    </row>
    <row r="1401" spans="1:2" x14ac:dyDescent="0.2">
      <c r="A1401" t="s">
        <v>1190</v>
      </c>
      <c r="B1401" t="s">
        <v>1</v>
      </c>
    </row>
    <row r="1402" spans="1:2" x14ac:dyDescent="0.2">
      <c r="A1402" t="s">
        <v>1192</v>
      </c>
      <c r="B1402" t="s">
        <v>1</v>
      </c>
    </row>
    <row r="1403" spans="1:2" x14ac:dyDescent="0.2">
      <c r="A1403" t="s">
        <v>1194</v>
      </c>
      <c r="B1403" t="s">
        <v>1</v>
      </c>
    </row>
    <row r="1404" spans="1:2" x14ac:dyDescent="0.2">
      <c r="A1404" t="s">
        <v>1196</v>
      </c>
      <c r="B1404" t="s">
        <v>1</v>
      </c>
    </row>
    <row r="1405" spans="1:2" x14ac:dyDescent="0.2">
      <c r="A1405" t="s">
        <v>1198</v>
      </c>
      <c r="B1405" t="s">
        <v>1</v>
      </c>
    </row>
    <row r="1406" spans="1:2" x14ac:dyDescent="0.2">
      <c r="A1406" t="s">
        <v>1200</v>
      </c>
      <c r="B1406" t="s">
        <v>1</v>
      </c>
    </row>
    <row r="1407" spans="1:2" x14ac:dyDescent="0.2">
      <c r="A1407" t="s">
        <v>1202</v>
      </c>
      <c r="B1407" t="s">
        <v>1</v>
      </c>
    </row>
    <row r="1408" spans="1:2" x14ac:dyDescent="0.2">
      <c r="A1408" t="s">
        <v>1204</v>
      </c>
      <c r="B1408" t="s">
        <v>1</v>
      </c>
    </row>
    <row r="1409" spans="1:2" x14ac:dyDescent="0.2">
      <c r="A1409" t="s">
        <v>1206</v>
      </c>
      <c r="B1409" t="s">
        <v>1</v>
      </c>
    </row>
    <row r="1410" spans="1:2" x14ac:dyDescent="0.2">
      <c r="A1410" t="s">
        <v>1208</v>
      </c>
      <c r="B1410" t="s">
        <v>1</v>
      </c>
    </row>
    <row r="1411" spans="1:2" x14ac:dyDescent="0.2">
      <c r="A1411" t="s">
        <v>1209</v>
      </c>
      <c r="B1411" t="s">
        <v>1</v>
      </c>
    </row>
    <row r="1412" spans="1:2" x14ac:dyDescent="0.2">
      <c r="A1412" t="s">
        <v>1211</v>
      </c>
      <c r="B1412" t="s">
        <v>1</v>
      </c>
    </row>
    <row r="1413" spans="1:2" x14ac:dyDescent="0.2">
      <c r="A1413" t="s">
        <v>1213</v>
      </c>
      <c r="B1413" t="s">
        <v>1</v>
      </c>
    </row>
    <row r="1414" spans="1:2" x14ac:dyDescent="0.2">
      <c r="A1414" t="s">
        <v>1215</v>
      </c>
      <c r="B1414" t="s">
        <v>1</v>
      </c>
    </row>
    <row r="1415" spans="1:2" x14ac:dyDescent="0.2">
      <c r="A1415" t="s">
        <v>1217</v>
      </c>
      <c r="B1415" t="s">
        <v>1</v>
      </c>
    </row>
    <row r="1416" spans="1:2" x14ac:dyDescent="0.2">
      <c r="A1416" t="s">
        <v>1219</v>
      </c>
      <c r="B1416" t="s">
        <v>1</v>
      </c>
    </row>
    <row r="1417" spans="1:2" x14ac:dyDescent="0.2">
      <c r="A1417" t="s">
        <v>1221</v>
      </c>
      <c r="B1417" t="s">
        <v>1</v>
      </c>
    </row>
    <row r="1418" spans="1:2" x14ac:dyDescent="0.2">
      <c r="A1418" t="s">
        <v>1223</v>
      </c>
      <c r="B1418" t="s">
        <v>1</v>
      </c>
    </row>
    <row r="1419" spans="1:2" x14ac:dyDescent="0.2">
      <c r="A1419" t="s">
        <v>1225</v>
      </c>
      <c r="B1419" t="s">
        <v>1</v>
      </c>
    </row>
    <row r="1420" spans="1:2" x14ac:dyDescent="0.2">
      <c r="A1420" t="s">
        <v>1227</v>
      </c>
      <c r="B1420" t="s">
        <v>1</v>
      </c>
    </row>
    <row r="1421" spans="1:2" x14ac:dyDescent="0.2">
      <c r="A1421" t="s">
        <v>1229</v>
      </c>
      <c r="B1421" t="s">
        <v>1</v>
      </c>
    </row>
    <row r="1422" spans="1:2" x14ac:dyDescent="0.2">
      <c r="A1422" t="s">
        <v>1231</v>
      </c>
      <c r="B1422" t="s">
        <v>1</v>
      </c>
    </row>
    <row r="1423" spans="1:2" x14ac:dyDescent="0.2">
      <c r="A1423" t="s">
        <v>1233</v>
      </c>
      <c r="B1423" t="s">
        <v>1</v>
      </c>
    </row>
    <row r="1424" spans="1:2" x14ac:dyDescent="0.2">
      <c r="A1424" t="s">
        <v>1235</v>
      </c>
      <c r="B1424" t="s">
        <v>1</v>
      </c>
    </row>
    <row r="1425" spans="1:2" x14ac:dyDescent="0.2">
      <c r="A1425" t="s">
        <v>1237</v>
      </c>
      <c r="B1425" t="s">
        <v>1</v>
      </c>
    </row>
    <row r="1426" spans="1:2" x14ac:dyDescent="0.2">
      <c r="A1426" t="s">
        <v>1239</v>
      </c>
      <c r="B1426" t="s">
        <v>1</v>
      </c>
    </row>
    <row r="1427" spans="1:2" x14ac:dyDescent="0.2">
      <c r="A1427" t="s">
        <v>1241</v>
      </c>
      <c r="B1427" t="s">
        <v>1</v>
      </c>
    </row>
    <row r="1428" spans="1:2" x14ac:dyDescent="0.2">
      <c r="A1428" t="s">
        <v>1242</v>
      </c>
      <c r="B1428" t="s">
        <v>1</v>
      </c>
    </row>
    <row r="1429" spans="1:2" x14ac:dyDescent="0.2">
      <c r="A1429" t="s">
        <v>1244</v>
      </c>
      <c r="B1429" t="s">
        <v>1</v>
      </c>
    </row>
    <row r="1430" spans="1:2" x14ac:dyDescent="0.2">
      <c r="A1430" t="s">
        <v>1245</v>
      </c>
      <c r="B1430" t="s">
        <v>1</v>
      </c>
    </row>
    <row r="1431" spans="1:2" x14ac:dyDescent="0.2">
      <c r="A1431" t="s">
        <v>1247</v>
      </c>
      <c r="B1431" t="s">
        <v>1</v>
      </c>
    </row>
    <row r="1432" spans="1:2" x14ac:dyDescent="0.2">
      <c r="A1432" t="s">
        <v>1249</v>
      </c>
      <c r="B1432" t="s">
        <v>1</v>
      </c>
    </row>
    <row r="1433" spans="1:2" x14ac:dyDescent="0.2">
      <c r="A1433" t="s">
        <v>1251</v>
      </c>
      <c r="B1433" t="s">
        <v>1</v>
      </c>
    </row>
    <row r="1434" spans="1:2" x14ac:dyDescent="0.2">
      <c r="A1434" t="s">
        <v>1253</v>
      </c>
      <c r="B1434" t="s">
        <v>1</v>
      </c>
    </row>
    <row r="1435" spans="1:2" x14ac:dyDescent="0.2">
      <c r="A1435" t="s">
        <v>1255</v>
      </c>
      <c r="B1435" t="s">
        <v>1</v>
      </c>
    </row>
    <row r="1436" spans="1:2" x14ac:dyDescent="0.2">
      <c r="A1436" t="s">
        <v>1257</v>
      </c>
      <c r="B1436" t="s">
        <v>1</v>
      </c>
    </row>
    <row r="1437" spans="1:2" x14ac:dyDescent="0.2">
      <c r="A1437" t="s">
        <v>1259</v>
      </c>
      <c r="B1437" t="s">
        <v>1</v>
      </c>
    </row>
    <row r="1438" spans="1:2" x14ac:dyDescent="0.2">
      <c r="A1438" t="s">
        <v>1261</v>
      </c>
      <c r="B1438" t="s">
        <v>1</v>
      </c>
    </row>
    <row r="1439" spans="1:2" x14ac:dyDescent="0.2">
      <c r="A1439" t="s">
        <v>1263</v>
      </c>
      <c r="B1439" t="s">
        <v>1</v>
      </c>
    </row>
    <row r="1440" spans="1:2" x14ac:dyDescent="0.2">
      <c r="A1440" t="s">
        <v>1265</v>
      </c>
      <c r="B1440" t="s">
        <v>1</v>
      </c>
    </row>
    <row r="1441" spans="1:2" x14ac:dyDescent="0.2">
      <c r="A1441" t="s">
        <v>1267</v>
      </c>
      <c r="B1441" t="s">
        <v>1</v>
      </c>
    </row>
    <row r="1442" spans="1:2" x14ac:dyDescent="0.2">
      <c r="A1442" t="s">
        <v>1269</v>
      </c>
      <c r="B1442" t="s">
        <v>1</v>
      </c>
    </row>
    <row r="1443" spans="1:2" x14ac:dyDescent="0.2">
      <c r="A1443" t="s">
        <v>1271</v>
      </c>
      <c r="B1443" t="s">
        <v>1</v>
      </c>
    </row>
    <row r="1444" spans="1:2" x14ac:dyDescent="0.2">
      <c r="A1444" t="s">
        <v>1273</v>
      </c>
      <c r="B1444" t="s">
        <v>1</v>
      </c>
    </row>
    <row r="1445" spans="1:2" x14ac:dyDescent="0.2">
      <c r="A1445" t="s">
        <v>1275</v>
      </c>
      <c r="B1445" t="s">
        <v>1</v>
      </c>
    </row>
    <row r="1446" spans="1:2" x14ac:dyDescent="0.2">
      <c r="A1446" t="s">
        <v>1277</v>
      </c>
      <c r="B1446" t="s">
        <v>1</v>
      </c>
    </row>
    <row r="1447" spans="1:2" x14ac:dyDescent="0.2">
      <c r="A1447" t="s">
        <v>1279</v>
      </c>
      <c r="B1447" t="s">
        <v>1</v>
      </c>
    </row>
    <row r="1448" spans="1:2" x14ac:dyDescent="0.2">
      <c r="A1448" t="s">
        <v>1281</v>
      </c>
      <c r="B1448" t="s">
        <v>1</v>
      </c>
    </row>
    <row r="1449" spans="1:2" x14ac:dyDescent="0.2">
      <c r="A1449" t="s">
        <v>1283</v>
      </c>
      <c r="B1449" t="s">
        <v>1</v>
      </c>
    </row>
    <row r="1450" spans="1:2" x14ac:dyDescent="0.2">
      <c r="A1450" t="s">
        <v>1285</v>
      </c>
      <c r="B1450" t="s">
        <v>1</v>
      </c>
    </row>
    <row r="1451" spans="1:2" x14ac:dyDescent="0.2">
      <c r="A1451" t="s">
        <v>1287</v>
      </c>
      <c r="B1451" t="s">
        <v>1</v>
      </c>
    </row>
    <row r="1452" spans="1:2" x14ac:dyDescent="0.2">
      <c r="A1452" t="s">
        <v>1289</v>
      </c>
      <c r="B1452" t="s">
        <v>1</v>
      </c>
    </row>
    <row r="1453" spans="1:2" x14ac:dyDescent="0.2">
      <c r="A1453" t="s">
        <v>1290</v>
      </c>
      <c r="B1453" t="s">
        <v>1</v>
      </c>
    </row>
    <row r="1454" spans="1:2" x14ac:dyDescent="0.2">
      <c r="A1454" t="s">
        <v>1292</v>
      </c>
      <c r="B1454" t="s">
        <v>1</v>
      </c>
    </row>
    <row r="1455" spans="1:2" x14ac:dyDescent="0.2">
      <c r="A1455" t="s">
        <v>1294</v>
      </c>
      <c r="B1455" t="s">
        <v>1</v>
      </c>
    </row>
    <row r="1456" spans="1:2" x14ac:dyDescent="0.2">
      <c r="A1456" t="s">
        <v>1296</v>
      </c>
      <c r="B1456" t="s">
        <v>1</v>
      </c>
    </row>
    <row r="1457" spans="1:2" x14ac:dyDescent="0.2">
      <c r="A1457" t="s">
        <v>1298</v>
      </c>
      <c r="B1457" t="s">
        <v>1</v>
      </c>
    </row>
    <row r="1458" spans="1:2" x14ac:dyDescent="0.2">
      <c r="A1458" t="s">
        <v>1300</v>
      </c>
      <c r="B1458" t="s">
        <v>1</v>
      </c>
    </row>
    <row r="1459" spans="1:2" x14ac:dyDescent="0.2">
      <c r="A1459" t="s">
        <v>1302</v>
      </c>
      <c r="B1459" t="s">
        <v>1</v>
      </c>
    </row>
    <row r="1460" spans="1:2" x14ac:dyDescent="0.2">
      <c r="A1460" t="s">
        <v>1304</v>
      </c>
      <c r="B1460" t="s">
        <v>1</v>
      </c>
    </row>
    <row r="1461" spans="1:2" x14ac:dyDescent="0.2">
      <c r="A1461" t="s">
        <v>1306</v>
      </c>
      <c r="B1461" t="s">
        <v>1</v>
      </c>
    </row>
    <row r="1462" spans="1:2" x14ac:dyDescent="0.2">
      <c r="A1462" t="s">
        <v>1308</v>
      </c>
      <c r="B1462" t="s">
        <v>1</v>
      </c>
    </row>
    <row r="1463" spans="1:2" x14ac:dyDescent="0.2">
      <c r="A1463" t="s">
        <v>1310</v>
      </c>
      <c r="B1463" t="s">
        <v>1</v>
      </c>
    </row>
    <row r="1464" spans="1:2" x14ac:dyDescent="0.2">
      <c r="A1464" t="s">
        <v>1312</v>
      </c>
      <c r="B1464" t="s">
        <v>1</v>
      </c>
    </row>
    <row r="1465" spans="1:2" x14ac:dyDescent="0.2">
      <c r="A1465" t="s">
        <v>1314</v>
      </c>
      <c r="B1465" t="s">
        <v>1</v>
      </c>
    </row>
    <row r="1466" spans="1:2" x14ac:dyDescent="0.2">
      <c r="A1466" t="s">
        <v>1316</v>
      </c>
      <c r="B1466" t="s">
        <v>1</v>
      </c>
    </row>
    <row r="1467" spans="1:2" x14ac:dyDescent="0.2">
      <c r="A1467" t="s">
        <v>1318</v>
      </c>
      <c r="B1467" t="s">
        <v>1</v>
      </c>
    </row>
    <row r="1468" spans="1:2" x14ac:dyDescent="0.2">
      <c r="A1468" t="s">
        <v>1320</v>
      </c>
      <c r="B1468" t="s">
        <v>1</v>
      </c>
    </row>
    <row r="1469" spans="1:2" x14ac:dyDescent="0.2">
      <c r="A1469" t="s">
        <v>1322</v>
      </c>
      <c r="B1469" t="s">
        <v>1</v>
      </c>
    </row>
    <row r="1470" spans="1:2" x14ac:dyDescent="0.2">
      <c r="A1470" t="s">
        <v>1324</v>
      </c>
      <c r="B1470" t="s">
        <v>1</v>
      </c>
    </row>
    <row r="1471" spans="1:2" x14ac:dyDescent="0.2">
      <c r="A1471" t="s">
        <v>1326</v>
      </c>
      <c r="B1471" t="s">
        <v>1</v>
      </c>
    </row>
    <row r="1472" spans="1:2" x14ac:dyDescent="0.2">
      <c r="A1472" t="s">
        <v>1328</v>
      </c>
      <c r="B1472" t="s">
        <v>1</v>
      </c>
    </row>
    <row r="1473" spans="1:2" x14ac:dyDescent="0.2">
      <c r="A1473" t="s">
        <v>1330</v>
      </c>
      <c r="B1473" t="s">
        <v>1</v>
      </c>
    </row>
    <row r="1474" spans="1:2" x14ac:dyDescent="0.2">
      <c r="A1474" t="s">
        <v>1332</v>
      </c>
      <c r="B1474" t="s">
        <v>1</v>
      </c>
    </row>
    <row r="1475" spans="1:2" x14ac:dyDescent="0.2">
      <c r="A1475" t="s">
        <v>1334</v>
      </c>
      <c r="B1475" t="s">
        <v>1</v>
      </c>
    </row>
    <row r="1476" spans="1:2" x14ac:dyDescent="0.2">
      <c r="A1476" t="s">
        <v>1336</v>
      </c>
      <c r="B1476" t="s">
        <v>1</v>
      </c>
    </row>
    <row r="1477" spans="1:2" x14ac:dyDescent="0.2">
      <c r="A1477" t="s">
        <v>1338</v>
      </c>
      <c r="B1477" t="s">
        <v>1</v>
      </c>
    </row>
    <row r="1478" spans="1:2" x14ac:dyDescent="0.2">
      <c r="A1478" t="s">
        <v>1340</v>
      </c>
      <c r="B1478" t="s">
        <v>1</v>
      </c>
    </row>
    <row r="1479" spans="1:2" x14ac:dyDescent="0.2">
      <c r="A1479" t="s">
        <v>1342</v>
      </c>
      <c r="B1479" t="s">
        <v>1</v>
      </c>
    </row>
    <row r="1480" spans="1:2" x14ac:dyDescent="0.2">
      <c r="A1480" t="s">
        <v>1344</v>
      </c>
      <c r="B1480" t="s">
        <v>1</v>
      </c>
    </row>
    <row r="1481" spans="1:2" x14ac:dyDescent="0.2">
      <c r="A1481" t="s">
        <v>1346</v>
      </c>
      <c r="B1481" t="s">
        <v>1</v>
      </c>
    </row>
    <row r="1482" spans="1:2" x14ac:dyDescent="0.2">
      <c r="A1482" t="s">
        <v>1348</v>
      </c>
      <c r="B1482" t="s">
        <v>1</v>
      </c>
    </row>
    <row r="1483" spans="1:2" x14ac:dyDescent="0.2">
      <c r="A1483" t="s">
        <v>1350</v>
      </c>
      <c r="B1483" t="s">
        <v>1</v>
      </c>
    </row>
    <row r="1484" spans="1:2" x14ac:dyDescent="0.2">
      <c r="A1484" t="s">
        <v>1352</v>
      </c>
      <c r="B1484" t="s">
        <v>1</v>
      </c>
    </row>
    <row r="1485" spans="1:2" x14ac:dyDescent="0.2">
      <c r="A1485" t="s">
        <v>1354</v>
      </c>
      <c r="B1485" t="s">
        <v>1</v>
      </c>
    </row>
    <row r="1486" spans="1:2" x14ac:dyDescent="0.2">
      <c r="A1486" t="s">
        <v>1356</v>
      </c>
      <c r="B1486" t="s">
        <v>1</v>
      </c>
    </row>
    <row r="1487" spans="1:2" x14ac:dyDescent="0.2">
      <c r="A1487" t="s">
        <v>1358</v>
      </c>
      <c r="B1487" t="s">
        <v>1</v>
      </c>
    </row>
    <row r="1488" spans="1:2" x14ac:dyDescent="0.2">
      <c r="A1488" t="s">
        <v>1360</v>
      </c>
      <c r="B1488" t="s">
        <v>1</v>
      </c>
    </row>
    <row r="1489" spans="1:2" x14ac:dyDescent="0.2">
      <c r="A1489" t="s">
        <v>1362</v>
      </c>
      <c r="B1489" t="s">
        <v>1</v>
      </c>
    </row>
    <row r="1490" spans="1:2" x14ac:dyDescent="0.2">
      <c r="A1490" t="s">
        <v>1364</v>
      </c>
      <c r="B1490" t="s">
        <v>1</v>
      </c>
    </row>
    <row r="1491" spans="1:2" x14ac:dyDescent="0.2">
      <c r="A1491" t="s">
        <v>1366</v>
      </c>
      <c r="B1491" t="s">
        <v>1</v>
      </c>
    </row>
    <row r="1492" spans="1:2" x14ac:dyDescent="0.2">
      <c r="A1492" t="s">
        <v>1368</v>
      </c>
      <c r="B1492" t="s">
        <v>1</v>
      </c>
    </row>
    <row r="1493" spans="1:2" x14ac:dyDescent="0.2">
      <c r="A1493" t="s">
        <v>1370</v>
      </c>
      <c r="B1493" t="s">
        <v>1</v>
      </c>
    </row>
    <row r="1494" spans="1:2" x14ac:dyDescent="0.2">
      <c r="A1494" t="s">
        <v>1372</v>
      </c>
      <c r="B1494" t="s">
        <v>1</v>
      </c>
    </row>
    <row r="1495" spans="1:2" x14ac:dyDescent="0.2">
      <c r="A1495" t="s">
        <v>1374</v>
      </c>
      <c r="B1495" t="s">
        <v>1</v>
      </c>
    </row>
    <row r="1496" spans="1:2" x14ac:dyDescent="0.2">
      <c r="A1496" t="s">
        <v>1376</v>
      </c>
      <c r="B1496" t="s">
        <v>1</v>
      </c>
    </row>
    <row r="1497" spans="1:2" x14ac:dyDescent="0.2">
      <c r="A1497" t="s">
        <v>1378</v>
      </c>
      <c r="B1497" t="s">
        <v>1</v>
      </c>
    </row>
    <row r="1498" spans="1:2" x14ac:dyDescent="0.2">
      <c r="A1498" t="s">
        <v>1380</v>
      </c>
      <c r="B1498" t="s">
        <v>1</v>
      </c>
    </row>
    <row r="1499" spans="1:2" x14ac:dyDescent="0.2">
      <c r="A1499" t="s">
        <v>1382</v>
      </c>
      <c r="B1499" t="s">
        <v>1</v>
      </c>
    </row>
    <row r="1500" spans="1:2" x14ac:dyDescent="0.2">
      <c r="A1500" t="s">
        <v>1383</v>
      </c>
      <c r="B1500" t="s">
        <v>1</v>
      </c>
    </row>
    <row r="1501" spans="1:2" x14ac:dyDescent="0.2">
      <c r="A1501" t="s">
        <v>1385</v>
      </c>
      <c r="B1501" t="s">
        <v>1</v>
      </c>
    </row>
    <row r="1502" spans="1:2" x14ac:dyDescent="0.2">
      <c r="A1502" t="s">
        <v>1387</v>
      </c>
      <c r="B1502" t="s">
        <v>1</v>
      </c>
    </row>
    <row r="1503" spans="1:2" x14ac:dyDescent="0.2">
      <c r="A1503" t="s">
        <v>1389</v>
      </c>
      <c r="B1503" t="s">
        <v>1</v>
      </c>
    </row>
    <row r="1504" spans="1:2" x14ac:dyDescent="0.2">
      <c r="A1504" t="s">
        <v>1391</v>
      </c>
      <c r="B1504" t="s">
        <v>1</v>
      </c>
    </row>
    <row r="1505" spans="1:2" x14ac:dyDescent="0.2">
      <c r="A1505" t="s">
        <v>1393</v>
      </c>
      <c r="B1505" t="s">
        <v>1</v>
      </c>
    </row>
    <row r="1506" spans="1:2" x14ac:dyDescent="0.2">
      <c r="A1506" t="s">
        <v>1395</v>
      </c>
      <c r="B1506" t="s">
        <v>1</v>
      </c>
    </row>
    <row r="1507" spans="1:2" x14ac:dyDescent="0.2">
      <c r="A1507" t="s">
        <v>1397</v>
      </c>
      <c r="B1507" t="s">
        <v>1</v>
      </c>
    </row>
    <row r="1508" spans="1:2" x14ac:dyDescent="0.2">
      <c r="A1508" t="s">
        <v>1399</v>
      </c>
      <c r="B1508" t="s">
        <v>1</v>
      </c>
    </row>
    <row r="1509" spans="1:2" x14ac:dyDescent="0.2">
      <c r="A1509" t="s">
        <v>1401</v>
      </c>
      <c r="B1509" t="s">
        <v>1</v>
      </c>
    </row>
    <row r="1510" spans="1:2" x14ac:dyDescent="0.2">
      <c r="A1510" t="s">
        <v>1403</v>
      </c>
      <c r="B1510" t="s">
        <v>1</v>
      </c>
    </row>
    <row r="1511" spans="1:2" x14ac:dyDescent="0.2">
      <c r="A1511" t="s">
        <v>1405</v>
      </c>
      <c r="B1511" t="s">
        <v>1</v>
      </c>
    </row>
    <row r="1512" spans="1:2" x14ac:dyDescent="0.2">
      <c r="A1512" t="s">
        <v>1407</v>
      </c>
      <c r="B1512" t="s">
        <v>1</v>
      </c>
    </row>
    <row r="1513" spans="1:2" x14ac:dyDescent="0.2">
      <c r="A1513" t="s">
        <v>1409</v>
      </c>
      <c r="B1513" t="s">
        <v>1</v>
      </c>
    </row>
    <row r="1514" spans="1:2" x14ac:dyDescent="0.2">
      <c r="A1514" t="s">
        <v>1411</v>
      </c>
      <c r="B1514" t="s">
        <v>1</v>
      </c>
    </row>
    <row r="1515" spans="1:2" x14ac:dyDescent="0.2">
      <c r="A1515" t="s">
        <v>1413</v>
      </c>
      <c r="B1515" t="s">
        <v>1</v>
      </c>
    </row>
    <row r="1516" spans="1:2" x14ac:dyDescent="0.2">
      <c r="A1516" t="s">
        <v>1415</v>
      </c>
      <c r="B1516" t="s">
        <v>1</v>
      </c>
    </row>
    <row r="1517" spans="1:2" x14ac:dyDescent="0.2">
      <c r="A1517" t="s">
        <v>1417</v>
      </c>
      <c r="B1517" t="s">
        <v>1</v>
      </c>
    </row>
    <row r="1518" spans="1:2" x14ac:dyDescent="0.2">
      <c r="A1518" t="s">
        <v>1419</v>
      </c>
      <c r="B1518" t="s">
        <v>1</v>
      </c>
    </row>
    <row r="1519" spans="1:2" x14ac:dyDescent="0.2">
      <c r="A1519" t="s">
        <v>1421</v>
      </c>
      <c r="B1519" t="s">
        <v>1</v>
      </c>
    </row>
    <row r="1520" spans="1:2" x14ac:dyDescent="0.2">
      <c r="A1520" t="s">
        <v>1423</v>
      </c>
      <c r="B1520" t="s">
        <v>1</v>
      </c>
    </row>
    <row r="1521" spans="1:2" x14ac:dyDescent="0.2">
      <c r="A1521" t="s">
        <v>1425</v>
      </c>
      <c r="B1521" t="s">
        <v>1</v>
      </c>
    </row>
    <row r="1522" spans="1:2" x14ac:dyDescent="0.2">
      <c r="A1522" t="s">
        <v>1427</v>
      </c>
      <c r="B1522" t="s">
        <v>1</v>
      </c>
    </row>
    <row r="1523" spans="1:2" x14ac:dyDescent="0.2">
      <c r="A1523" t="s">
        <v>1429</v>
      </c>
      <c r="B1523" t="s">
        <v>1</v>
      </c>
    </row>
    <row r="1524" spans="1:2" x14ac:dyDescent="0.2">
      <c r="A1524" t="s">
        <v>1431</v>
      </c>
      <c r="B1524" t="s">
        <v>1</v>
      </c>
    </row>
    <row r="1525" spans="1:2" x14ac:dyDescent="0.2">
      <c r="A1525" t="s">
        <v>1433</v>
      </c>
      <c r="B1525" t="s">
        <v>1</v>
      </c>
    </row>
    <row r="1526" spans="1:2" x14ac:dyDescent="0.2">
      <c r="A1526" t="s">
        <v>1435</v>
      </c>
      <c r="B1526" t="s">
        <v>1</v>
      </c>
    </row>
    <row r="1527" spans="1:2" x14ac:dyDescent="0.2">
      <c r="A1527" t="s">
        <v>1437</v>
      </c>
      <c r="B1527" t="s">
        <v>1</v>
      </c>
    </row>
    <row r="1528" spans="1:2" x14ac:dyDescent="0.2">
      <c r="A1528" t="s">
        <v>1439</v>
      </c>
      <c r="B1528" t="s">
        <v>1</v>
      </c>
    </row>
    <row r="1529" spans="1:2" x14ac:dyDescent="0.2">
      <c r="A1529" t="s">
        <v>1441</v>
      </c>
      <c r="B1529" t="s">
        <v>1</v>
      </c>
    </row>
    <row r="1530" spans="1:2" x14ac:dyDescent="0.2">
      <c r="A1530" t="s">
        <v>1443</v>
      </c>
      <c r="B1530" t="s">
        <v>1</v>
      </c>
    </row>
    <row r="1531" spans="1:2" x14ac:dyDescent="0.2">
      <c r="A1531" t="s">
        <v>1445</v>
      </c>
      <c r="B1531" t="s">
        <v>1</v>
      </c>
    </row>
    <row r="1532" spans="1:2" x14ac:dyDescent="0.2">
      <c r="A1532" t="s">
        <v>1447</v>
      </c>
      <c r="B1532" t="s">
        <v>1</v>
      </c>
    </row>
    <row r="1533" spans="1:2" x14ac:dyDescent="0.2">
      <c r="A1533" t="s">
        <v>1449</v>
      </c>
      <c r="B1533" t="s">
        <v>1</v>
      </c>
    </row>
    <row r="1534" spans="1:2" x14ac:dyDescent="0.2">
      <c r="A1534" t="s">
        <v>1451</v>
      </c>
      <c r="B1534" t="s">
        <v>1</v>
      </c>
    </row>
    <row r="1535" spans="1:2" x14ac:dyDescent="0.2">
      <c r="A1535" t="s">
        <v>1453</v>
      </c>
      <c r="B1535" t="s">
        <v>1</v>
      </c>
    </row>
    <row r="1536" spans="1:2" x14ac:dyDescent="0.2">
      <c r="A1536" t="s">
        <v>1455</v>
      </c>
      <c r="B1536" t="s">
        <v>1</v>
      </c>
    </row>
    <row r="1537" spans="1:2" x14ac:dyDescent="0.2">
      <c r="A1537" t="s">
        <v>1457</v>
      </c>
      <c r="B1537" t="s">
        <v>1</v>
      </c>
    </row>
    <row r="1538" spans="1:2" x14ac:dyDescent="0.2">
      <c r="A1538" t="s">
        <v>1459</v>
      </c>
      <c r="B1538" t="s">
        <v>1</v>
      </c>
    </row>
    <row r="1539" spans="1:2" x14ac:dyDescent="0.2">
      <c r="A1539" t="s">
        <v>1461</v>
      </c>
      <c r="B1539" t="s">
        <v>1</v>
      </c>
    </row>
    <row r="1540" spans="1:2" x14ac:dyDescent="0.2">
      <c r="A1540" t="s">
        <v>1463</v>
      </c>
      <c r="B1540" t="s">
        <v>1</v>
      </c>
    </row>
    <row r="1541" spans="1:2" x14ac:dyDescent="0.2">
      <c r="A1541" t="s">
        <v>1465</v>
      </c>
      <c r="B1541" t="s">
        <v>1</v>
      </c>
    </row>
    <row r="1542" spans="1:2" x14ac:dyDescent="0.2">
      <c r="A1542" t="s">
        <v>1467</v>
      </c>
      <c r="B1542" t="s">
        <v>1</v>
      </c>
    </row>
    <row r="1543" spans="1:2" x14ac:dyDescent="0.2">
      <c r="A1543" t="s">
        <v>1469</v>
      </c>
      <c r="B1543" t="s">
        <v>1</v>
      </c>
    </row>
    <row r="1544" spans="1:2" x14ac:dyDescent="0.2">
      <c r="A1544" t="s">
        <v>1471</v>
      </c>
      <c r="B1544" t="s">
        <v>1</v>
      </c>
    </row>
    <row r="1545" spans="1:2" x14ac:dyDescent="0.2">
      <c r="A1545" t="s">
        <v>1473</v>
      </c>
      <c r="B1545" t="s">
        <v>1</v>
      </c>
    </row>
    <row r="1546" spans="1:2" x14ac:dyDescent="0.2">
      <c r="A1546" t="s">
        <v>1475</v>
      </c>
      <c r="B1546" t="s">
        <v>1</v>
      </c>
    </row>
    <row r="1547" spans="1:2" x14ac:dyDescent="0.2">
      <c r="A1547" t="s">
        <v>1477</v>
      </c>
      <c r="B1547" t="s">
        <v>1</v>
      </c>
    </row>
    <row r="1548" spans="1:2" x14ac:dyDescent="0.2">
      <c r="A1548" t="s">
        <v>1479</v>
      </c>
      <c r="B1548" t="s">
        <v>1</v>
      </c>
    </row>
    <row r="1549" spans="1:2" x14ac:dyDescent="0.2">
      <c r="A1549" t="s">
        <v>1481</v>
      </c>
      <c r="B1549" t="s">
        <v>1</v>
      </c>
    </row>
    <row r="1550" spans="1:2" x14ac:dyDescent="0.2">
      <c r="A1550" t="s">
        <v>1483</v>
      </c>
      <c r="B1550" t="s">
        <v>1</v>
      </c>
    </row>
    <row r="1551" spans="1:2" x14ac:dyDescent="0.2">
      <c r="A1551" t="s">
        <v>1485</v>
      </c>
      <c r="B1551" t="s">
        <v>1</v>
      </c>
    </row>
    <row r="1552" spans="1:2" x14ac:dyDescent="0.2">
      <c r="A1552" t="s">
        <v>1487</v>
      </c>
      <c r="B1552" t="s">
        <v>1</v>
      </c>
    </row>
    <row r="1553" spans="1:2" x14ac:dyDescent="0.2">
      <c r="A1553" t="s">
        <v>1488</v>
      </c>
      <c r="B1553" t="s">
        <v>1</v>
      </c>
    </row>
    <row r="1554" spans="1:2" x14ac:dyDescent="0.2">
      <c r="A1554" t="s">
        <v>1490</v>
      </c>
      <c r="B1554" t="s">
        <v>1</v>
      </c>
    </row>
    <row r="1555" spans="1:2" x14ac:dyDescent="0.2">
      <c r="A1555" t="s">
        <v>1492</v>
      </c>
      <c r="B1555" t="s">
        <v>1</v>
      </c>
    </row>
    <row r="1556" spans="1:2" x14ac:dyDescent="0.2">
      <c r="A1556" t="s">
        <v>1494</v>
      </c>
      <c r="B1556" t="s">
        <v>1</v>
      </c>
    </row>
    <row r="1557" spans="1:2" x14ac:dyDescent="0.2">
      <c r="A1557" t="s">
        <v>1496</v>
      </c>
      <c r="B1557" t="s">
        <v>1</v>
      </c>
    </row>
    <row r="1558" spans="1:2" x14ac:dyDescent="0.2">
      <c r="A1558" t="s">
        <v>1498</v>
      </c>
      <c r="B1558" t="s">
        <v>1</v>
      </c>
    </row>
    <row r="1559" spans="1:2" x14ac:dyDescent="0.2">
      <c r="A1559" t="s">
        <v>1500</v>
      </c>
      <c r="B1559" t="s">
        <v>1</v>
      </c>
    </row>
    <row r="1560" spans="1:2" x14ac:dyDescent="0.2">
      <c r="A1560" t="s">
        <v>1502</v>
      </c>
      <c r="B1560" t="s">
        <v>1</v>
      </c>
    </row>
    <row r="1561" spans="1:2" x14ac:dyDescent="0.2">
      <c r="A1561" t="s">
        <v>1504</v>
      </c>
      <c r="B1561" t="s">
        <v>1</v>
      </c>
    </row>
    <row r="1562" spans="1:2" x14ac:dyDescent="0.2">
      <c r="A1562" t="s">
        <v>1506</v>
      </c>
      <c r="B1562" t="s">
        <v>1</v>
      </c>
    </row>
    <row r="1563" spans="1:2" x14ac:dyDescent="0.2">
      <c r="A1563" t="s">
        <v>1508</v>
      </c>
      <c r="B1563" t="s">
        <v>1</v>
      </c>
    </row>
    <row r="1564" spans="1:2" x14ac:dyDescent="0.2">
      <c r="A1564" t="s">
        <v>1510</v>
      </c>
      <c r="B1564" t="s">
        <v>1</v>
      </c>
    </row>
    <row r="1565" spans="1:2" x14ac:dyDescent="0.2">
      <c r="A1565" t="s">
        <v>1512</v>
      </c>
      <c r="B1565" t="s">
        <v>1</v>
      </c>
    </row>
    <row r="1566" spans="1:2" x14ac:dyDescent="0.2">
      <c r="A1566" t="s">
        <v>1514</v>
      </c>
      <c r="B1566" t="s">
        <v>1</v>
      </c>
    </row>
    <row r="1567" spans="1:2" x14ac:dyDescent="0.2">
      <c r="A1567" t="s">
        <v>1516</v>
      </c>
      <c r="B1567" t="s">
        <v>1</v>
      </c>
    </row>
    <row r="1568" spans="1:2" x14ac:dyDescent="0.2">
      <c r="A1568" t="s">
        <v>1518</v>
      </c>
      <c r="B1568" t="s">
        <v>1</v>
      </c>
    </row>
    <row r="1569" spans="1:2" x14ac:dyDescent="0.2">
      <c r="A1569" t="s">
        <v>1520</v>
      </c>
      <c r="B1569" t="s">
        <v>1</v>
      </c>
    </row>
    <row r="1570" spans="1:2" x14ac:dyDescent="0.2">
      <c r="A1570" t="s">
        <v>1212</v>
      </c>
      <c r="B1570" t="s">
        <v>1</v>
      </c>
    </row>
    <row r="1571" spans="1:2" x14ac:dyDescent="0.2">
      <c r="A1571" t="s">
        <v>1214</v>
      </c>
      <c r="B1571" t="s">
        <v>1</v>
      </c>
    </row>
    <row r="1572" spans="1:2" x14ac:dyDescent="0.2">
      <c r="A1572" t="s">
        <v>1524</v>
      </c>
      <c r="B1572" t="s">
        <v>1</v>
      </c>
    </row>
    <row r="1573" spans="1:2" x14ac:dyDescent="0.2">
      <c r="A1573" t="s">
        <v>1526</v>
      </c>
      <c r="B1573" t="s">
        <v>1</v>
      </c>
    </row>
    <row r="1574" spans="1:2" x14ac:dyDescent="0.2">
      <c r="A1574" t="s">
        <v>1528</v>
      </c>
      <c r="B1574" t="s">
        <v>1</v>
      </c>
    </row>
    <row r="1575" spans="1:2" x14ac:dyDescent="0.2">
      <c r="A1575" t="s">
        <v>1530</v>
      </c>
      <c r="B1575" t="s">
        <v>1</v>
      </c>
    </row>
    <row r="1576" spans="1:2" x14ac:dyDescent="0.2">
      <c r="A1576" t="s">
        <v>1532</v>
      </c>
      <c r="B1576" t="s">
        <v>1</v>
      </c>
    </row>
    <row r="1577" spans="1:2" x14ac:dyDescent="0.2">
      <c r="A1577" t="s">
        <v>1534</v>
      </c>
      <c r="B1577" t="s">
        <v>1</v>
      </c>
    </row>
    <row r="1578" spans="1:2" x14ac:dyDescent="0.2">
      <c r="A1578" t="s">
        <v>1536</v>
      </c>
      <c r="B1578" t="s">
        <v>1</v>
      </c>
    </row>
    <row r="1579" spans="1:2" x14ac:dyDescent="0.2">
      <c r="A1579" t="s">
        <v>1538</v>
      </c>
      <c r="B1579" t="s">
        <v>1</v>
      </c>
    </row>
    <row r="1580" spans="1:2" x14ac:dyDescent="0.2">
      <c r="A1580" t="s">
        <v>1540</v>
      </c>
      <c r="B1580" t="s">
        <v>1</v>
      </c>
    </row>
    <row r="1581" spans="1:2" x14ac:dyDescent="0.2">
      <c r="A1581" t="s">
        <v>1542</v>
      </c>
      <c r="B1581" t="s">
        <v>1</v>
      </c>
    </row>
    <row r="1582" spans="1:2" x14ac:dyDescent="0.2">
      <c r="A1582" t="s">
        <v>1544</v>
      </c>
      <c r="B1582" t="s">
        <v>1</v>
      </c>
    </row>
    <row r="1583" spans="1:2" x14ac:dyDescent="0.2">
      <c r="A1583" t="s">
        <v>1546</v>
      </c>
      <c r="B1583" t="s">
        <v>1</v>
      </c>
    </row>
    <row r="1584" spans="1:2" x14ac:dyDescent="0.2">
      <c r="A1584" t="s">
        <v>1548</v>
      </c>
      <c r="B1584" t="s">
        <v>1</v>
      </c>
    </row>
    <row r="1585" spans="1:2" x14ac:dyDescent="0.2">
      <c r="A1585" t="s">
        <v>1550</v>
      </c>
      <c r="B1585" t="s">
        <v>1</v>
      </c>
    </row>
    <row r="1586" spans="1:2" x14ac:dyDescent="0.2">
      <c r="A1586" t="s">
        <v>1552</v>
      </c>
      <c r="B1586" t="s">
        <v>1</v>
      </c>
    </row>
    <row r="1587" spans="1:2" x14ac:dyDescent="0.2">
      <c r="A1587" t="s">
        <v>1554</v>
      </c>
      <c r="B1587" t="s">
        <v>1</v>
      </c>
    </row>
    <row r="1588" spans="1:2" x14ac:dyDescent="0.2">
      <c r="A1588" t="s">
        <v>1556</v>
      </c>
      <c r="B1588" t="s">
        <v>1</v>
      </c>
    </row>
    <row r="1589" spans="1:2" x14ac:dyDescent="0.2">
      <c r="A1589" t="s">
        <v>1558</v>
      </c>
      <c r="B1589" t="s">
        <v>1</v>
      </c>
    </row>
    <row r="1590" spans="1:2" x14ac:dyDescent="0.2">
      <c r="A1590" t="s">
        <v>1560</v>
      </c>
      <c r="B1590" t="s">
        <v>1</v>
      </c>
    </row>
    <row r="1591" spans="1:2" x14ac:dyDescent="0.2">
      <c r="A1591" t="s">
        <v>1562</v>
      </c>
      <c r="B1591" t="s">
        <v>1</v>
      </c>
    </row>
    <row r="1592" spans="1:2" x14ac:dyDescent="0.2">
      <c r="A1592" t="s">
        <v>1564</v>
      </c>
      <c r="B1592" t="s">
        <v>1</v>
      </c>
    </row>
    <row r="1593" spans="1:2" x14ac:dyDescent="0.2">
      <c r="A1593" t="s">
        <v>1566</v>
      </c>
      <c r="B1593" t="s">
        <v>1</v>
      </c>
    </row>
    <row r="1594" spans="1:2" x14ac:dyDescent="0.2">
      <c r="A1594" t="s">
        <v>1568</v>
      </c>
      <c r="B1594" t="s">
        <v>1</v>
      </c>
    </row>
    <row r="1595" spans="1:2" x14ac:dyDescent="0.2">
      <c r="A1595" t="s">
        <v>1570</v>
      </c>
      <c r="B1595" t="s">
        <v>1</v>
      </c>
    </row>
    <row r="1596" spans="1:2" x14ac:dyDescent="0.2">
      <c r="A1596" t="s">
        <v>1572</v>
      </c>
      <c r="B1596" t="s">
        <v>1</v>
      </c>
    </row>
    <row r="1597" spans="1:2" x14ac:dyDescent="0.2">
      <c r="A1597" t="s">
        <v>1574</v>
      </c>
      <c r="B1597" t="s">
        <v>1</v>
      </c>
    </row>
    <row r="1598" spans="1:2" x14ac:dyDescent="0.2">
      <c r="A1598" t="s">
        <v>1576</v>
      </c>
      <c r="B1598" t="s">
        <v>1</v>
      </c>
    </row>
    <row r="1599" spans="1:2" x14ac:dyDescent="0.2">
      <c r="A1599" t="s">
        <v>1578</v>
      </c>
      <c r="B1599" t="s">
        <v>1</v>
      </c>
    </row>
    <row r="1600" spans="1:2" x14ac:dyDescent="0.2">
      <c r="A1600" t="s">
        <v>1579</v>
      </c>
      <c r="B1600" t="s">
        <v>1</v>
      </c>
    </row>
    <row r="1601" spans="1:2" x14ac:dyDescent="0.2">
      <c r="A1601" t="s">
        <v>1580</v>
      </c>
      <c r="B1601" t="s">
        <v>1</v>
      </c>
    </row>
    <row r="1602" spans="1:2" x14ac:dyDescent="0.2">
      <c r="A1602" t="s">
        <v>1581</v>
      </c>
      <c r="B1602" t="s">
        <v>1</v>
      </c>
    </row>
    <row r="1603" spans="1:2" x14ac:dyDescent="0.2">
      <c r="A1603" t="s">
        <v>1582</v>
      </c>
      <c r="B1603" t="s">
        <v>1</v>
      </c>
    </row>
    <row r="1604" spans="1:2" x14ac:dyDescent="0.2">
      <c r="A1604" t="s">
        <v>1583</v>
      </c>
      <c r="B1604" t="s">
        <v>1</v>
      </c>
    </row>
    <row r="1605" spans="1:2" x14ac:dyDescent="0.2">
      <c r="A1605" t="s">
        <v>1584</v>
      </c>
      <c r="B1605" t="s">
        <v>1</v>
      </c>
    </row>
    <row r="1606" spans="1:2" x14ac:dyDescent="0.2">
      <c r="A1606" t="s">
        <v>1585</v>
      </c>
      <c r="B1606" t="s">
        <v>1</v>
      </c>
    </row>
    <row r="1607" spans="1:2" x14ac:dyDescent="0.2">
      <c r="A1607" t="s">
        <v>1586</v>
      </c>
      <c r="B1607" t="s">
        <v>1</v>
      </c>
    </row>
    <row r="1608" spans="1:2" x14ac:dyDescent="0.2">
      <c r="A1608" t="s">
        <v>1587</v>
      </c>
      <c r="B1608" t="s">
        <v>1</v>
      </c>
    </row>
    <row r="1609" spans="1:2" x14ac:dyDescent="0.2">
      <c r="A1609" t="s">
        <v>1588</v>
      </c>
      <c r="B1609" t="s">
        <v>1</v>
      </c>
    </row>
    <row r="1610" spans="1:2" x14ac:dyDescent="0.2">
      <c r="A1610" t="s">
        <v>1589</v>
      </c>
      <c r="B1610" t="s">
        <v>1</v>
      </c>
    </row>
    <row r="1611" spans="1:2" x14ac:dyDescent="0.2">
      <c r="A1611" t="s">
        <v>1590</v>
      </c>
      <c r="B1611" t="s">
        <v>1</v>
      </c>
    </row>
    <row r="1612" spans="1:2" x14ac:dyDescent="0.2">
      <c r="A1612" t="s">
        <v>1591</v>
      </c>
      <c r="B1612" t="s">
        <v>1</v>
      </c>
    </row>
    <row r="1613" spans="1:2" x14ac:dyDescent="0.2">
      <c r="A1613" t="s">
        <v>1592</v>
      </c>
      <c r="B1613" t="s">
        <v>1</v>
      </c>
    </row>
    <row r="1614" spans="1:2" x14ac:dyDescent="0.2">
      <c r="A1614" t="s">
        <v>1593</v>
      </c>
      <c r="B1614" t="s">
        <v>1</v>
      </c>
    </row>
    <row r="1615" spans="1:2" x14ac:dyDescent="0.2">
      <c r="A1615" t="s">
        <v>1594</v>
      </c>
      <c r="B1615" t="s">
        <v>1</v>
      </c>
    </row>
    <row r="1616" spans="1:2" x14ac:dyDescent="0.2">
      <c r="A1616" t="s">
        <v>1595</v>
      </c>
      <c r="B1616" t="s">
        <v>1</v>
      </c>
    </row>
    <row r="1617" spans="1:2" x14ac:dyDescent="0.2">
      <c r="A1617" t="s">
        <v>1596</v>
      </c>
      <c r="B1617" t="s">
        <v>1</v>
      </c>
    </row>
    <row r="1618" spans="1:2" x14ac:dyDescent="0.2">
      <c r="A1618" t="s">
        <v>1597</v>
      </c>
      <c r="B1618" t="s">
        <v>1</v>
      </c>
    </row>
    <row r="1619" spans="1:2" x14ac:dyDescent="0.2">
      <c r="A1619" t="s">
        <v>1598</v>
      </c>
      <c r="B1619" t="s">
        <v>1</v>
      </c>
    </row>
    <row r="1620" spans="1:2" x14ac:dyDescent="0.2">
      <c r="A1620" t="s">
        <v>1599</v>
      </c>
      <c r="B1620" t="s">
        <v>1</v>
      </c>
    </row>
    <row r="1621" spans="1:2" x14ac:dyDescent="0.2">
      <c r="A1621" t="s">
        <v>1600</v>
      </c>
      <c r="B1621" t="s">
        <v>1</v>
      </c>
    </row>
    <row r="1622" spans="1:2" x14ac:dyDescent="0.2">
      <c r="A1622" t="s">
        <v>1601</v>
      </c>
      <c r="B1622" t="s">
        <v>1</v>
      </c>
    </row>
    <row r="1623" spans="1:2" x14ac:dyDescent="0.2">
      <c r="A1623" t="s">
        <v>1602</v>
      </c>
      <c r="B1623" t="s">
        <v>1</v>
      </c>
    </row>
    <row r="1624" spans="1:2" x14ac:dyDescent="0.2">
      <c r="A1624" t="s">
        <v>1603</v>
      </c>
      <c r="B1624" t="s">
        <v>1</v>
      </c>
    </row>
    <row r="1625" spans="1:2" x14ac:dyDescent="0.2">
      <c r="A1625" t="s">
        <v>1604</v>
      </c>
      <c r="B1625" t="s">
        <v>1</v>
      </c>
    </row>
    <row r="1626" spans="1:2" x14ac:dyDescent="0.2">
      <c r="A1626" t="s">
        <v>1605</v>
      </c>
      <c r="B1626" t="s">
        <v>1</v>
      </c>
    </row>
    <row r="1627" spans="1:2" x14ac:dyDescent="0.2">
      <c r="A1627" t="s">
        <v>1043</v>
      </c>
      <c r="B1627" t="s">
        <v>1</v>
      </c>
    </row>
    <row r="1628" spans="1:2" x14ac:dyDescent="0.2">
      <c r="A1628" t="s">
        <v>1606</v>
      </c>
      <c r="B1628" t="s">
        <v>1</v>
      </c>
    </row>
    <row r="1629" spans="1:2" x14ac:dyDescent="0.2">
      <c r="A1629" t="s">
        <v>1607</v>
      </c>
      <c r="B1629" t="s">
        <v>1</v>
      </c>
    </row>
    <row r="1630" spans="1:2" x14ac:dyDescent="0.2">
      <c r="A1630" t="s">
        <v>1608</v>
      </c>
      <c r="B1630" t="s">
        <v>1</v>
      </c>
    </row>
    <row r="1631" spans="1:2" x14ac:dyDescent="0.2">
      <c r="A1631" t="s">
        <v>1609</v>
      </c>
      <c r="B1631" t="s">
        <v>1</v>
      </c>
    </row>
    <row r="1632" spans="1:2" x14ac:dyDescent="0.2">
      <c r="A1632" t="s">
        <v>1610</v>
      </c>
      <c r="B1632" t="s">
        <v>1</v>
      </c>
    </row>
    <row r="1633" spans="1:2" x14ac:dyDescent="0.2">
      <c r="A1633" t="s">
        <v>1611</v>
      </c>
      <c r="B1633" t="s">
        <v>1</v>
      </c>
    </row>
    <row r="1634" spans="1:2" x14ac:dyDescent="0.2">
      <c r="A1634" t="s">
        <v>1612</v>
      </c>
      <c r="B1634" t="s">
        <v>1</v>
      </c>
    </row>
    <row r="1635" spans="1:2" x14ac:dyDescent="0.2">
      <c r="A1635" t="s">
        <v>1613</v>
      </c>
      <c r="B1635" t="s">
        <v>1</v>
      </c>
    </row>
    <row r="1636" spans="1:2" x14ac:dyDescent="0.2">
      <c r="A1636" t="s">
        <v>1614</v>
      </c>
      <c r="B1636" t="s">
        <v>1</v>
      </c>
    </row>
    <row r="1637" spans="1:2" x14ac:dyDescent="0.2">
      <c r="A1637" t="s">
        <v>1615</v>
      </c>
      <c r="B1637" t="s">
        <v>1</v>
      </c>
    </row>
    <row r="1638" spans="1:2" x14ac:dyDescent="0.2">
      <c r="A1638" t="s">
        <v>1616</v>
      </c>
      <c r="B1638" t="s">
        <v>1</v>
      </c>
    </row>
    <row r="1639" spans="1:2" x14ac:dyDescent="0.2">
      <c r="A1639" t="s">
        <v>1617</v>
      </c>
      <c r="B1639" t="s">
        <v>1</v>
      </c>
    </row>
    <row r="1640" spans="1:2" x14ac:dyDescent="0.2">
      <c r="A1640" t="s">
        <v>1618</v>
      </c>
      <c r="B1640" t="s">
        <v>1</v>
      </c>
    </row>
    <row r="1641" spans="1:2" x14ac:dyDescent="0.2">
      <c r="A1641" t="s">
        <v>1619</v>
      </c>
      <c r="B1641" t="s">
        <v>1</v>
      </c>
    </row>
    <row r="1642" spans="1:2" x14ac:dyDescent="0.2">
      <c r="A1642" t="s">
        <v>1620</v>
      </c>
      <c r="B1642" t="s">
        <v>1</v>
      </c>
    </row>
    <row r="1643" spans="1:2" x14ac:dyDescent="0.2">
      <c r="A1643" t="s">
        <v>1621</v>
      </c>
      <c r="B1643" t="s">
        <v>1</v>
      </c>
    </row>
    <row r="1644" spans="1:2" x14ac:dyDescent="0.2">
      <c r="A1644" t="s">
        <v>1622</v>
      </c>
      <c r="B1644" t="s">
        <v>1</v>
      </c>
    </row>
    <row r="1645" spans="1:2" x14ac:dyDescent="0.2">
      <c r="A1645" t="s">
        <v>1623</v>
      </c>
      <c r="B1645" t="s">
        <v>1</v>
      </c>
    </row>
    <row r="1646" spans="1:2" x14ac:dyDescent="0.2">
      <c r="A1646" t="s">
        <v>1624</v>
      </c>
      <c r="B1646" t="s">
        <v>1</v>
      </c>
    </row>
    <row r="1647" spans="1:2" x14ac:dyDescent="0.2">
      <c r="A1647" t="s">
        <v>1625</v>
      </c>
      <c r="B1647" t="s">
        <v>1</v>
      </c>
    </row>
    <row r="1648" spans="1:2" x14ac:dyDescent="0.2">
      <c r="A1648" t="s">
        <v>1626</v>
      </c>
      <c r="B1648" t="s">
        <v>1</v>
      </c>
    </row>
    <row r="1649" spans="1:2" x14ac:dyDescent="0.2">
      <c r="A1649" t="s">
        <v>1627</v>
      </c>
      <c r="B1649" t="s">
        <v>1</v>
      </c>
    </row>
    <row r="1650" spans="1:2" x14ac:dyDescent="0.2">
      <c r="A1650" t="s">
        <v>1628</v>
      </c>
      <c r="B1650" t="s">
        <v>1</v>
      </c>
    </row>
    <row r="1651" spans="1:2" x14ac:dyDescent="0.2">
      <c r="A1651" t="s">
        <v>1629</v>
      </c>
      <c r="B1651" t="s">
        <v>1</v>
      </c>
    </row>
    <row r="1652" spans="1:2" x14ac:dyDescent="0.2">
      <c r="A1652" t="s">
        <v>1630</v>
      </c>
      <c r="B1652" t="s">
        <v>1</v>
      </c>
    </row>
    <row r="1653" spans="1:2" x14ac:dyDescent="0.2">
      <c r="A1653" t="s">
        <v>1631</v>
      </c>
      <c r="B1653" t="s">
        <v>1</v>
      </c>
    </row>
    <row r="1654" spans="1:2" x14ac:dyDescent="0.2">
      <c r="A1654" t="s">
        <v>1632</v>
      </c>
      <c r="B1654" t="s">
        <v>1</v>
      </c>
    </row>
    <row r="1655" spans="1:2" x14ac:dyDescent="0.2">
      <c r="A1655" t="s">
        <v>1633</v>
      </c>
      <c r="B1655" t="s">
        <v>1</v>
      </c>
    </row>
    <row r="1656" spans="1:2" x14ac:dyDescent="0.2">
      <c r="A1656" t="s">
        <v>1634</v>
      </c>
      <c r="B1656" t="s">
        <v>1</v>
      </c>
    </row>
    <row r="1657" spans="1:2" x14ac:dyDescent="0.2">
      <c r="A1657" t="s">
        <v>1635</v>
      </c>
      <c r="B1657" t="s">
        <v>1</v>
      </c>
    </row>
    <row r="1658" spans="1:2" x14ac:dyDescent="0.2">
      <c r="A1658" t="s">
        <v>1636</v>
      </c>
      <c r="B1658" t="s">
        <v>1</v>
      </c>
    </row>
    <row r="1659" spans="1:2" x14ac:dyDescent="0.2">
      <c r="A1659" t="s">
        <v>1637</v>
      </c>
      <c r="B1659" t="s">
        <v>1</v>
      </c>
    </row>
    <row r="1660" spans="1:2" x14ac:dyDescent="0.2">
      <c r="A1660" t="s">
        <v>1638</v>
      </c>
      <c r="B1660" t="s">
        <v>1</v>
      </c>
    </row>
    <row r="1661" spans="1:2" x14ac:dyDescent="0.2">
      <c r="A1661" t="s">
        <v>1639</v>
      </c>
      <c r="B1661" t="s">
        <v>1</v>
      </c>
    </row>
    <row r="1662" spans="1:2" x14ac:dyDescent="0.2">
      <c r="A1662" t="s">
        <v>1640</v>
      </c>
      <c r="B1662" t="s">
        <v>1</v>
      </c>
    </row>
    <row r="1663" spans="1:2" x14ac:dyDescent="0.2">
      <c r="A1663" t="s">
        <v>1641</v>
      </c>
      <c r="B1663" t="s">
        <v>1</v>
      </c>
    </row>
    <row r="1664" spans="1:2" x14ac:dyDescent="0.2">
      <c r="A1664" t="s">
        <v>1642</v>
      </c>
      <c r="B1664" t="s">
        <v>1</v>
      </c>
    </row>
    <row r="1665" spans="1:2" x14ac:dyDescent="0.2">
      <c r="A1665" t="s">
        <v>1643</v>
      </c>
      <c r="B1665" t="s">
        <v>1</v>
      </c>
    </row>
    <row r="1666" spans="1:2" x14ac:dyDescent="0.2">
      <c r="A1666" t="s">
        <v>1644</v>
      </c>
      <c r="B1666" t="s">
        <v>1</v>
      </c>
    </row>
    <row r="1667" spans="1:2" x14ac:dyDescent="0.2">
      <c r="A1667" t="s">
        <v>1645</v>
      </c>
      <c r="B1667" t="s">
        <v>1</v>
      </c>
    </row>
    <row r="1668" spans="1:2" x14ac:dyDescent="0.2">
      <c r="A1668" t="s">
        <v>1646</v>
      </c>
      <c r="B1668" t="s">
        <v>1</v>
      </c>
    </row>
    <row r="1669" spans="1:2" x14ac:dyDescent="0.2">
      <c r="A1669" t="s">
        <v>1647</v>
      </c>
      <c r="B1669" t="s">
        <v>1</v>
      </c>
    </row>
    <row r="1670" spans="1:2" x14ac:dyDescent="0.2">
      <c r="A1670" t="s">
        <v>1648</v>
      </c>
      <c r="B1670" t="s">
        <v>1</v>
      </c>
    </row>
    <row r="1671" spans="1:2" x14ac:dyDescent="0.2">
      <c r="A1671" t="s">
        <v>1649</v>
      </c>
      <c r="B1671" t="s">
        <v>1</v>
      </c>
    </row>
    <row r="1672" spans="1:2" x14ac:dyDescent="0.2">
      <c r="A1672" t="s">
        <v>1650</v>
      </c>
      <c r="B1672" t="s">
        <v>1</v>
      </c>
    </row>
    <row r="1673" spans="1:2" x14ac:dyDescent="0.2">
      <c r="A1673" t="s">
        <v>1651</v>
      </c>
      <c r="B1673" t="s">
        <v>1</v>
      </c>
    </row>
    <row r="1674" spans="1:2" x14ac:dyDescent="0.2">
      <c r="A1674" t="s">
        <v>1652</v>
      </c>
      <c r="B1674" t="s">
        <v>1</v>
      </c>
    </row>
    <row r="1675" spans="1:2" x14ac:dyDescent="0.2">
      <c r="A1675" t="s">
        <v>1653</v>
      </c>
      <c r="B1675" t="s">
        <v>1</v>
      </c>
    </row>
    <row r="1676" spans="1:2" x14ac:dyDescent="0.2">
      <c r="A1676" t="s">
        <v>1654</v>
      </c>
      <c r="B1676" t="s">
        <v>1</v>
      </c>
    </row>
    <row r="1677" spans="1:2" x14ac:dyDescent="0.2">
      <c r="A1677" t="s">
        <v>1655</v>
      </c>
      <c r="B1677" t="s">
        <v>1</v>
      </c>
    </row>
    <row r="1678" spans="1:2" x14ac:dyDescent="0.2">
      <c r="A1678" t="s">
        <v>1656</v>
      </c>
      <c r="B1678" t="s">
        <v>1</v>
      </c>
    </row>
    <row r="1679" spans="1:2" x14ac:dyDescent="0.2">
      <c r="A1679" t="s">
        <v>1657</v>
      </c>
      <c r="B1679" t="s">
        <v>1</v>
      </c>
    </row>
    <row r="1680" spans="1:2" x14ac:dyDescent="0.2">
      <c r="A1680" t="s">
        <v>1658</v>
      </c>
      <c r="B1680" t="s">
        <v>1</v>
      </c>
    </row>
    <row r="1681" spans="1:2" x14ac:dyDescent="0.2">
      <c r="A1681" t="s">
        <v>1659</v>
      </c>
      <c r="B1681" t="s">
        <v>1</v>
      </c>
    </row>
    <row r="1682" spans="1:2" x14ac:dyDescent="0.2">
      <c r="A1682" t="s">
        <v>1660</v>
      </c>
      <c r="B1682" t="s">
        <v>1</v>
      </c>
    </row>
    <row r="1683" spans="1:2" x14ac:dyDescent="0.2">
      <c r="A1683" t="s">
        <v>1661</v>
      </c>
      <c r="B1683" t="s">
        <v>1</v>
      </c>
    </row>
    <row r="1684" spans="1:2" x14ac:dyDescent="0.2">
      <c r="A1684" t="s">
        <v>1662</v>
      </c>
      <c r="B1684" t="s">
        <v>1</v>
      </c>
    </row>
    <row r="1685" spans="1:2" x14ac:dyDescent="0.2">
      <c r="A1685" t="s">
        <v>970</v>
      </c>
      <c r="B1685" t="s">
        <v>1</v>
      </c>
    </row>
    <row r="1686" spans="1:2" x14ac:dyDescent="0.2">
      <c r="A1686" t="s">
        <v>1663</v>
      </c>
      <c r="B1686" t="s">
        <v>1</v>
      </c>
    </row>
    <row r="1687" spans="1:2" x14ac:dyDescent="0.2">
      <c r="A1687" t="s">
        <v>1664</v>
      </c>
      <c r="B1687" t="s">
        <v>1</v>
      </c>
    </row>
    <row r="1688" spans="1:2" x14ac:dyDescent="0.2">
      <c r="A1688" t="s">
        <v>1665</v>
      </c>
      <c r="B1688" t="s">
        <v>1</v>
      </c>
    </row>
    <row r="1689" spans="1:2" x14ac:dyDescent="0.2">
      <c r="A1689" t="s">
        <v>1666</v>
      </c>
      <c r="B1689" t="s">
        <v>1</v>
      </c>
    </row>
    <row r="1690" spans="1:2" x14ac:dyDescent="0.2">
      <c r="A1690" t="s">
        <v>1667</v>
      </c>
      <c r="B1690" t="s">
        <v>1</v>
      </c>
    </row>
    <row r="1691" spans="1:2" x14ac:dyDescent="0.2">
      <c r="A1691" t="s">
        <v>1668</v>
      </c>
      <c r="B1691" t="s">
        <v>1</v>
      </c>
    </row>
    <row r="1692" spans="1:2" x14ac:dyDescent="0.2">
      <c r="A1692" t="s">
        <v>1669</v>
      </c>
      <c r="B1692" t="s">
        <v>1</v>
      </c>
    </row>
    <row r="1693" spans="1:2" x14ac:dyDescent="0.2">
      <c r="A1693" t="s">
        <v>1670</v>
      </c>
      <c r="B1693" t="s">
        <v>1</v>
      </c>
    </row>
    <row r="1694" spans="1:2" x14ac:dyDescent="0.2">
      <c r="A1694" t="s">
        <v>1671</v>
      </c>
      <c r="B1694" t="s">
        <v>1</v>
      </c>
    </row>
    <row r="1695" spans="1:2" x14ac:dyDescent="0.2">
      <c r="A1695" t="s">
        <v>1672</v>
      </c>
      <c r="B1695" t="s">
        <v>1</v>
      </c>
    </row>
    <row r="1696" spans="1:2" x14ac:dyDescent="0.2">
      <c r="A1696" t="s">
        <v>1673</v>
      </c>
      <c r="B1696" t="s">
        <v>1</v>
      </c>
    </row>
    <row r="1697" spans="1:2" x14ac:dyDescent="0.2">
      <c r="A1697" t="s">
        <v>1674</v>
      </c>
      <c r="B1697" t="s">
        <v>1</v>
      </c>
    </row>
    <row r="1698" spans="1:2" x14ac:dyDescent="0.2">
      <c r="A1698" t="s">
        <v>1675</v>
      </c>
      <c r="B1698" t="s">
        <v>1</v>
      </c>
    </row>
    <row r="1699" spans="1:2" x14ac:dyDescent="0.2">
      <c r="A1699" t="s">
        <v>1676</v>
      </c>
      <c r="B1699" t="s">
        <v>1</v>
      </c>
    </row>
    <row r="1700" spans="1:2" x14ac:dyDescent="0.2">
      <c r="A1700" t="s">
        <v>1677</v>
      </c>
      <c r="B1700" t="s">
        <v>1</v>
      </c>
    </row>
    <row r="1701" spans="1:2" x14ac:dyDescent="0.2">
      <c r="A1701" t="s">
        <v>1678</v>
      </c>
      <c r="B1701" t="s">
        <v>1</v>
      </c>
    </row>
    <row r="1702" spans="1:2" x14ac:dyDescent="0.2">
      <c r="A1702" t="s">
        <v>1679</v>
      </c>
      <c r="B1702" t="s">
        <v>1</v>
      </c>
    </row>
    <row r="1703" spans="1:2" x14ac:dyDescent="0.2">
      <c r="A1703" t="s">
        <v>1680</v>
      </c>
      <c r="B1703" t="s">
        <v>1</v>
      </c>
    </row>
    <row r="1704" spans="1:2" x14ac:dyDescent="0.2">
      <c r="A1704" t="s">
        <v>1681</v>
      </c>
      <c r="B1704" t="s">
        <v>1</v>
      </c>
    </row>
    <row r="1705" spans="1:2" x14ac:dyDescent="0.2">
      <c r="A1705" t="s">
        <v>1682</v>
      </c>
      <c r="B1705" t="s">
        <v>1</v>
      </c>
    </row>
    <row r="1706" spans="1:2" x14ac:dyDescent="0.2">
      <c r="A1706" t="s">
        <v>1683</v>
      </c>
      <c r="B1706" t="s">
        <v>1</v>
      </c>
    </row>
    <row r="1707" spans="1:2" x14ac:dyDescent="0.2">
      <c r="A1707" t="s">
        <v>1684</v>
      </c>
      <c r="B1707" t="s">
        <v>1</v>
      </c>
    </row>
    <row r="1708" spans="1:2" x14ac:dyDescent="0.2">
      <c r="A1708" t="s">
        <v>1685</v>
      </c>
      <c r="B1708" t="s">
        <v>1</v>
      </c>
    </row>
    <row r="1709" spans="1:2" x14ac:dyDescent="0.2">
      <c r="A1709" t="s">
        <v>1686</v>
      </c>
      <c r="B1709" t="s">
        <v>1</v>
      </c>
    </row>
    <row r="1710" spans="1:2" x14ac:dyDescent="0.2">
      <c r="A1710" t="s">
        <v>1687</v>
      </c>
      <c r="B1710" t="s">
        <v>1</v>
      </c>
    </row>
    <row r="1711" spans="1:2" x14ac:dyDescent="0.2">
      <c r="A1711" t="s">
        <v>1688</v>
      </c>
      <c r="B1711" t="s">
        <v>1</v>
      </c>
    </row>
    <row r="1712" spans="1:2" x14ac:dyDescent="0.2">
      <c r="A1712" t="s">
        <v>1689</v>
      </c>
      <c r="B1712" t="s">
        <v>1</v>
      </c>
    </row>
    <row r="1713" spans="1:2" x14ac:dyDescent="0.2">
      <c r="A1713" t="s">
        <v>1690</v>
      </c>
      <c r="B1713" t="s">
        <v>1</v>
      </c>
    </row>
    <row r="1714" spans="1:2" x14ac:dyDescent="0.2">
      <c r="A1714" t="s">
        <v>1691</v>
      </c>
      <c r="B1714" t="s">
        <v>1</v>
      </c>
    </row>
    <row r="1715" spans="1:2" x14ac:dyDescent="0.2">
      <c r="A1715" t="s">
        <v>1692</v>
      </c>
      <c r="B1715" t="s">
        <v>1</v>
      </c>
    </row>
    <row r="1716" spans="1:2" x14ac:dyDescent="0.2">
      <c r="A1716" t="s">
        <v>1693</v>
      </c>
      <c r="B1716" t="s">
        <v>1</v>
      </c>
    </row>
    <row r="1717" spans="1:2" x14ac:dyDescent="0.2">
      <c r="A1717" t="s">
        <v>1694</v>
      </c>
      <c r="B1717" t="s">
        <v>1</v>
      </c>
    </row>
    <row r="1718" spans="1:2" x14ac:dyDescent="0.2">
      <c r="A1718" t="s">
        <v>1695</v>
      </c>
      <c r="B1718" t="s">
        <v>1</v>
      </c>
    </row>
    <row r="1719" spans="1:2" x14ac:dyDescent="0.2">
      <c r="A1719" t="s">
        <v>1696</v>
      </c>
      <c r="B1719" t="s">
        <v>1</v>
      </c>
    </row>
    <row r="1720" spans="1:2" x14ac:dyDescent="0.2">
      <c r="A1720" t="s">
        <v>1697</v>
      </c>
      <c r="B1720" t="s">
        <v>1</v>
      </c>
    </row>
    <row r="1721" spans="1:2" x14ac:dyDescent="0.2">
      <c r="A1721" t="s">
        <v>1698</v>
      </c>
      <c r="B1721" t="s">
        <v>1</v>
      </c>
    </row>
    <row r="1722" spans="1:2" x14ac:dyDescent="0.2">
      <c r="A1722" t="s">
        <v>1699</v>
      </c>
      <c r="B1722" t="s">
        <v>1</v>
      </c>
    </row>
    <row r="1723" spans="1:2" x14ac:dyDescent="0.2">
      <c r="A1723" t="s">
        <v>1700</v>
      </c>
      <c r="B1723" t="s">
        <v>1</v>
      </c>
    </row>
    <row r="1724" spans="1:2" x14ac:dyDescent="0.2">
      <c r="A1724" t="s">
        <v>1701</v>
      </c>
      <c r="B1724" t="s">
        <v>1</v>
      </c>
    </row>
    <row r="1725" spans="1:2" x14ac:dyDescent="0.2">
      <c r="A1725" t="s">
        <v>1702</v>
      </c>
      <c r="B1725" t="s">
        <v>1</v>
      </c>
    </row>
    <row r="1726" spans="1:2" x14ac:dyDescent="0.2">
      <c r="A1726" t="s">
        <v>1703</v>
      </c>
      <c r="B1726" t="s">
        <v>1</v>
      </c>
    </row>
    <row r="1727" spans="1:2" x14ac:dyDescent="0.2">
      <c r="A1727" t="s">
        <v>1704</v>
      </c>
      <c r="B1727" t="s">
        <v>1</v>
      </c>
    </row>
    <row r="1728" spans="1:2" x14ac:dyDescent="0.2">
      <c r="A1728" t="s">
        <v>1705</v>
      </c>
      <c r="B1728" t="s">
        <v>1</v>
      </c>
    </row>
    <row r="1729" spans="1:2" x14ac:dyDescent="0.2">
      <c r="A1729" t="s">
        <v>1706</v>
      </c>
      <c r="B1729" t="s">
        <v>1</v>
      </c>
    </row>
    <row r="1730" spans="1:2" x14ac:dyDescent="0.2">
      <c r="A1730" t="s">
        <v>1707</v>
      </c>
      <c r="B1730" t="s">
        <v>1</v>
      </c>
    </row>
    <row r="1731" spans="1:2" x14ac:dyDescent="0.2">
      <c r="A1731" t="s">
        <v>1708</v>
      </c>
      <c r="B1731" t="s">
        <v>1</v>
      </c>
    </row>
    <row r="1732" spans="1:2" x14ac:dyDescent="0.2">
      <c r="A1732" t="s">
        <v>1709</v>
      </c>
      <c r="B1732" t="s">
        <v>1</v>
      </c>
    </row>
    <row r="1733" spans="1:2" x14ac:dyDescent="0.2">
      <c r="A1733" t="s">
        <v>1710</v>
      </c>
      <c r="B1733" t="s">
        <v>1</v>
      </c>
    </row>
    <row r="1734" spans="1:2" x14ac:dyDescent="0.2">
      <c r="A1734" t="s">
        <v>1476</v>
      </c>
      <c r="B1734" t="s">
        <v>1</v>
      </c>
    </row>
    <row r="1735" spans="1:2" x14ac:dyDescent="0.2">
      <c r="A1735" t="s">
        <v>1711</v>
      </c>
      <c r="B1735" t="s">
        <v>1</v>
      </c>
    </row>
    <row r="1736" spans="1:2" x14ac:dyDescent="0.2">
      <c r="A1736" t="s">
        <v>1712</v>
      </c>
      <c r="B1736" t="s">
        <v>1</v>
      </c>
    </row>
    <row r="1737" spans="1:2" x14ac:dyDescent="0.2">
      <c r="A1737" t="s">
        <v>1713</v>
      </c>
      <c r="B1737" t="s">
        <v>1</v>
      </c>
    </row>
    <row r="1738" spans="1:2" x14ac:dyDescent="0.2">
      <c r="A1738" t="s">
        <v>1714</v>
      </c>
      <c r="B1738" t="s">
        <v>1</v>
      </c>
    </row>
    <row r="1739" spans="1:2" x14ac:dyDescent="0.2">
      <c r="A1739" t="s">
        <v>1715</v>
      </c>
      <c r="B1739" t="s">
        <v>1</v>
      </c>
    </row>
    <row r="1740" spans="1:2" x14ac:dyDescent="0.2">
      <c r="A1740" t="s">
        <v>1716</v>
      </c>
      <c r="B1740" t="s">
        <v>1</v>
      </c>
    </row>
    <row r="1741" spans="1:2" x14ac:dyDescent="0.2">
      <c r="A1741" t="s">
        <v>1717</v>
      </c>
      <c r="B1741" t="s">
        <v>1</v>
      </c>
    </row>
    <row r="1742" spans="1:2" x14ac:dyDescent="0.2">
      <c r="A1742" t="s">
        <v>1718</v>
      </c>
      <c r="B1742" t="s">
        <v>1</v>
      </c>
    </row>
    <row r="1743" spans="1:2" x14ac:dyDescent="0.2">
      <c r="A1743" t="s">
        <v>1719</v>
      </c>
      <c r="B1743" t="s">
        <v>1</v>
      </c>
    </row>
    <row r="1744" spans="1:2" x14ac:dyDescent="0.2">
      <c r="A1744" t="s">
        <v>1720</v>
      </c>
      <c r="B1744" t="s">
        <v>1</v>
      </c>
    </row>
    <row r="1745" spans="1:2" x14ac:dyDescent="0.2">
      <c r="A1745" t="s">
        <v>1721</v>
      </c>
      <c r="B1745" t="s">
        <v>1</v>
      </c>
    </row>
    <row r="1746" spans="1:2" x14ac:dyDescent="0.2">
      <c r="A1746" t="s">
        <v>1722</v>
      </c>
      <c r="B1746" t="s">
        <v>1</v>
      </c>
    </row>
    <row r="1747" spans="1:2" x14ac:dyDescent="0.2">
      <c r="A1747" t="s">
        <v>1723</v>
      </c>
      <c r="B1747" t="s">
        <v>1</v>
      </c>
    </row>
    <row r="1748" spans="1:2" x14ac:dyDescent="0.2">
      <c r="A1748" t="s">
        <v>1724</v>
      </c>
      <c r="B1748" t="s">
        <v>1</v>
      </c>
    </row>
    <row r="1749" spans="1:2" x14ac:dyDescent="0.2">
      <c r="A1749" t="s">
        <v>1725</v>
      </c>
      <c r="B1749" t="s">
        <v>1</v>
      </c>
    </row>
    <row r="1750" spans="1:2" x14ac:dyDescent="0.2">
      <c r="A1750" t="s">
        <v>1726</v>
      </c>
      <c r="B1750" t="s">
        <v>1</v>
      </c>
    </row>
    <row r="1751" spans="1:2" x14ac:dyDescent="0.2">
      <c r="A1751" t="s">
        <v>1727</v>
      </c>
      <c r="B1751" t="s">
        <v>1</v>
      </c>
    </row>
    <row r="1752" spans="1:2" x14ac:dyDescent="0.2">
      <c r="A1752" t="s">
        <v>1728</v>
      </c>
      <c r="B1752" t="s">
        <v>1</v>
      </c>
    </row>
    <row r="1753" spans="1:2" x14ac:dyDescent="0.2">
      <c r="A1753" t="s">
        <v>1729</v>
      </c>
      <c r="B1753" t="s">
        <v>1</v>
      </c>
    </row>
    <row r="1754" spans="1:2" x14ac:dyDescent="0.2">
      <c r="A1754" t="s">
        <v>1730</v>
      </c>
      <c r="B1754" t="s">
        <v>1</v>
      </c>
    </row>
    <row r="1755" spans="1:2" x14ac:dyDescent="0.2">
      <c r="A1755" t="s">
        <v>1731</v>
      </c>
      <c r="B1755" t="s">
        <v>1</v>
      </c>
    </row>
    <row r="1756" spans="1:2" x14ac:dyDescent="0.2">
      <c r="A1756" t="s">
        <v>1732</v>
      </c>
      <c r="B1756" t="s">
        <v>1</v>
      </c>
    </row>
    <row r="1757" spans="1:2" x14ac:dyDescent="0.2">
      <c r="A1757" t="s">
        <v>1733</v>
      </c>
      <c r="B1757" t="s">
        <v>1</v>
      </c>
    </row>
    <row r="1758" spans="1:2" x14ac:dyDescent="0.2">
      <c r="A1758" t="s">
        <v>1734</v>
      </c>
      <c r="B1758" t="s">
        <v>1</v>
      </c>
    </row>
    <row r="1759" spans="1:2" x14ac:dyDescent="0.2">
      <c r="A1759" t="s">
        <v>1735</v>
      </c>
      <c r="B1759" t="s">
        <v>1</v>
      </c>
    </row>
    <row r="1760" spans="1:2" x14ac:dyDescent="0.2">
      <c r="A1760" t="s">
        <v>1736</v>
      </c>
      <c r="B1760" t="s">
        <v>1</v>
      </c>
    </row>
    <row r="1761" spans="1:2" x14ac:dyDescent="0.2">
      <c r="A1761" t="s">
        <v>1737</v>
      </c>
      <c r="B1761" t="s">
        <v>1</v>
      </c>
    </row>
    <row r="1762" spans="1:2" x14ac:dyDescent="0.2">
      <c r="A1762" t="s">
        <v>1738</v>
      </c>
      <c r="B1762" t="s">
        <v>1</v>
      </c>
    </row>
    <row r="1763" spans="1:2" x14ac:dyDescent="0.2">
      <c r="A1763" t="s">
        <v>1739</v>
      </c>
      <c r="B1763" t="s">
        <v>1</v>
      </c>
    </row>
    <row r="1764" spans="1:2" x14ac:dyDescent="0.2">
      <c r="A1764" t="s">
        <v>1740</v>
      </c>
      <c r="B1764" t="s">
        <v>1</v>
      </c>
    </row>
    <row r="1765" spans="1:2" x14ac:dyDescent="0.2">
      <c r="A1765" t="s">
        <v>1741</v>
      </c>
      <c r="B1765" t="s">
        <v>1</v>
      </c>
    </row>
    <row r="1766" spans="1:2" x14ac:dyDescent="0.2">
      <c r="A1766" t="s">
        <v>1742</v>
      </c>
      <c r="B1766" t="s">
        <v>1</v>
      </c>
    </row>
    <row r="1767" spans="1:2" x14ac:dyDescent="0.2">
      <c r="A1767" t="s">
        <v>1743</v>
      </c>
      <c r="B1767" t="s">
        <v>1</v>
      </c>
    </row>
    <row r="1768" spans="1:2" x14ac:dyDescent="0.2">
      <c r="A1768" t="s">
        <v>1744</v>
      </c>
      <c r="B1768" t="s">
        <v>1</v>
      </c>
    </row>
    <row r="1769" spans="1:2" x14ac:dyDescent="0.2">
      <c r="A1769" t="s">
        <v>1745</v>
      </c>
      <c r="B1769" t="s">
        <v>1</v>
      </c>
    </row>
    <row r="1770" spans="1:2" x14ac:dyDescent="0.2">
      <c r="A1770" t="s">
        <v>1746</v>
      </c>
      <c r="B1770" t="s">
        <v>1</v>
      </c>
    </row>
    <row r="1771" spans="1:2" x14ac:dyDescent="0.2">
      <c r="A1771" t="s">
        <v>1747</v>
      </c>
      <c r="B1771" t="s">
        <v>1</v>
      </c>
    </row>
    <row r="1772" spans="1:2" x14ac:dyDescent="0.2">
      <c r="A1772" t="s">
        <v>1748</v>
      </c>
      <c r="B1772" t="s">
        <v>1</v>
      </c>
    </row>
    <row r="1773" spans="1:2" x14ac:dyDescent="0.2">
      <c r="A1773" t="s">
        <v>1749</v>
      </c>
      <c r="B1773" t="s">
        <v>1</v>
      </c>
    </row>
    <row r="1774" spans="1:2" x14ac:dyDescent="0.2">
      <c r="A1774" t="s">
        <v>1750</v>
      </c>
      <c r="B1774" t="s">
        <v>1</v>
      </c>
    </row>
    <row r="1775" spans="1:2" x14ac:dyDescent="0.2">
      <c r="A1775" t="s">
        <v>1751</v>
      </c>
      <c r="B1775" t="s">
        <v>1</v>
      </c>
    </row>
    <row r="1776" spans="1:2" x14ac:dyDescent="0.2">
      <c r="A1776" t="s">
        <v>1752</v>
      </c>
      <c r="B1776" t="s">
        <v>1</v>
      </c>
    </row>
    <row r="1777" spans="1:2" x14ac:dyDescent="0.2">
      <c r="A1777" t="s">
        <v>1753</v>
      </c>
      <c r="B1777" t="s">
        <v>1</v>
      </c>
    </row>
    <row r="1778" spans="1:2" x14ac:dyDescent="0.2">
      <c r="A1778" t="s">
        <v>1754</v>
      </c>
      <c r="B1778" t="s">
        <v>1</v>
      </c>
    </row>
    <row r="1779" spans="1:2" x14ac:dyDescent="0.2">
      <c r="A1779" t="s">
        <v>1755</v>
      </c>
      <c r="B1779" t="s">
        <v>1</v>
      </c>
    </row>
    <row r="1780" spans="1:2" x14ac:dyDescent="0.2">
      <c r="A1780" t="s">
        <v>1756</v>
      </c>
      <c r="B1780" t="s">
        <v>1</v>
      </c>
    </row>
    <row r="1781" spans="1:2" x14ac:dyDescent="0.2">
      <c r="A1781" t="s">
        <v>1757</v>
      </c>
      <c r="B1781" t="s">
        <v>1</v>
      </c>
    </row>
    <row r="1782" spans="1:2" x14ac:dyDescent="0.2">
      <c r="A1782" t="s">
        <v>1758</v>
      </c>
      <c r="B1782" t="s">
        <v>1</v>
      </c>
    </row>
    <row r="1783" spans="1:2" x14ac:dyDescent="0.2">
      <c r="A1783" t="s">
        <v>1759</v>
      </c>
      <c r="B1783" t="s">
        <v>1</v>
      </c>
    </row>
    <row r="1784" spans="1:2" x14ac:dyDescent="0.2">
      <c r="A1784" t="s">
        <v>1760</v>
      </c>
      <c r="B1784" t="s">
        <v>1</v>
      </c>
    </row>
    <row r="1785" spans="1:2" x14ac:dyDescent="0.2">
      <c r="A1785" t="s">
        <v>1761</v>
      </c>
      <c r="B1785" t="s">
        <v>1</v>
      </c>
    </row>
    <row r="1786" spans="1:2" x14ac:dyDescent="0.2">
      <c r="A1786" t="s">
        <v>1762</v>
      </c>
      <c r="B1786" t="s">
        <v>1</v>
      </c>
    </row>
    <row r="1787" spans="1:2" x14ac:dyDescent="0.2">
      <c r="A1787" t="s">
        <v>1763</v>
      </c>
      <c r="B1787" t="s">
        <v>1</v>
      </c>
    </row>
    <row r="1788" spans="1:2" x14ac:dyDescent="0.2">
      <c r="A1788" t="s">
        <v>1764</v>
      </c>
      <c r="B1788" t="s">
        <v>1</v>
      </c>
    </row>
    <row r="1789" spans="1:2" x14ac:dyDescent="0.2">
      <c r="A1789" t="s">
        <v>1765</v>
      </c>
      <c r="B1789" t="s">
        <v>1</v>
      </c>
    </row>
    <row r="1790" spans="1:2" x14ac:dyDescent="0.2">
      <c r="A1790" t="s">
        <v>1766</v>
      </c>
      <c r="B1790" t="s">
        <v>1</v>
      </c>
    </row>
    <row r="1791" spans="1:2" x14ac:dyDescent="0.2">
      <c r="A1791" t="s">
        <v>1767</v>
      </c>
      <c r="B1791" t="s">
        <v>1</v>
      </c>
    </row>
    <row r="1792" spans="1:2" x14ac:dyDescent="0.2">
      <c r="A1792" t="s">
        <v>1768</v>
      </c>
      <c r="B1792" t="s">
        <v>1</v>
      </c>
    </row>
    <row r="1793" spans="1:2" x14ac:dyDescent="0.2">
      <c r="A1793" t="s">
        <v>1769</v>
      </c>
      <c r="B1793" t="s">
        <v>1</v>
      </c>
    </row>
    <row r="1794" spans="1:2" x14ac:dyDescent="0.2">
      <c r="A1794" t="s">
        <v>1770</v>
      </c>
      <c r="B1794" t="s">
        <v>1</v>
      </c>
    </row>
    <row r="1795" spans="1:2" x14ac:dyDescent="0.2">
      <c r="A1795" t="s">
        <v>1771</v>
      </c>
      <c r="B1795" t="s">
        <v>1</v>
      </c>
    </row>
    <row r="1796" spans="1:2" x14ac:dyDescent="0.2">
      <c r="A1796" t="s">
        <v>1772</v>
      </c>
      <c r="B1796" t="s">
        <v>1</v>
      </c>
    </row>
    <row r="1797" spans="1:2" x14ac:dyDescent="0.2">
      <c r="A1797" t="s">
        <v>1773</v>
      </c>
      <c r="B1797" t="s">
        <v>1</v>
      </c>
    </row>
    <row r="1798" spans="1:2" x14ac:dyDescent="0.2">
      <c r="A1798" t="s">
        <v>1774</v>
      </c>
      <c r="B1798" t="s">
        <v>1</v>
      </c>
    </row>
    <row r="1799" spans="1:2" x14ac:dyDescent="0.2">
      <c r="A1799" t="s">
        <v>1775</v>
      </c>
      <c r="B1799" t="s">
        <v>1</v>
      </c>
    </row>
    <row r="1800" spans="1:2" x14ac:dyDescent="0.2">
      <c r="A1800" t="s">
        <v>1776</v>
      </c>
      <c r="B1800" t="s">
        <v>1</v>
      </c>
    </row>
    <row r="1801" spans="1:2" x14ac:dyDescent="0.2">
      <c r="A1801" t="s">
        <v>1777</v>
      </c>
      <c r="B1801" t="s">
        <v>1</v>
      </c>
    </row>
    <row r="1802" spans="1:2" x14ac:dyDescent="0.2">
      <c r="A1802" t="s">
        <v>1778</v>
      </c>
      <c r="B1802" t="s">
        <v>1</v>
      </c>
    </row>
    <row r="1803" spans="1:2" x14ac:dyDescent="0.2">
      <c r="A1803" t="s">
        <v>1779</v>
      </c>
      <c r="B1803" t="s">
        <v>1</v>
      </c>
    </row>
    <row r="1804" spans="1:2" x14ac:dyDescent="0.2">
      <c r="A1804" t="s">
        <v>1780</v>
      </c>
      <c r="B1804" t="s">
        <v>1</v>
      </c>
    </row>
    <row r="1805" spans="1:2" x14ac:dyDescent="0.2">
      <c r="A1805" t="s">
        <v>1781</v>
      </c>
      <c r="B1805" t="s">
        <v>1</v>
      </c>
    </row>
    <row r="1806" spans="1:2" x14ac:dyDescent="0.2">
      <c r="A1806" t="s">
        <v>1782</v>
      </c>
      <c r="B1806" t="s">
        <v>1</v>
      </c>
    </row>
    <row r="1807" spans="1:2" x14ac:dyDescent="0.2">
      <c r="A1807" t="s">
        <v>1783</v>
      </c>
      <c r="B1807" t="s">
        <v>1</v>
      </c>
    </row>
    <row r="1808" spans="1:2" x14ac:dyDescent="0.2">
      <c r="A1808" t="s">
        <v>1784</v>
      </c>
      <c r="B1808" t="s">
        <v>1</v>
      </c>
    </row>
    <row r="1809" spans="1:2" x14ac:dyDescent="0.2">
      <c r="A1809" t="s">
        <v>1785</v>
      </c>
      <c r="B1809" t="s">
        <v>1</v>
      </c>
    </row>
    <row r="1810" spans="1:2" x14ac:dyDescent="0.2">
      <c r="A1810" t="s">
        <v>1786</v>
      </c>
      <c r="B1810" t="s">
        <v>1</v>
      </c>
    </row>
    <row r="1811" spans="1:2" x14ac:dyDescent="0.2">
      <c r="A1811" t="s">
        <v>1787</v>
      </c>
      <c r="B1811" t="s">
        <v>1</v>
      </c>
    </row>
    <row r="1812" spans="1:2" x14ac:dyDescent="0.2">
      <c r="A1812" t="s">
        <v>1788</v>
      </c>
      <c r="B1812" t="s">
        <v>1</v>
      </c>
    </row>
    <row r="1813" spans="1:2" x14ac:dyDescent="0.2">
      <c r="A1813" t="s">
        <v>1789</v>
      </c>
      <c r="B1813" t="s">
        <v>1</v>
      </c>
    </row>
    <row r="1814" spans="1:2" x14ac:dyDescent="0.2">
      <c r="A1814" t="s">
        <v>1790</v>
      </c>
      <c r="B1814" t="s">
        <v>1</v>
      </c>
    </row>
    <row r="1815" spans="1:2" x14ac:dyDescent="0.2">
      <c r="A1815" t="s">
        <v>1791</v>
      </c>
      <c r="B1815" t="s">
        <v>1</v>
      </c>
    </row>
    <row r="1816" spans="1:2" x14ac:dyDescent="0.2">
      <c r="A1816" t="s">
        <v>1792</v>
      </c>
      <c r="B1816" t="s">
        <v>1</v>
      </c>
    </row>
    <row r="1817" spans="1:2" x14ac:dyDescent="0.2">
      <c r="A1817" t="s">
        <v>1793</v>
      </c>
      <c r="B1817" t="s">
        <v>1</v>
      </c>
    </row>
    <row r="1818" spans="1:2" x14ac:dyDescent="0.2">
      <c r="A1818" t="s">
        <v>1794</v>
      </c>
      <c r="B1818" t="s">
        <v>1</v>
      </c>
    </row>
    <row r="1819" spans="1:2" x14ac:dyDescent="0.2">
      <c r="A1819" t="s">
        <v>1795</v>
      </c>
      <c r="B1819" t="s">
        <v>1</v>
      </c>
    </row>
    <row r="1820" spans="1:2" x14ac:dyDescent="0.2">
      <c r="A1820" t="s">
        <v>1796</v>
      </c>
      <c r="B1820" t="s">
        <v>1</v>
      </c>
    </row>
    <row r="1821" spans="1:2" x14ac:dyDescent="0.2">
      <c r="A1821" t="s">
        <v>1797</v>
      </c>
      <c r="B1821" t="s">
        <v>1</v>
      </c>
    </row>
    <row r="1822" spans="1:2" x14ac:dyDescent="0.2">
      <c r="A1822" t="s">
        <v>1798</v>
      </c>
      <c r="B1822" t="s">
        <v>1</v>
      </c>
    </row>
    <row r="1823" spans="1:2" x14ac:dyDescent="0.2">
      <c r="A1823" t="s">
        <v>1799</v>
      </c>
      <c r="B1823" t="s">
        <v>1</v>
      </c>
    </row>
    <row r="1824" spans="1:2" x14ac:dyDescent="0.2">
      <c r="A1824" t="s">
        <v>1800</v>
      </c>
      <c r="B1824" t="s">
        <v>1</v>
      </c>
    </row>
    <row r="1825" spans="1:2" x14ac:dyDescent="0.2">
      <c r="A1825" t="s">
        <v>1801</v>
      </c>
      <c r="B1825" t="s">
        <v>1</v>
      </c>
    </row>
    <row r="1826" spans="1:2" x14ac:dyDescent="0.2">
      <c r="A1826" t="s">
        <v>1802</v>
      </c>
      <c r="B1826" t="s">
        <v>1</v>
      </c>
    </row>
    <row r="1827" spans="1:2" x14ac:dyDescent="0.2">
      <c r="A1827" t="s">
        <v>1803</v>
      </c>
      <c r="B1827" t="s">
        <v>1</v>
      </c>
    </row>
    <row r="1828" spans="1:2" x14ac:dyDescent="0.2">
      <c r="A1828" t="s">
        <v>1804</v>
      </c>
      <c r="B1828" t="s">
        <v>1</v>
      </c>
    </row>
    <row r="1829" spans="1:2" x14ac:dyDescent="0.2">
      <c r="A1829" t="s">
        <v>1805</v>
      </c>
      <c r="B1829" t="s">
        <v>1</v>
      </c>
    </row>
    <row r="1830" spans="1:2" x14ac:dyDescent="0.2">
      <c r="A1830" t="s">
        <v>1806</v>
      </c>
      <c r="B1830" t="s">
        <v>1</v>
      </c>
    </row>
    <row r="1831" spans="1:2" x14ac:dyDescent="0.2">
      <c r="A1831" t="s">
        <v>1807</v>
      </c>
      <c r="B1831" t="s">
        <v>1</v>
      </c>
    </row>
    <row r="1832" spans="1:2" x14ac:dyDescent="0.2">
      <c r="A1832" t="s">
        <v>1808</v>
      </c>
      <c r="B1832" t="s">
        <v>1</v>
      </c>
    </row>
    <row r="1833" spans="1:2" x14ac:dyDescent="0.2">
      <c r="A1833" t="s">
        <v>1809</v>
      </c>
      <c r="B1833" t="s">
        <v>1</v>
      </c>
    </row>
    <row r="1834" spans="1:2" x14ac:dyDescent="0.2">
      <c r="A1834" t="s">
        <v>1810</v>
      </c>
      <c r="B1834" t="s">
        <v>1</v>
      </c>
    </row>
    <row r="1835" spans="1:2" x14ac:dyDescent="0.2">
      <c r="A1835" t="s">
        <v>1811</v>
      </c>
      <c r="B1835" t="s">
        <v>1</v>
      </c>
    </row>
    <row r="1836" spans="1:2" x14ac:dyDescent="0.2">
      <c r="A1836" t="s">
        <v>1812</v>
      </c>
      <c r="B1836" t="s">
        <v>1</v>
      </c>
    </row>
    <row r="1837" spans="1:2" x14ac:dyDescent="0.2">
      <c r="A1837" t="s">
        <v>1813</v>
      </c>
      <c r="B1837" t="s">
        <v>1</v>
      </c>
    </row>
    <row r="1838" spans="1:2" x14ac:dyDescent="0.2">
      <c r="A1838" t="s">
        <v>1814</v>
      </c>
      <c r="B1838" t="s">
        <v>1</v>
      </c>
    </row>
    <row r="1839" spans="1:2" x14ac:dyDescent="0.2">
      <c r="A1839" t="s">
        <v>1815</v>
      </c>
      <c r="B1839" t="s">
        <v>1</v>
      </c>
    </row>
    <row r="1840" spans="1:2" x14ac:dyDescent="0.2">
      <c r="A1840" t="s">
        <v>1816</v>
      </c>
      <c r="B1840" t="s">
        <v>1</v>
      </c>
    </row>
    <row r="1841" spans="1:2" x14ac:dyDescent="0.2">
      <c r="A1841" t="s">
        <v>1817</v>
      </c>
      <c r="B1841" t="s">
        <v>1</v>
      </c>
    </row>
    <row r="1842" spans="1:2" x14ac:dyDescent="0.2">
      <c r="A1842" t="s">
        <v>1193</v>
      </c>
      <c r="B1842" t="s">
        <v>1</v>
      </c>
    </row>
    <row r="1843" spans="1:2" x14ac:dyDescent="0.2">
      <c r="A1843" t="s">
        <v>1818</v>
      </c>
      <c r="B1843" t="s">
        <v>1</v>
      </c>
    </row>
    <row r="1844" spans="1:2" x14ac:dyDescent="0.2">
      <c r="A1844" t="s">
        <v>1819</v>
      </c>
      <c r="B1844" t="s">
        <v>1</v>
      </c>
    </row>
    <row r="1845" spans="1:2" x14ac:dyDescent="0.2">
      <c r="A1845" t="s">
        <v>1820</v>
      </c>
      <c r="B1845" t="s">
        <v>1</v>
      </c>
    </row>
    <row r="1846" spans="1:2" x14ac:dyDescent="0.2">
      <c r="A1846" t="s">
        <v>1821</v>
      </c>
      <c r="B1846" t="s">
        <v>1</v>
      </c>
    </row>
    <row r="1847" spans="1:2" x14ac:dyDescent="0.2">
      <c r="A1847" t="s">
        <v>1822</v>
      </c>
      <c r="B1847" t="s">
        <v>1</v>
      </c>
    </row>
    <row r="1848" spans="1:2" x14ac:dyDescent="0.2">
      <c r="A1848" t="s">
        <v>1823</v>
      </c>
      <c r="B1848" t="s">
        <v>1</v>
      </c>
    </row>
    <row r="1849" spans="1:2" x14ac:dyDescent="0.2">
      <c r="A1849" t="s">
        <v>1824</v>
      </c>
      <c r="B1849" t="s">
        <v>1</v>
      </c>
    </row>
    <row r="1850" spans="1:2" x14ac:dyDescent="0.2">
      <c r="A1850" t="s">
        <v>1825</v>
      </c>
      <c r="B1850" t="s">
        <v>1</v>
      </c>
    </row>
    <row r="1851" spans="1:2" x14ac:dyDescent="0.2">
      <c r="A1851" t="s">
        <v>1826</v>
      </c>
      <c r="B1851" t="s">
        <v>1</v>
      </c>
    </row>
    <row r="1852" spans="1:2" x14ac:dyDescent="0.2">
      <c r="A1852" t="s">
        <v>1827</v>
      </c>
      <c r="B1852" t="s">
        <v>1</v>
      </c>
    </row>
    <row r="1853" spans="1:2" x14ac:dyDescent="0.2">
      <c r="A1853" t="s">
        <v>1828</v>
      </c>
      <c r="B1853" t="s">
        <v>1</v>
      </c>
    </row>
    <row r="1854" spans="1:2" x14ac:dyDescent="0.2">
      <c r="A1854" t="s">
        <v>1829</v>
      </c>
      <c r="B1854" t="s">
        <v>1</v>
      </c>
    </row>
    <row r="1855" spans="1:2" x14ac:dyDescent="0.2">
      <c r="A1855" t="s">
        <v>1830</v>
      </c>
      <c r="B1855" t="s">
        <v>1</v>
      </c>
    </row>
    <row r="1856" spans="1:2" x14ac:dyDescent="0.2">
      <c r="A1856" t="s">
        <v>1831</v>
      </c>
      <c r="B1856" t="s">
        <v>1</v>
      </c>
    </row>
    <row r="1857" spans="1:2" x14ac:dyDescent="0.2">
      <c r="A1857" t="s">
        <v>1832</v>
      </c>
      <c r="B1857" t="s">
        <v>1</v>
      </c>
    </row>
    <row r="1858" spans="1:2" x14ac:dyDescent="0.2">
      <c r="A1858" t="s">
        <v>1833</v>
      </c>
      <c r="B1858" t="s">
        <v>1</v>
      </c>
    </row>
    <row r="1859" spans="1:2" x14ac:dyDescent="0.2">
      <c r="A1859" t="s">
        <v>1834</v>
      </c>
      <c r="B1859" t="s">
        <v>1</v>
      </c>
    </row>
    <row r="1860" spans="1:2" x14ac:dyDescent="0.2">
      <c r="A1860" t="s">
        <v>1835</v>
      </c>
      <c r="B1860" t="s">
        <v>1</v>
      </c>
    </row>
    <row r="1861" spans="1:2" x14ac:dyDescent="0.2">
      <c r="A1861" t="s">
        <v>1836</v>
      </c>
      <c r="B1861" t="s">
        <v>1</v>
      </c>
    </row>
    <row r="1862" spans="1:2" x14ac:dyDescent="0.2">
      <c r="A1862" t="s">
        <v>1837</v>
      </c>
      <c r="B1862" t="s">
        <v>1</v>
      </c>
    </row>
    <row r="1863" spans="1:2" x14ac:dyDescent="0.2">
      <c r="A1863" t="s">
        <v>1838</v>
      </c>
      <c r="B1863" t="s">
        <v>1</v>
      </c>
    </row>
    <row r="1864" spans="1:2" x14ac:dyDescent="0.2">
      <c r="A1864" t="s">
        <v>1839</v>
      </c>
      <c r="B1864" t="s">
        <v>1</v>
      </c>
    </row>
    <row r="1865" spans="1:2" x14ac:dyDescent="0.2">
      <c r="A1865" t="s">
        <v>1840</v>
      </c>
      <c r="B1865" t="s">
        <v>1</v>
      </c>
    </row>
    <row r="1866" spans="1:2" x14ac:dyDescent="0.2">
      <c r="A1866" t="s">
        <v>1841</v>
      </c>
      <c r="B1866" t="s">
        <v>1</v>
      </c>
    </row>
    <row r="1867" spans="1:2" x14ac:dyDescent="0.2">
      <c r="A1867" t="s">
        <v>1842</v>
      </c>
      <c r="B1867" t="s">
        <v>1</v>
      </c>
    </row>
    <row r="1868" spans="1:2" x14ac:dyDescent="0.2">
      <c r="A1868" t="s">
        <v>1843</v>
      </c>
      <c r="B1868" t="s">
        <v>1</v>
      </c>
    </row>
    <row r="1869" spans="1:2" x14ac:dyDescent="0.2">
      <c r="A1869" t="s">
        <v>1844</v>
      </c>
      <c r="B1869" t="s">
        <v>1</v>
      </c>
    </row>
    <row r="1870" spans="1:2" x14ac:dyDescent="0.2">
      <c r="A1870" t="s">
        <v>1845</v>
      </c>
      <c r="B1870" t="s">
        <v>1</v>
      </c>
    </row>
    <row r="1871" spans="1:2" x14ac:dyDescent="0.2">
      <c r="A1871" t="s">
        <v>1846</v>
      </c>
      <c r="B1871" t="s">
        <v>1</v>
      </c>
    </row>
    <row r="1872" spans="1:2" x14ac:dyDescent="0.2">
      <c r="A1872" t="s">
        <v>1847</v>
      </c>
      <c r="B1872" t="s">
        <v>1</v>
      </c>
    </row>
    <row r="1873" spans="1:2" x14ac:dyDescent="0.2">
      <c r="A1873" t="s">
        <v>1848</v>
      </c>
      <c r="B1873" t="s">
        <v>1</v>
      </c>
    </row>
    <row r="1874" spans="1:2" x14ac:dyDescent="0.2">
      <c r="A1874" t="s">
        <v>1849</v>
      </c>
      <c r="B1874" t="s">
        <v>1</v>
      </c>
    </row>
    <row r="1875" spans="1:2" x14ac:dyDescent="0.2">
      <c r="A1875" t="s">
        <v>1850</v>
      </c>
      <c r="B1875" t="s">
        <v>1</v>
      </c>
    </row>
    <row r="1876" spans="1:2" x14ac:dyDescent="0.2">
      <c r="A1876" t="s">
        <v>1851</v>
      </c>
      <c r="B1876" t="s">
        <v>1</v>
      </c>
    </row>
    <row r="1877" spans="1:2" x14ac:dyDescent="0.2">
      <c r="A1877" t="s">
        <v>1852</v>
      </c>
      <c r="B1877" t="s">
        <v>1</v>
      </c>
    </row>
    <row r="1878" spans="1:2" x14ac:dyDescent="0.2">
      <c r="A1878" t="s">
        <v>1853</v>
      </c>
      <c r="B1878" t="s">
        <v>1</v>
      </c>
    </row>
    <row r="1879" spans="1:2" x14ac:dyDescent="0.2">
      <c r="A1879" t="s">
        <v>1854</v>
      </c>
      <c r="B1879" t="s">
        <v>1</v>
      </c>
    </row>
    <row r="1880" spans="1:2" x14ac:dyDescent="0.2">
      <c r="A1880" t="s">
        <v>1855</v>
      </c>
      <c r="B1880" t="s">
        <v>1</v>
      </c>
    </row>
    <row r="1881" spans="1:2" x14ac:dyDescent="0.2">
      <c r="A1881" t="s">
        <v>1856</v>
      </c>
      <c r="B1881" t="s">
        <v>1</v>
      </c>
    </row>
    <row r="1882" spans="1:2" x14ac:dyDescent="0.2">
      <c r="A1882" t="s">
        <v>1857</v>
      </c>
      <c r="B1882" t="s">
        <v>1</v>
      </c>
    </row>
    <row r="1883" spans="1:2" x14ac:dyDescent="0.2">
      <c r="A1883" t="s">
        <v>1858</v>
      </c>
      <c r="B1883" t="s">
        <v>1</v>
      </c>
    </row>
    <row r="1884" spans="1:2" x14ac:dyDescent="0.2">
      <c r="A1884" t="s">
        <v>1859</v>
      </c>
      <c r="B1884" t="s">
        <v>1</v>
      </c>
    </row>
    <row r="1885" spans="1:2" x14ac:dyDescent="0.2">
      <c r="A1885" t="s">
        <v>1860</v>
      </c>
      <c r="B1885" t="s">
        <v>1</v>
      </c>
    </row>
    <row r="1886" spans="1:2" x14ac:dyDescent="0.2">
      <c r="A1886" t="s">
        <v>1861</v>
      </c>
      <c r="B1886" t="s">
        <v>1</v>
      </c>
    </row>
    <row r="1887" spans="1:2" x14ac:dyDescent="0.2">
      <c r="A1887" t="s">
        <v>1862</v>
      </c>
      <c r="B1887" t="s">
        <v>1</v>
      </c>
    </row>
    <row r="1888" spans="1:2" x14ac:dyDescent="0.2">
      <c r="A1888" t="s">
        <v>1050</v>
      </c>
      <c r="B1888" t="s">
        <v>1</v>
      </c>
    </row>
    <row r="1889" spans="1:2" x14ac:dyDescent="0.2">
      <c r="A1889" t="s">
        <v>1863</v>
      </c>
      <c r="B1889" t="s">
        <v>1</v>
      </c>
    </row>
    <row r="1890" spans="1:2" x14ac:dyDescent="0.2">
      <c r="A1890" t="s">
        <v>1864</v>
      </c>
      <c r="B1890" t="s">
        <v>1</v>
      </c>
    </row>
    <row r="1891" spans="1:2" x14ac:dyDescent="0.2">
      <c r="A1891" t="s">
        <v>1865</v>
      </c>
      <c r="B1891" t="s">
        <v>1</v>
      </c>
    </row>
    <row r="1892" spans="1:2" x14ac:dyDescent="0.2">
      <c r="A1892" t="s">
        <v>1866</v>
      </c>
      <c r="B1892" t="s">
        <v>1</v>
      </c>
    </row>
    <row r="1893" spans="1:2" x14ac:dyDescent="0.2">
      <c r="A1893" t="s">
        <v>1867</v>
      </c>
      <c r="B1893" t="s">
        <v>1</v>
      </c>
    </row>
    <row r="1894" spans="1:2" x14ac:dyDescent="0.2">
      <c r="A1894" t="s">
        <v>1124</v>
      </c>
      <c r="B1894" t="s">
        <v>1</v>
      </c>
    </row>
    <row r="1895" spans="1:2" x14ac:dyDescent="0.2">
      <c r="A1895" t="s">
        <v>1868</v>
      </c>
      <c r="B1895" t="s">
        <v>1</v>
      </c>
    </row>
    <row r="1896" spans="1:2" x14ac:dyDescent="0.2">
      <c r="A1896" t="s">
        <v>1869</v>
      </c>
      <c r="B1896" t="s">
        <v>1</v>
      </c>
    </row>
    <row r="1897" spans="1:2" x14ac:dyDescent="0.2">
      <c r="A1897" t="s">
        <v>1870</v>
      </c>
      <c r="B1897" t="s">
        <v>1</v>
      </c>
    </row>
    <row r="1898" spans="1:2" x14ac:dyDescent="0.2">
      <c r="A1898" t="s">
        <v>1871</v>
      </c>
      <c r="B1898" t="s">
        <v>1</v>
      </c>
    </row>
    <row r="1899" spans="1:2" x14ac:dyDescent="0.2">
      <c r="A1899" t="s">
        <v>1872</v>
      </c>
      <c r="B1899" t="s">
        <v>1</v>
      </c>
    </row>
    <row r="1900" spans="1:2" x14ac:dyDescent="0.2">
      <c r="A1900" t="s">
        <v>1873</v>
      </c>
      <c r="B1900" t="s">
        <v>1</v>
      </c>
    </row>
    <row r="1901" spans="1:2" x14ac:dyDescent="0.2">
      <c r="A1901" t="s">
        <v>1874</v>
      </c>
      <c r="B1901" t="s">
        <v>1</v>
      </c>
    </row>
    <row r="1902" spans="1:2" x14ac:dyDescent="0.2">
      <c r="A1902" t="s">
        <v>1874</v>
      </c>
      <c r="B1902" t="s">
        <v>1</v>
      </c>
    </row>
    <row r="1903" spans="1:2" x14ac:dyDescent="0.2">
      <c r="A1903" t="s">
        <v>1875</v>
      </c>
      <c r="B1903" t="s">
        <v>1</v>
      </c>
    </row>
    <row r="1904" spans="1:2" x14ac:dyDescent="0.2">
      <c r="A1904" t="s">
        <v>1876</v>
      </c>
      <c r="B1904" t="s">
        <v>1</v>
      </c>
    </row>
    <row r="1905" spans="1:2" x14ac:dyDescent="0.2">
      <c r="A1905" t="s">
        <v>1877</v>
      </c>
      <c r="B1905" t="s">
        <v>1</v>
      </c>
    </row>
    <row r="1906" spans="1:2" x14ac:dyDescent="0.2">
      <c r="A1906" t="s">
        <v>1878</v>
      </c>
      <c r="B1906" t="s">
        <v>1</v>
      </c>
    </row>
    <row r="1907" spans="1:2" x14ac:dyDescent="0.2">
      <c r="A1907" t="s">
        <v>1879</v>
      </c>
      <c r="B1907" t="s">
        <v>1</v>
      </c>
    </row>
    <row r="1908" spans="1:2" x14ac:dyDescent="0.2">
      <c r="A1908" t="s">
        <v>1880</v>
      </c>
      <c r="B1908" t="s">
        <v>1</v>
      </c>
    </row>
    <row r="1909" spans="1:2" x14ac:dyDescent="0.2">
      <c r="A1909" t="s">
        <v>1881</v>
      </c>
      <c r="B1909" t="s">
        <v>1</v>
      </c>
    </row>
    <row r="1910" spans="1:2" x14ac:dyDescent="0.2">
      <c r="A1910" t="s">
        <v>1882</v>
      </c>
      <c r="B1910" t="s">
        <v>1</v>
      </c>
    </row>
    <row r="1911" spans="1:2" x14ac:dyDescent="0.2">
      <c r="A1911" t="s">
        <v>1883</v>
      </c>
      <c r="B1911" t="s">
        <v>1</v>
      </c>
    </row>
    <row r="1912" spans="1:2" x14ac:dyDescent="0.2">
      <c r="A1912" t="s">
        <v>1884</v>
      </c>
      <c r="B1912" t="s">
        <v>1</v>
      </c>
    </row>
    <row r="1913" spans="1:2" x14ac:dyDescent="0.2">
      <c r="A1913" t="s">
        <v>1885</v>
      </c>
      <c r="B1913" t="s">
        <v>1</v>
      </c>
    </row>
    <row r="1914" spans="1:2" x14ac:dyDescent="0.2">
      <c r="A1914" t="s">
        <v>1886</v>
      </c>
      <c r="B1914" t="s">
        <v>1</v>
      </c>
    </row>
    <row r="1915" spans="1:2" x14ac:dyDescent="0.2">
      <c r="A1915" t="s">
        <v>1887</v>
      </c>
      <c r="B1915" t="s">
        <v>1</v>
      </c>
    </row>
    <row r="1916" spans="1:2" x14ac:dyDescent="0.2">
      <c r="A1916" t="s">
        <v>1888</v>
      </c>
      <c r="B1916" t="s">
        <v>1</v>
      </c>
    </row>
    <row r="1917" spans="1:2" x14ac:dyDescent="0.2">
      <c r="A1917" t="s">
        <v>1889</v>
      </c>
      <c r="B1917" t="s">
        <v>1</v>
      </c>
    </row>
    <row r="1918" spans="1:2" x14ac:dyDescent="0.2">
      <c r="A1918" t="s">
        <v>1890</v>
      </c>
      <c r="B1918" t="s">
        <v>1</v>
      </c>
    </row>
    <row r="1919" spans="1:2" x14ac:dyDescent="0.2">
      <c r="A1919" t="s">
        <v>1891</v>
      </c>
      <c r="B1919" t="s">
        <v>1</v>
      </c>
    </row>
    <row r="1920" spans="1:2" x14ac:dyDescent="0.2">
      <c r="A1920" t="s">
        <v>1892</v>
      </c>
      <c r="B1920" t="s">
        <v>1</v>
      </c>
    </row>
    <row r="1921" spans="1:2" x14ac:dyDescent="0.2">
      <c r="A1921" t="s">
        <v>1893</v>
      </c>
      <c r="B1921" t="s">
        <v>1</v>
      </c>
    </row>
    <row r="1922" spans="1:2" x14ac:dyDescent="0.2">
      <c r="A1922" t="s">
        <v>1894</v>
      </c>
      <c r="B1922" t="s">
        <v>1</v>
      </c>
    </row>
    <row r="1923" spans="1:2" x14ac:dyDescent="0.2">
      <c r="A1923" t="s">
        <v>1895</v>
      </c>
      <c r="B1923" t="s">
        <v>1</v>
      </c>
    </row>
    <row r="1924" spans="1:2" x14ac:dyDescent="0.2">
      <c r="A1924" t="s">
        <v>1896</v>
      </c>
      <c r="B1924" t="s">
        <v>1</v>
      </c>
    </row>
    <row r="1925" spans="1:2" x14ac:dyDescent="0.2">
      <c r="A1925" t="s">
        <v>1897</v>
      </c>
      <c r="B1925" t="s">
        <v>1</v>
      </c>
    </row>
    <row r="1926" spans="1:2" x14ac:dyDescent="0.2">
      <c r="A1926" t="s">
        <v>1898</v>
      </c>
      <c r="B1926" t="s">
        <v>1</v>
      </c>
    </row>
    <row r="1927" spans="1:2" x14ac:dyDescent="0.2">
      <c r="A1927" t="s">
        <v>1899</v>
      </c>
      <c r="B1927" t="s">
        <v>1</v>
      </c>
    </row>
    <row r="1928" spans="1:2" x14ac:dyDescent="0.2">
      <c r="A1928" t="s">
        <v>1900</v>
      </c>
      <c r="B1928" t="s">
        <v>1</v>
      </c>
    </row>
    <row r="1929" spans="1:2" x14ac:dyDescent="0.2">
      <c r="A1929" t="s">
        <v>1901</v>
      </c>
      <c r="B1929" t="s">
        <v>1</v>
      </c>
    </row>
    <row r="1930" spans="1:2" x14ac:dyDescent="0.2">
      <c r="A1930" t="s">
        <v>1207</v>
      </c>
      <c r="B1930" t="s">
        <v>1</v>
      </c>
    </row>
    <row r="1931" spans="1:2" x14ac:dyDescent="0.2">
      <c r="A1931" t="s">
        <v>1902</v>
      </c>
      <c r="B1931" t="s">
        <v>1</v>
      </c>
    </row>
    <row r="1932" spans="1:2" x14ac:dyDescent="0.2">
      <c r="A1932" t="s">
        <v>1903</v>
      </c>
      <c r="B1932" t="s">
        <v>1</v>
      </c>
    </row>
    <row r="1933" spans="1:2" x14ac:dyDescent="0.2">
      <c r="A1933" t="s">
        <v>1904</v>
      </c>
      <c r="B1933" t="s">
        <v>1</v>
      </c>
    </row>
    <row r="1934" spans="1:2" x14ac:dyDescent="0.2">
      <c r="A1934" t="s">
        <v>1905</v>
      </c>
      <c r="B1934" t="s">
        <v>1</v>
      </c>
    </row>
    <row r="1935" spans="1:2" x14ac:dyDescent="0.2">
      <c r="A1935" t="s">
        <v>1906</v>
      </c>
      <c r="B1935" t="s">
        <v>1</v>
      </c>
    </row>
    <row r="1936" spans="1:2" x14ac:dyDescent="0.2">
      <c r="A1936" t="s">
        <v>1907</v>
      </c>
      <c r="B1936" t="s">
        <v>1</v>
      </c>
    </row>
    <row r="1937" spans="1:2" x14ac:dyDescent="0.2">
      <c r="A1937" t="s">
        <v>1908</v>
      </c>
      <c r="B1937" t="s">
        <v>1</v>
      </c>
    </row>
    <row r="1938" spans="1:2" x14ac:dyDescent="0.2">
      <c r="A1938" t="s">
        <v>1909</v>
      </c>
      <c r="B1938" t="s">
        <v>1</v>
      </c>
    </row>
    <row r="1939" spans="1:2" x14ac:dyDescent="0.2">
      <c r="A1939" t="s">
        <v>1910</v>
      </c>
      <c r="B1939" t="s">
        <v>1</v>
      </c>
    </row>
    <row r="1940" spans="1:2" x14ac:dyDescent="0.2">
      <c r="A1940" t="s">
        <v>1911</v>
      </c>
      <c r="B1940" t="s">
        <v>1</v>
      </c>
    </row>
    <row r="1941" spans="1:2" x14ac:dyDescent="0.2">
      <c r="A1941" t="s">
        <v>1912</v>
      </c>
      <c r="B1941" t="s">
        <v>1</v>
      </c>
    </row>
    <row r="1942" spans="1:2" x14ac:dyDescent="0.2">
      <c r="A1942" t="s">
        <v>1913</v>
      </c>
      <c r="B1942" t="s">
        <v>1</v>
      </c>
    </row>
    <row r="1943" spans="1:2" x14ac:dyDescent="0.2">
      <c r="A1943" t="s">
        <v>1914</v>
      </c>
      <c r="B1943" t="s">
        <v>1</v>
      </c>
    </row>
    <row r="1944" spans="1:2" x14ac:dyDescent="0.2">
      <c r="A1944" t="s">
        <v>1915</v>
      </c>
      <c r="B1944" t="s">
        <v>1</v>
      </c>
    </row>
    <row r="1945" spans="1:2" x14ac:dyDescent="0.2">
      <c r="A1945" t="s">
        <v>1916</v>
      </c>
      <c r="B1945" t="s">
        <v>1</v>
      </c>
    </row>
    <row r="1946" spans="1:2" x14ac:dyDescent="0.2">
      <c r="A1946" t="s">
        <v>1917</v>
      </c>
      <c r="B1946" t="s">
        <v>1</v>
      </c>
    </row>
    <row r="1947" spans="1:2" x14ac:dyDescent="0.2">
      <c r="A1947" t="s">
        <v>1918</v>
      </c>
      <c r="B1947" t="s">
        <v>1</v>
      </c>
    </row>
    <row r="1948" spans="1:2" x14ac:dyDescent="0.2">
      <c r="A1948" t="s">
        <v>1919</v>
      </c>
      <c r="B1948" t="s">
        <v>1</v>
      </c>
    </row>
    <row r="1949" spans="1:2" x14ac:dyDescent="0.2">
      <c r="A1949" t="s">
        <v>1920</v>
      </c>
      <c r="B1949" t="s">
        <v>1</v>
      </c>
    </row>
    <row r="1950" spans="1:2" x14ac:dyDescent="0.2">
      <c r="A1950" t="s">
        <v>1921</v>
      </c>
      <c r="B1950" t="s">
        <v>1</v>
      </c>
    </row>
    <row r="1951" spans="1:2" x14ac:dyDescent="0.2">
      <c r="A1951" t="s">
        <v>1922</v>
      </c>
      <c r="B1951" t="s">
        <v>1</v>
      </c>
    </row>
    <row r="1952" spans="1:2" x14ac:dyDescent="0.2">
      <c r="A1952" t="s">
        <v>1923</v>
      </c>
      <c r="B1952" t="s">
        <v>1</v>
      </c>
    </row>
    <row r="1953" spans="1:2" x14ac:dyDescent="0.2">
      <c r="A1953" t="s">
        <v>1924</v>
      </c>
      <c r="B1953" t="s">
        <v>1</v>
      </c>
    </row>
    <row r="1954" spans="1:2" x14ac:dyDescent="0.2">
      <c r="A1954" t="s">
        <v>1925</v>
      </c>
      <c r="B1954" t="s">
        <v>1</v>
      </c>
    </row>
    <row r="1955" spans="1:2" x14ac:dyDescent="0.2">
      <c r="A1955" t="s">
        <v>1926</v>
      </c>
      <c r="B1955" t="s">
        <v>1</v>
      </c>
    </row>
    <row r="1956" spans="1:2" x14ac:dyDescent="0.2">
      <c r="A1956" t="s">
        <v>1927</v>
      </c>
      <c r="B1956" t="s">
        <v>1</v>
      </c>
    </row>
    <row r="1957" spans="1:2" x14ac:dyDescent="0.2">
      <c r="A1957" t="s">
        <v>1928</v>
      </c>
      <c r="B1957" t="s">
        <v>1</v>
      </c>
    </row>
    <row r="1958" spans="1:2" x14ac:dyDescent="0.2">
      <c r="A1958" t="s">
        <v>1929</v>
      </c>
      <c r="B1958" t="s">
        <v>1</v>
      </c>
    </row>
    <row r="1959" spans="1:2" x14ac:dyDescent="0.2">
      <c r="A1959" t="s">
        <v>1930</v>
      </c>
      <c r="B1959" t="s">
        <v>1</v>
      </c>
    </row>
    <row r="1960" spans="1:2" x14ac:dyDescent="0.2">
      <c r="A1960" t="s">
        <v>1931</v>
      </c>
      <c r="B1960" t="s">
        <v>1</v>
      </c>
    </row>
    <row r="1961" spans="1:2" x14ac:dyDescent="0.2">
      <c r="A1961" t="s">
        <v>1932</v>
      </c>
      <c r="B1961" t="s">
        <v>1</v>
      </c>
    </row>
    <row r="1962" spans="1:2" x14ac:dyDescent="0.2">
      <c r="A1962" t="s">
        <v>1933</v>
      </c>
      <c r="B1962" t="s">
        <v>1</v>
      </c>
    </row>
    <row r="1963" spans="1:2" x14ac:dyDescent="0.2">
      <c r="A1963" t="s">
        <v>1934</v>
      </c>
      <c r="B1963" t="s">
        <v>1</v>
      </c>
    </row>
    <row r="1964" spans="1:2" x14ac:dyDescent="0.2">
      <c r="A1964" t="s">
        <v>1935</v>
      </c>
      <c r="B1964" t="s">
        <v>1</v>
      </c>
    </row>
    <row r="1965" spans="1:2" x14ac:dyDescent="0.2">
      <c r="A1965" t="s">
        <v>1936</v>
      </c>
      <c r="B1965" t="s">
        <v>1</v>
      </c>
    </row>
    <row r="1966" spans="1:2" x14ac:dyDescent="0.2">
      <c r="A1966" t="s">
        <v>1937</v>
      </c>
      <c r="B1966" t="s">
        <v>1</v>
      </c>
    </row>
    <row r="1967" spans="1:2" x14ac:dyDescent="0.2">
      <c r="A1967" t="s">
        <v>1938</v>
      </c>
      <c r="B1967" t="s">
        <v>1</v>
      </c>
    </row>
    <row r="1968" spans="1:2" x14ac:dyDescent="0.2">
      <c r="A1968" t="s">
        <v>1939</v>
      </c>
      <c r="B1968" t="s">
        <v>1</v>
      </c>
    </row>
    <row r="1969" spans="1:2" x14ac:dyDescent="0.2">
      <c r="A1969" t="s">
        <v>1940</v>
      </c>
      <c r="B1969" t="s">
        <v>1</v>
      </c>
    </row>
    <row r="1970" spans="1:2" x14ac:dyDescent="0.2">
      <c r="A1970" t="s">
        <v>1941</v>
      </c>
      <c r="B1970" t="s">
        <v>1</v>
      </c>
    </row>
    <row r="1971" spans="1:2" x14ac:dyDescent="0.2">
      <c r="A1971" t="s">
        <v>1942</v>
      </c>
      <c r="B1971" t="s">
        <v>1</v>
      </c>
    </row>
    <row r="1972" spans="1:2" x14ac:dyDescent="0.2">
      <c r="A1972" t="s">
        <v>1943</v>
      </c>
      <c r="B1972" t="s">
        <v>1</v>
      </c>
    </row>
    <row r="1973" spans="1:2" x14ac:dyDescent="0.2">
      <c r="A1973" t="s">
        <v>1944</v>
      </c>
      <c r="B1973" t="s">
        <v>1</v>
      </c>
    </row>
    <row r="1974" spans="1:2" x14ac:dyDescent="0.2">
      <c r="A1974" t="s">
        <v>1945</v>
      </c>
      <c r="B1974" t="s">
        <v>1</v>
      </c>
    </row>
    <row r="1975" spans="1:2" x14ac:dyDescent="0.2">
      <c r="A1975" t="s">
        <v>1946</v>
      </c>
      <c r="B1975" t="s">
        <v>1</v>
      </c>
    </row>
    <row r="1976" spans="1:2" x14ac:dyDescent="0.2">
      <c r="A1976" t="s">
        <v>1947</v>
      </c>
      <c r="B1976" t="s">
        <v>1</v>
      </c>
    </row>
    <row r="1977" spans="1:2" x14ac:dyDescent="0.2">
      <c r="A1977" t="s">
        <v>1948</v>
      </c>
      <c r="B1977" t="s">
        <v>1</v>
      </c>
    </row>
    <row r="1978" spans="1:2" x14ac:dyDescent="0.2">
      <c r="A1978" t="s">
        <v>1949</v>
      </c>
      <c r="B1978" t="s">
        <v>1</v>
      </c>
    </row>
    <row r="1979" spans="1:2" x14ac:dyDescent="0.2">
      <c r="A1979" t="s">
        <v>1950</v>
      </c>
      <c r="B1979" t="s">
        <v>1</v>
      </c>
    </row>
    <row r="1980" spans="1:2" x14ac:dyDescent="0.2">
      <c r="A1980" t="s">
        <v>1951</v>
      </c>
      <c r="B1980" t="s">
        <v>1</v>
      </c>
    </row>
    <row r="1981" spans="1:2" x14ac:dyDescent="0.2">
      <c r="A1981" t="s">
        <v>1952</v>
      </c>
      <c r="B1981" t="s">
        <v>1</v>
      </c>
    </row>
    <row r="1982" spans="1:2" x14ac:dyDescent="0.2">
      <c r="A1982" t="s">
        <v>1953</v>
      </c>
      <c r="B1982" t="s">
        <v>1</v>
      </c>
    </row>
    <row r="1983" spans="1:2" x14ac:dyDescent="0.2">
      <c r="A1983" t="s">
        <v>1954</v>
      </c>
      <c r="B1983" t="s">
        <v>1</v>
      </c>
    </row>
    <row r="1984" spans="1:2" x14ac:dyDescent="0.2">
      <c r="A1984" t="s">
        <v>1955</v>
      </c>
      <c r="B1984" t="s">
        <v>1</v>
      </c>
    </row>
    <row r="1985" spans="1:2" x14ac:dyDescent="0.2">
      <c r="A1985" t="s">
        <v>1956</v>
      </c>
      <c r="B1985" t="s">
        <v>1</v>
      </c>
    </row>
    <row r="1986" spans="1:2" x14ac:dyDescent="0.2">
      <c r="A1986" t="s">
        <v>1957</v>
      </c>
      <c r="B1986" t="s">
        <v>1</v>
      </c>
    </row>
    <row r="1987" spans="1:2" x14ac:dyDescent="0.2">
      <c r="A1987" t="s">
        <v>1958</v>
      </c>
      <c r="B1987" t="s">
        <v>1</v>
      </c>
    </row>
    <row r="1988" spans="1:2" x14ac:dyDescent="0.2">
      <c r="A1988" t="s">
        <v>1959</v>
      </c>
      <c r="B1988" t="s">
        <v>1</v>
      </c>
    </row>
    <row r="1989" spans="1:2" x14ac:dyDescent="0.2">
      <c r="A1989" t="s">
        <v>1960</v>
      </c>
      <c r="B1989" t="s">
        <v>1</v>
      </c>
    </row>
    <row r="1990" spans="1:2" x14ac:dyDescent="0.2">
      <c r="A1990" t="s">
        <v>1961</v>
      </c>
      <c r="B1990" t="s">
        <v>1</v>
      </c>
    </row>
    <row r="1991" spans="1:2" x14ac:dyDescent="0.2">
      <c r="A1991" t="s">
        <v>1962</v>
      </c>
      <c r="B1991" t="s">
        <v>1</v>
      </c>
    </row>
    <row r="1992" spans="1:2" x14ac:dyDescent="0.2">
      <c r="A1992" t="s">
        <v>1963</v>
      </c>
      <c r="B1992" t="s">
        <v>1</v>
      </c>
    </row>
    <row r="1993" spans="1:2" x14ac:dyDescent="0.2">
      <c r="A1993" t="s">
        <v>1964</v>
      </c>
      <c r="B1993" t="s">
        <v>1</v>
      </c>
    </row>
    <row r="1994" spans="1:2" x14ac:dyDescent="0.2">
      <c r="A1994" t="s">
        <v>1965</v>
      </c>
      <c r="B1994" t="s">
        <v>1</v>
      </c>
    </row>
    <row r="1995" spans="1:2" x14ac:dyDescent="0.2">
      <c r="A1995" t="s">
        <v>1966</v>
      </c>
      <c r="B1995" t="s">
        <v>1</v>
      </c>
    </row>
    <row r="1996" spans="1:2" x14ac:dyDescent="0.2">
      <c r="A1996" t="s">
        <v>1967</v>
      </c>
      <c r="B1996" t="s">
        <v>1</v>
      </c>
    </row>
    <row r="1997" spans="1:2" x14ac:dyDescent="0.2">
      <c r="A1997" t="s">
        <v>1968</v>
      </c>
      <c r="B1997" t="s">
        <v>1</v>
      </c>
    </row>
    <row r="1998" spans="1:2" x14ac:dyDescent="0.2">
      <c r="A1998" t="s">
        <v>1969</v>
      </c>
      <c r="B1998" t="s">
        <v>1</v>
      </c>
    </row>
    <row r="1999" spans="1:2" x14ac:dyDescent="0.2">
      <c r="A1999" t="s">
        <v>1970</v>
      </c>
      <c r="B1999" t="s">
        <v>1</v>
      </c>
    </row>
    <row r="2000" spans="1:2" x14ac:dyDescent="0.2">
      <c r="A2000" t="s">
        <v>1971</v>
      </c>
      <c r="B2000" t="s">
        <v>1</v>
      </c>
    </row>
    <row r="2001" spans="1:2" x14ac:dyDescent="0.2">
      <c r="A2001" t="s">
        <v>1972</v>
      </c>
      <c r="B2001" t="s">
        <v>1</v>
      </c>
    </row>
    <row r="2002" spans="1:2" x14ac:dyDescent="0.2">
      <c r="A2002" t="s">
        <v>1973</v>
      </c>
      <c r="B2002" t="s">
        <v>1</v>
      </c>
    </row>
    <row r="2003" spans="1:2" x14ac:dyDescent="0.2">
      <c r="A2003" t="s">
        <v>1974</v>
      </c>
      <c r="B2003" t="s">
        <v>1</v>
      </c>
    </row>
    <row r="2004" spans="1:2" x14ac:dyDescent="0.2">
      <c r="A2004" t="s">
        <v>1975</v>
      </c>
      <c r="B2004" t="s">
        <v>1</v>
      </c>
    </row>
    <row r="2005" spans="1:2" x14ac:dyDescent="0.2">
      <c r="A2005" t="s">
        <v>1976</v>
      </c>
      <c r="B2005" t="s">
        <v>1</v>
      </c>
    </row>
    <row r="2006" spans="1:2" x14ac:dyDescent="0.2">
      <c r="A2006" t="s">
        <v>1977</v>
      </c>
      <c r="B2006" t="s">
        <v>1</v>
      </c>
    </row>
    <row r="2007" spans="1:2" x14ac:dyDescent="0.2">
      <c r="A2007" t="s">
        <v>1978</v>
      </c>
      <c r="B2007" t="s">
        <v>1</v>
      </c>
    </row>
    <row r="2008" spans="1:2" x14ac:dyDescent="0.2">
      <c r="A2008" t="s">
        <v>1979</v>
      </c>
      <c r="B2008" t="s">
        <v>1</v>
      </c>
    </row>
    <row r="2009" spans="1:2" x14ac:dyDescent="0.2">
      <c r="A2009" t="s">
        <v>1980</v>
      </c>
      <c r="B2009" t="s">
        <v>1</v>
      </c>
    </row>
    <row r="2010" spans="1:2" x14ac:dyDescent="0.2">
      <c r="A2010" t="s">
        <v>1981</v>
      </c>
      <c r="B2010" t="s">
        <v>1</v>
      </c>
    </row>
    <row r="2011" spans="1:2" x14ac:dyDescent="0.2">
      <c r="A2011" t="s">
        <v>1982</v>
      </c>
      <c r="B2011" t="s">
        <v>1</v>
      </c>
    </row>
    <row r="2012" spans="1:2" x14ac:dyDescent="0.2">
      <c r="A2012" t="s">
        <v>1983</v>
      </c>
      <c r="B2012" t="s">
        <v>1</v>
      </c>
    </row>
    <row r="2013" spans="1:2" x14ac:dyDescent="0.2">
      <c r="A2013" t="s">
        <v>1984</v>
      </c>
      <c r="B2013" t="s">
        <v>1</v>
      </c>
    </row>
    <row r="2014" spans="1:2" x14ac:dyDescent="0.2">
      <c r="A2014" t="s">
        <v>1985</v>
      </c>
      <c r="B2014" t="s">
        <v>1</v>
      </c>
    </row>
    <row r="2015" spans="1:2" x14ac:dyDescent="0.2">
      <c r="A2015" t="s">
        <v>1986</v>
      </c>
      <c r="B2015" t="s">
        <v>1</v>
      </c>
    </row>
    <row r="2016" spans="1:2" x14ac:dyDescent="0.2">
      <c r="A2016" t="s">
        <v>1987</v>
      </c>
      <c r="B2016" t="s">
        <v>1</v>
      </c>
    </row>
    <row r="2017" spans="1:2" x14ac:dyDescent="0.2">
      <c r="A2017" t="s">
        <v>1988</v>
      </c>
      <c r="B2017" t="s">
        <v>1</v>
      </c>
    </row>
    <row r="2018" spans="1:2" x14ac:dyDescent="0.2">
      <c r="A2018" t="s">
        <v>1989</v>
      </c>
      <c r="B2018" t="s">
        <v>1</v>
      </c>
    </row>
    <row r="2019" spans="1:2" x14ac:dyDescent="0.2">
      <c r="A2019" t="s">
        <v>1990</v>
      </c>
      <c r="B2019" t="s">
        <v>1</v>
      </c>
    </row>
    <row r="2020" spans="1:2" x14ac:dyDescent="0.2">
      <c r="A2020" t="s">
        <v>1991</v>
      </c>
      <c r="B2020" t="s">
        <v>1</v>
      </c>
    </row>
    <row r="2021" spans="1:2" x14ac:dyDescent="0.2">
      <c r="A2021" t="s">
        <v>1992</v>
      </c>
      <c r="B2021" t="s">
        <v>1</v>
      </c>
    </row>
    <row r="2022" spans="1:2" x14ac:dyDescent="0.2">
      <c r="A2022" t="s">
        <v>1993</v>
      </c>
      <c r="B2022" t="s">
        <v>1</v>
      </c>
    </row>
    <row r="2023" spans="1:2" x14ac:dyDescent="0.2">
      <c r="A2023" t="s">
        <v>1994</v>
      </c>
      <c r="B2023" t="s">
        <v>1</v>
      </c>
    </row>
    <row r="2024" spans="1:2" x14ac:dyDescent="0.2">
      <c r="A2024" t="s">
        <v>1995</v>
      </c>
      <c r="B2024" t="s">
        <v>1</v>
      </c>
    </row>
    <row r="2025" spans="1:2" x14ac:dyDescent="0.2">
      <c r="A2025" t="s">
        <v>1996</v>
      </c>
      <c r="B2025" t="s">
        <v>1</v>
      </c>
    </row>
    <row r="2026" spans="1:2" x14ac:dyDescent="0.2">
      <c r="A2026" t="s">
        <v>1997</v>
      </c>
      <c r="B2026" t="s">
        <v>1</v>
      </c>
    </row>
    <row r="2027" spans="1:2" x14ac:dyDescent="0.2">
      <c r="A2027" t="s">
        <v>1998</v>
      </c>
      <c r="B2027" t="s">
        <v>1</v>
      </c>
    </row>
    <row r="2028" spans="1:2" x14ac:dyDescent="0.2">
      <c r="A2028" t="s">
        <v>1999</v>
      </c>
      <c r="B2028" t="s">
        <v>1</v>
      </c>
    </row>
    <row r="2029" spans="1:2" x14ac:dyDescent="0.2">
      <c r="A2029" t="s">
        <v>2000</v>
      </c>
      <c r="B2029" t="s">
        <v>1</v>
      </c>
    </row>
    <row r="2030" spans="1:2" x14ac:dyDescent="0.2">
      <c r="A2030" t="s">
        <v>2001</v>
      </c>
      <c r="B2030" t="s">
        <v>1</v>
      </c>
    </row>
    <row r="2031" spans="1:2" x14ac:dyDescent="0.2">
      <c r="A2031" t="s">
        <v>2002</v>
      </c>
      <c r="B2031" t="s">
        <v>1</v>
      </c>
    </row>
    <row r="2032" spans="1:2" x14ac:dyDescent="0.2">
      <c r="A2032" t="s">
        <v>2003</v>
      </c>
      <c r="B2032" t="s">
        <v>1</v>
      </c>
    </row>
    <row r="2033" spans="1:2" x14ac:dyDescent="0.2">
      <c r="A2033" t="s">
        <v>2004</v>
      </c>
      <c r="B2033" t="s">
        <v>1</v>
      </c>
    </row>
    <row r="2034" spans="1:2" x14ac:dyDescent="0.2">
      <c r="A2034" t="s">
        <v>2005</v>
      </c>
      <c r="B2034" t="s">
        <v>1</v>
      </c>
    </row>
    <row r="2035" spans="1:2" x14ac:dyDescent="0.2">
      <c r="A2035" t="s">
        <v>2006</v>
      </c>
      <c r="B2035" t="s">
        <v>1</v>
      </c>
    </row>
    <row r="2036" spans="1:2" x14ac:dyDescent="0.2">
      <c r="A2036" t="s">
        <v>2007</v>
      </c>
      <c r="B2036" t="s">
        <v>1</v>
      </c>
    </row>
    <row r="2037" spans="1:2" x14ac:dyDescent="0.2">
      <c r="A2037" t="s">
        <v>2008</v>
      </c>
      <c r="B2037" t="s">
        <v>1</v>
      </c>
    </row>
    <row r="2038" spans="1:2" x14ac:dyDescent="0.2">
      <c r="A2038" t="s">
        <v>2009</v>
      </c>
      <c r="B2038" t="s">
        <v>1</v>
      </c>
    </row>
    <row r="2039" spans="1:2" x14ac:dyDescent="0.2">
      <c r="A2039" t="s">
        <v>2010</v>
      </c>
      <c r="B2039" t="s">
        <v>1</v>
      </c>
    </row>
    <row r="2040" spans="1:2" x14ac:dyDescent="0.2">
      <c r="A2040" t="s">
        <v>2011</v>
      </c>
      <c r="B2040" t="s">
        <v>1</v>
      </c>
    </row>
    <row r="2041" spans="1:2" x14ac:dyDescent="0.2">
      <c r="A2041" t="s">
        <v>2012</v>
      </c>
      <c r="B2041" t="s">
        <v>1</v>
      </c>
    </row>
    <row r="2042" spans="1:2" x14ac:dyDescent="0.2">
      <c r="A2042" t="s">
        <v>2013</v>
      </c>
      <c r="B2042" t="s">
        <v>1</v>
      </c>
    </row>
    <row r="2043" spans="1:2" x14ac:dyDescent="0.2">
      <c r="A2043" t="s">
        <v>2014</v>
      </c>
      <c r="B2043" t="s">
        <v>1</v>
      </c>
    </row>
    <row r="2044" spans="1:2" x14ac:dyDescent="0.2">
      <c r="A2044" t="s">
        <v>2015</v>
      </c>
      <c r="B2044" t="s">
        <v>1</v>
      </c>
    </row>
    <row r="2045" spans="1:2" x14ac:dyDescent="0.2">
      <c r="A2045" t="s">
        <v>2016</v>
      </c>
      <c r="B2045" t="s">
        <v>1</v>
      </c>
    </row>
    <row r="2046" spans="1:2" x14ac:dyDescent="0.2">
      <c r="A2046" t="s">
        <v>2017</v>
      </c>
      <c r="B2046" t="s">
        <v>1</v>
      </c>
    </row>
    <row r="2047" spans="1:2" x14ac:dyDescent="0.2">
      <c r="A2047" t="s">
        <v>2018</v>
      </c>
      <c r="B2047" t="s">
        <v>1</v>
      </c>
    </row>
    <row r="2048" spans="1:2" x14ac:dyDescent="0.2">
      <c r="A2048" t="s">
        <v>2019</v>
      </c>
      <c r="B2048" t="s">
        <v>1</v>
      </c>
    </row>
    <row r="2049" spans="1:2" x14ac:dyDescent="0.2">
      <c r="A2049" t="s">
        <v>2020</v>
      </c>
      <c r="B2049" t="s">
        <v>1</v>
      </c>
    </row>
    <row r="2050" spans="1:2" x14ac:dyDescent="0.2">
      <c r="A2050" t="s">
        <v>2021</v>
      </c>
      <c r="B2050" t="s">
        <v>1</v>
      </c>
    </row>
    <row r="2051" spans="1:2" x14ac:dyDescent="0.2">
      <c r="A2051" t="s">
        <v>2022</v>
      </c>
      <c r="B2051" t="s">
        <v>1</v>
      </c>
    </row>
    <row r="2052" spans="1:2" x14ac:dyDescent="0.2">
      <c r="A2052" t="s">
        <v>2023</v>
      </c>
      <c r="B2052" t="s">
        <v>1</v>
      </c>
    </row>
    <row r="2053" spans="1:2" x14ac:dyDescent="0.2">
      <c r="A2053" t="s">
        <v>2024</v>
      </c>
      <c r="B2053" t="s">
        <v>1</v>
      </c>
    </row>
    <row r="2054" spans="1:2" x14ac:dyDescent="0.2">
      <c r="A2054" t="s">
        <v>1313</v>
      </c>
      <c r="B2054" t="s">
        <v>1</v>
      </c>
    </row>
    <row r="2055" spans="1:2" x14ac:dyDescent="0.2">
      <c r="A2055" t="s">
        <v>2025</v>
      </c>
      <c r="B2055" t="s">
        <v>1</v>
      </c>
    </row>
    <row r="2056" spans="1:2" x14ac:dyDescent="0.2">
      <c r="A2056" t="s">
        <v>2026</v>
      </c>
      <c r="B2056" t="s">
        <v>1</v>
      </c>
    </row>
    <row r="2057" spans="1:2" x14ac:dyDescent="0.2">
      <c r="A2057" t="s">
        <v>2027</v>
      </c>
      <c r="B2057" t="s">
        <v>1</v>
      </c>
    </row>
    <row r="2058" spans="1:2" x14ac:dyDescent="0.2">
      <c r="A2058" t="s">
        <v>2028</v>
      </c>
      <c r="B2058" t="s">
        <v>1</v>
      </c>
    </row>
    <row r="2059" spans="1:2" x14ac:dyDescent="0.2">
      <c r="A2059" t="s">
        <v>2029</v>
      </c>
      <c r="B2059" t="s">
        <v>1</v>
      </c>
    </row>
    <row r="2060" spans="1:2" x14ac:dyDescent="0.2">
      <c r="A2060" t="s">
        <v>2030</v>
      </c>
      <c r="B2060" t="s">
        <v>1</v>
      </c>
    </row>
    <row r="2061" spans="1:2" x14ac:dyDescent="0.2">
      <c r="A2061" t="s">
        <v>2031</v>
      </c>
      <c r="B2061" t="s">
        <v>1</v>
      </c>
    </row>
    <row r="2062" spans="1:2" x14ac:dyDescent="0.2">
      <c r="A2062" t="s">
        <v>2032</v>
      </c>
      <c r="B2062" t="s">
        <v>1</v>
      </c>
    </row>
    <row r="2063" spans="1:2" x14ac:dyDescent="0.2">
      <c r="A2063" t="s">
        <v>2033</v>
      </c>
      <c r="B2063" t="s">
        <v>1</v>
      </c>
    </row>
    <row r="2064" spans="1:2" x14ac:dyDescent="0.2">
      <c r="A2064" t="s">
        <v>2034</v>
      </c>
      <c r="B2064" t="s">
        <v>1</v>
      </c>
    </row>
    <row r="2065" spans="1:2" x14ac:dyDescent="0.2">
      <c r="A2065" t="s">
        <v>2035</v>
      </c>
      <c r="B2065" t="s">
        <v>1</v>
      </c>
    </row>
    <row r="2066" spans="1:2" x14ac:dyDescent="0.2">
      <c r="A2066" t="s">
        <v>2036</v>
      </c>
      <c r="B2066" t="s">
        <v>1</v>
      </c>
    </row>
    <row r="2067" spans="1:2" x14ac:dyDescent="0.2">
      <c r="A2067" t="s">
        <v>2037</v>
      </c>
      <c r="B2067" t="s">
        <v>1</v>
      </c>
    </row>
    <row r="2068" spans="1:2" x14ac:dyDescent="0.2">
      <c r="A2068" t="s">
        <v>2038</v>
      </c>
      <c r="B2068" t="s">
        <v>1</v>
      </c>
    </row>
    <row r="2069" spans="1:2" x14ac:dyDescent="0.2">
      <c r="A2069" t="s">
        <v>2039</v>
      </c>
      <c r="B2069" t="s">
        <v>1</v>
      </c>
    </row>
    <row r="2070" spans="1:2" x14ac:dyDescent="0.2">
      <c r="A2070" t="s">
        <v>2040</v>
      </c>
      <c r="B2070" t="s">
        <v>1</v>
      </c>
    </row>
    <row r="2071" spans="1:2" x14ac:dyDescent="0.2">
      <c r="A2071" t="s">
        <v>2041</v>
      </c>
      <c r="B2071" t="s">
        <v>1</v>
      </c>
    </row>
    <row r="2072" spans="1:2" x14ac:dyDescent="0.2">
      <c r="A2072" t="s">
        <v>2042</v>
      </c>
      <c r="B2072" t="s">
        <v>1</v>
      </c>
    </row>
    <row r="2073" spans="1:2" x14ac:dyDescent="0.2">
      <c r="A2073" t="s">
        <v>2043</v>
      </c>
      <c r="B2073" t="s">
        <v>1</v>
      </c>
    </row>
    <row r="2074" spans="1:2" x14ac:dyDescent="0.2">
      <c r="A2074" t="s">
        <v>2044</v>
      </c>
      <c r="B2074" t="s">
        <v>1</v>
      </c>
    </row>
    <row r="2075" spans="1:2" x14ac:dyDescent="0.2">
      <c r="A2075" t="s">
        <v>2045</v>
      </c>
      <c r="B2075" t="s">
        <v>1</v>
      </c>
    </row>
    <row r="2076" spans="1:2" x14ac:dyDescent="0.2">
      <c r="A2076" t="s">
        <v>2046</v>
      </c>
      <c r="B2076" t="s">
        <v>1</v>
      </c>
    </row>
    <row r="2077" spans="1:2" x14ac:dyDescent="0.2">
      <c r="A2077" t="s">
        <v>2047</v>
      </c>
      <c r="B2077" t="s">
        <v>1</v>
      </c>
    </row>
    <row r="2078" spans="1:2" x14ac:dyDescent="0.2">
      <c r="A2078" t="s">
        <v>2048</v>
      </c>
      <c r="B2078" t="s">
        <v>1</v>
      </c>
    </row>
    <row r="2079" spans="1:2" x14ac:dyDescent="0.2">
      <c r="A2079" t="s">
        <v>2049</v>
      </c>
      <c r="B2079" t="s">
        <v>1</v>
      </c>
    </row>
    <row r="2080" spans="1:2" x14ac:dyDescent="0.2">
      <c r="A2080" t="s">
        <v>2050</v>
      </c>
      <c r="B2080" t="s">
        <v>1</v>
      </c>
    </row>
    <row r="2081" spans="1:2" x14ac:dyDescent="0.2">
      <c r="A2081" t="s">
        <v>1499</v>
      </c>
      <c r="B2081" t="s">
        <v>1</v>
      </c>
    </row>
    <row r="2082" spans="1:2" x14ac:dyDescent="0.2">
      <c r="A2082" t="s">
        <v>2051</v>
      </c>
      <c r="B2082" t="s">
        <v>1</v>
      </c>
    </row>
    <row r="2083" spans="1:2" x14ac:dyDescent="0.2">
      <c r="A2083" t="s">
        <v>2052</v>
      </c>
      <c r="B2083" t="s">
        <v>1</v>
      </c>
    </row>
    <row r="2084" spans="1:2" x14ac:dyDescent="0.2">
      <c r="A2084" t="s">
        <v>2053</v>
      </c>
      <c r="B2084" t="s">
        <v>1</v>
      </c>
    </row>
    <row r="2085" spans="1:2" x14ac:dyDescent="0.2">
      <c r="A2085" t="s">
        <v>2054</v>
      </c>
      <c r="B2085" t="s">
        <v>1</v>
      </c>
    </row>
    <row r="2086" spans="1:2" x14ac:dyDescent="0.2">
      <c r="A2086" t="s">
        <v>2055</v>
      </c>
      <c r="B2086" t="s">
        <v>1</v>
      </c>
    </row>
    <row r="2087" spans="1:2" x14ac:dyDescent="0.2">
      <c r="A2087" t="s">
        <v>2056</v>
      </c>
      <c r="B2087" t="s">
        <v>1</v>
      </c>
    </row>
    <row r="2088" spans="1:2" x14ac:dyDescent="0.2">
      <c r="A2088" t="s">
        <v>2057</v>
      </c>
      <c r="B2088" t="s">
        <v>1</v>
      </c>
    </row>
    <row r="2089" spans="1:2" x14ac:dyDescent="0.2">
      <c r="A2089" t="s">
        <v>2058</v>
      </c>
      <c r="B2089" t="s">
        <v>1</v>
      </c>
    </row>
    <row r="2090" spans="1:2" x14ac:dyDescent="0.2">
      <c r="A2090" t="s">
        <v>2059</v>
      </c>
      <c r="B2090" t="s">
        <v>1</v>
      </c>
    </row>
    <row r="2091" spans="1:2" x14ac:dyDescent="0.2">
      <c r="A2091" t="s">
        <v>2060</v>
      </c>
      <c r="B2091" t="s">
        <v>1</v>
      </c>
    </row>
    <row r="2092" spans="1:2" x14ac:dyDescent="0.2">
      <c r="A2092" t="s">
        <v>2061</v>
      </c>
      <c r="B2092" t="s">
        <v>1</v>
      </c>
    </row>
    <row r="2093" spans="1:2" x14ac:dyDescent="0.2">
      <c r="A2093" t="s">
        <v>2062</v>
      </c>
      <c r="B2093" t="s">
        <v>1</v>
      </c>
    </row>
    <row r="2094" spans="1:2" x14ac:dyDescent="0.2">
      <c r="A2094" t="s">
        <v>1507</v>
      </c>
      <c r="B2094" t="s">
        <v>1</v>
      </c>
    </row>
    <row r="2095" spans="1:2" x14ac:dyDescent="0.2">
      <c r="A2095" t="s">
        <v>2063</v>
      </c>
      <c r="B2095" t="s">
        <v>1</v>
      </c>
    </row>
    <row r="2096" spans="1:2" x14ac:dyDescent="0.2">
      <c r="A2096" t="s">
        <v>2064</v>
      </c>
      <c r="B2096" t="s">
        <v>1</v>
      </c>
    </row>
    <row r="2097" spans="1:2" x14ac:dyDescent="0.2">
      <c r="A2097" t="s">
        <v>2065</v>
      </c>
      <c r="B2097" t="s">
        <v>1</v>
      </c>
    </row>
    <row r="2098" spans="1:2" x14ac:dyDescent="0.2">
      <c r="A2098" t="s">
        <v>2066</v>
      </c>
      <c r="B2098" t="s">
        <v>1</v>
      </c>
    </row>
    <row r="2099" spans="1:2" x14ac:dyDescent="0.2">
      <c r="A2099" t="s">
        <v>2067</v>
      </c>
      <c r="B2099" t="s">
        <v>1</v>
      </c>
    </row>
    <row r="2100" spans="1:2" x14ac:dyDescent="0.2">
      <c r="A2100" t="s">
        <v>2068</v>
      </c>
      <c r="B2100" t="s">
        <v>1</v>
      </c>
    </row>
    <row r="2101" spans="1:2" x14ac:dyDescent="0.2">
      <c r="A2101" t="s">
        <v>2069</v>
      </c>
      <c r="B2101" t="s">
        <v>1</v>
      </c>
    </row>
    <row r="2102" spans="1:2" x14ac:dyDescent="0.2">
      <c r="A2102" t="s">
        <v>1519</v>
      </c>
      <c r="B2102" t="s">
        <v>1</v>
      </c>
    </row>
    <row r="2103" spans="1:2" x14ac:dyDescent="0.2">
      <c r="A2103" t="s">
        <v>1521</v>
      </c>
      <c r="B2103" t="s">
        <v>1</v>
      </c>
    </row>
    <row r="2104" spans="1:2" x14ac:dyDescent="0.2">
      <c r="A2104" t="s">
        <v>2070</v>
      </c>
      <c r="B2104" t="s">
        <v>1</v>
      </c>
    </row>
    <row r="2105" spans="1:2" x14ac:dyDescent="0.2">
      <c r="A2105" t="s">
        <v>2071</v>
      </c>
      <c r="B2105" t="s">
        <v>1</v>
      </c>
    </row>
    <row r="2106" spans="1:2" x14ac:dyDescent="0.2">
      <c r="A2106" t="s">
        <v>2072</v>
      </c>
      <c r="B2106" t="s">
        <v>1</v>
      </c>
    </row>
    <row r="2107" spans="1:2" x14ac:dyDescent="0.2">
      <c r="A2107" t="s">
        <v>2073</v>
      </c>
      <c r="B2107" t="s">
        <v>1</v>
      </c>
    </row>
    <row r="2108" spans="1:2" x14ac:dyDescent="0.2">
      <c r="A2108" t="s">
        <v>2074</v>
      </c>
      <c r="B2108" t="s">
        <v>1</v>
      </c>
    </row>
    <row r="2109" spans="1:2" x14ac:dyDescent="0.2">
      <c r="A2109" t="s">
        <v>2075</v>
      </c>
      <c r="B2109" t="s">
        <v>1</v>
      </c>
    </row>
    <row r="2110" spans="1:2" x14ac:dyDescent="0.2">
      <c r="A2110" t="s">
        <v>2076</v>
      </c>
      <c r="B2110" t="s">
        <v>1</v>
      </c>
    </row>
    <row r="2111" spans="1:2" x14ac:dyDescent="0.2">
      <c r="A2111" t="s">
        <v>1533</v>
      </c>
      <c r="B2111" t="s">
        <v>1</v>
      </c>
    </row>
    <row r="2112" spans="1:2" x14ac:dyDescent="0.2">
      <c r="A2112" t="s">
        <v>2077</v>
      </c>
      <c r="B2112" t="s">
        <v>1</v>
      </c>
    </row>
    <row r="2113" spans="1:2" x14ac:dyDescent="0.2">
      <c r="A2113" t="s">
        <v>2078</v>
      </c>
      <c r="B2113" t="s">
        <v>1</v>
      </c>
    </row>
    <row r="2114" spans="1:2" x14ac:dyDescent="0.2">
      <c r="A2114" t="s">
        <v>2079</v>
      </c>
      <c r="B2114" t="s">
        <v>1</v>
      </c>
    </row>
    <row r="2115" spans="1:2" x14ac:dyDescent="0.2">
      <c r="A2115" t="s">
        <v>2080</v>
      </c>
      <c r="B2115" t="s">
        <v>1</v>
      </c>
    </row>
    <row r="2116" spans="1:2" x14ac:dyDescent="0.2">
      <c r="A2116" t="s">
        <v>2081</v>
      </c>
      <c r="B2116" t="s">
        <v>1</v>
      </c>
    </row>
    <row r="2117" spans="1:2" x14ac:dyDescent="0.2">
      <c r="A2117" t="s">
        <v>2082</v>
      </c>
      <c r="B2117" t="s">
        <v>1</v>
      </c>
    </row>
    <row r="2118" spans="1:2" x14ac:dyDescent="0.2">
      <c r="A2118" t="s">
        <v>2083</v>
      </c>
      <c r="B2118" t="s">
        <v>1</v>
      </c>
    </row>
    <row r="2119" spans="1:2" x14ac:dyDescent="0.2">
      <c r="A2119" t="s">
        <v>2084</v>
      </c>
      <c r="B2119" t="s">
        <v>1</v>
      </c>
    </row>
    <row r="2120" spans="1:2" x14ac:dyDescent="0.2">
      <c r="A2120" t="s">
        <v>2085</v>
      </c>
      <c r="B2120" t="s">
        <v>1</v>
      </c>
    </row>
    <row r="2121" spans="1:2" x14ac:dyDescent="0.2">
      <c r="A2121" t="s">
        <v>2086</v>
      </c>
      <c r="B2121" t="s">
        <v>1</v>
      </c>
    </row>
    <row r="2122" spans="1:2" x14ac:dyDescent="0.2">
      <c r="A2122" t="s">
        <v>2087</v>
      </c>
      <c r="B2122" t="s">
        <v>1</v>
      </c>
    </row>
    <row r="2123" spans="1:2" x14ac:dyDescent="0.2">
      <c r="A2123" t="s">
        <v>2088</v>
      </c>
      <c r="B2123" t="s">
        <v>1</v>
      </c>
    </row>
    <row r="2124" spans="1:2" x14ac:dyDescent="0.2">
      <c r="A2124" t="s">
        <v>2089</v>
      </c>
      <c r="B2124" t="s">
        <v>1</v>
      </c>
    </row>
    <row r="2125" spans="1:2" x14ac:dyDescent="0.2">
      <c r="A2125" t="s">
        <v>2090</v>
      </c>
      <c r="B2125" t="s">
        <v>1</v>
      </c>
    </row>
    <row r="2126" spans="1:2" x14ac:dyDescent="0.2">
      <c r="A2126" t="s">
        <v>2091</v>
      </c>
      <c r="B2126" t="s">
        <v>1</v>
      </c>
    </row>
    <row r="2127" spans="1:2" x14ac:dyDescent="0.2">
      <c r="A2127" t="s">
        <v>2092</v>
      </c>
      <c r="B2127" t="s">
        <v>1</v>
      </c>
    </row>
    <row r="2128" spans="1:2" x14ac:dyDescent="0.2">
      <c r="A2128" t="s">
        <v>2093</v>
      </c>
      <c r="B2128" t="s">
        <v>1</v>
      </c>
    </row>
    <row r="2129" spans="1:2" x14ac:dyDescent="0.2">
      <c r="A2129" t="s">
        <v>2094</v>
      </c>
      <c r="B2129" t="s">
        <v>1</v>
      </c>
    </row>
    <row r="2130" spans="1:2" x14ac:dyDescent="0.2">
      <c r="A2130" t="s">
        <v>2095</v>
      </c>
      <c r="B2130" t="s">
        <v>1</v>
      </c>
    </row>
    <row r="2131" spans="1:2" x14ac:dyDescent="0.2">
      <c r="A2131" t="s">
        <v>2096</v>
      </c>
      <c r="B2131" t="s">
        <v>1</v>
      </c>
    </row>
    <row r="2132" spans="1:2" x14ac:dyDescent="0.2">
      <c r="A2132" t="s">
        <v>2097</v>
      </c>
      <c r="B2132" t="s">
        <v>1</v>
      </c>
    </row>
    <row r="2133" spans="1:2" x14ac:dyDescent="0.2">
      <c r="A2133" t="s">
        <v>2098</v>
      </c>
      <c r="B2133" t="s">
        <v>1</v>
      </c>
    </row>
    <row r="2134" spans="1:2" x14ac:dyDescent="0.2">
      <c r="A2134" t="s">
        <v>2099</v>
      </c>
      <c r="B2134" t="s">
        <v>1</v>
      </c>
    </row>
    <row r="2135" spans="1:2" x14ac:dyDescent="0.2">
      <c r="A2135" t="s">
        <v>2100</v>
      </c>
      <c r="B2135" t="s">
        <v>1</v>
      </c>
    </row>
    <row r="2136" spans="1:2" x14ac:dyDescent="0.2">
      <c r="A2136" t="s">
        <v>2101</v>
      </c>
      <c r="B2136" t="s">
        <v>1</v>
      </c>
    </row>
    <row r="2137" spans="1:2" x14ac:dyDescent="0.2">
      <c r="A2137" t="s">
        <v>2102</v>
      </c>
      <c r="B2137" t="s">
        <v>1</v>
      </c>
    </row>
    <row r="2138" spans="1:2" x14ac:dyDescent="0.2">
      <c r="A2138" t="s">
        <v>2103</v>
      </c>
      <c r="B2138" t="s">
        <v>1</v>
      </c>
    </row>
    <row r="2139" spans="1:2" x14ac:dyDescent="0.2">
      <c r="A2139" t="s">
        <v>2104</v>
      </c>
      <c r="B2139" t="s">
        <v>1</v>
      </c>
    </row>
    <row r="2140" spans="1:2" x14ac:dyDescent="0.2">
      <c r="A2140" t="s">
        <v>2105</v>
      </c>
      <c r="B2140" t="s">
        <v>1</v>
      </c>
    </row>
    <row r="2141" spans="1:2" x14ac:dyDescent="0.2">
      <c r="A2141" t="s">
        <v>2106</v>
      </c>
      <c r="B2141" t="s">
        <v>1</v>
      </c>
    </row>
    <row r="2142" spans="1:2" x14ac:dyDescent="0.2">
      <c r="A2142" t="s">
        <v>2107</v>
      </c>
      <c r="B2142" t="s">
        <v>1</v>
      </c>
    </row>
    <row r="2143" spans="1:2" x14ac:dyDescent="0.2">
      <c r="A2143" t="s">
        <v>2108</v>
      </c>
      <c r="B2143" t="s">
        <v>1</v>
      </c>
    </row>
    <row r="2144" spans="1:2" x14ac:dyDescent="0.2">
      <c r="A2144" t="s">
        <v>1563</v>
      </c>
      <c r="B2144" t="s">
        <v>1</v>
      </c>
    </row>
    <row r="2145" spans="1:2" x14ac:dyDescent="0.2">
      <c r="A2145" t="s">
        <v>2109</v>
      </c>
      <c r="B2145" t="s">
        <v>1</v>
      </c>
    </row>
    <row r="2146" spans="1:2" x14ac:dyDescent="0.2">
      <c r="A2146" t="s">
        <v>2110</v>
      </c>
      <c r="B2146" t="s">
        <v>1</v>
      </c>
    </row>
    <row r="2147" spans="1:2" x14ac:dyDescent="0.2">
      <c r="A2147" t="s">
        <v>2111</v>
      </c>
      <c r="B2147" t="s">
        <v>1</v>
      </c>
    </row>
    <row r="2148" spans="1:2" x14ac:dyDescent="0.2">
      <c r="A2148" t="s">
        <v>2112</v>
      </c>
      <c r="B2148" t="s">
        <v>1</v>
      </c>
    </row>
    <row r="2149" spans="1:2" x14ac:dyDescent="0.2">
      <c r="A2149" t="s">
        <v>1571</v>
      </c>
      <c r="B2149" t="s">
        <v>1</v>
      </c>
    </row>
    <row r="2150" spans="1:2" x14ac:dyDescent="0.2">
      <c r="A2150" t="s">
        <v>2113</v>
      </c>
      <c r="B2150" t="s">
        <v>1</v>
      </c>
    </row>
    <row r="2151" spans="1:2" x14ac:dyDescent="0.2">
      <c r="A2151" t="s">
        <v>2114</v>
      </c>
      <c r="B2151" t="s">
        <v>1</v>
      </c>
    </row>
    <row r="2152" spans="1:2" x14ac:dyDescent="0.2">
      <c r="A2152" t="s">
        <v>2115</v>
      </c>
      <c r="B2152" t="s">
        <v>1</v>
      </c>
    </row>
    <row r="2153" spans="1:2" x14ac:dyDescent="0.2">
      <c r="A2153" t="s">
        <v>2116</v>
      </c>
      <c r="B2153" t="s">
        <v>1</v>
      </c>
    </row>
    <row r="2154" spans="1:2" x14ac:dyDescent="0.2">
      <c r="A2154" t="s">
        <v>2117</v>
      </c>
      <c r="B2154" t="s">
        <v>1</v>
      </c>
    </row>
    <row r="2155" spans="1:2" x14ac:dyDescent="0.2">
      <c r="A2155" t="s">
        <v>2115</v>
      </c>
      <c r="B2155" t="s">
        <v>1</v>
      </c>
    </row>
    <row r="2156" spans="1:2" x14ac:dyDescent="0.2">
      <c r="A2156" t="s">
        <v>2116</v>
      </c>
      <c r="B2156" t="s">
        <v>1</v>
      </c>
    </row>
    <row r="2157" spans="1:2" x14ac:dyDescent="0.2">
      <c r="A2157" t="s">
        <v>2117</v>
      </c>
      <c r="B2157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2DC0F-EACE-3D41-A309-74001F43F160}">
  <sheetPr codeName="Sheet3"/>
  <dimension ref="A1:E867"/>
  <sheetViews>
    <sheetView zoomScale="160" zoomScaleNormal="160" workbookViewId="0">
      <selection activeCell="A18" sqref="A18"/>
    </sheetView>
  </sheetViews>
  <sheetFormatPr baseColWidth="10" defaultColWidth="11" defaultRowHeight="16" x14ac:dyDescent="0.2"/>
  <cols>
    <col min="1" max="1" width="60.33203125" bestFit="1" customWidth="1"/>
    <col min="2" max="2" width="57.1640625" bestFit="1" customWidth="1"/>
    <col min="3" max="3" width="12.6640625" bestFit="1" customWidth="1"/>
    <col min="4" max="4" width="13" style="1" bestFit="1" customWidth="1"/>
    <col min="5" max="5" width="14.33203125" bestFit="1" customWidth="1"/>
  </cols>
  <sheetData>
    <row r="1" spans="1:5" x14ac:dyDescent="0.2">
      <c r="A1" t="s">
        <v>2982</v>
      </c>
      <c r="B1" t="s">
        <v>2984</v>
      </c>
      <c r="C1" t="s">
        <v>2985</v>
      </c>
      <c r="D1" s="1" t="s">
        <v>2986</v>
      </c>
      <c r="E1" t="s">
        <v>2990</v>
      </c>
    </row>
    <row r="2" spans="1:5" x14ac:dyDescent="0.2">
      <c r="A2" t="s">
        <v>2118</v>
      </c>
      <c r="B2" t="s">
        <v>953</v>
      </c>
      <c r="C2" t="s">
        <v>1</v>
      </c>
      <c r="D2" s="1">
        <v>0.48275861144065857</v>
      </c>
      <c r="E2" t="s">
        <v>2987</v>
      </c>
    </row>
    <row r="3" spans="1:5" x14ac:dyDescent="0.2">
      <c r="A3" t="s">
        <v>2119</v>
      </c>
      <c r="B3" t="s">
        <v>955</v>
      </c>
      <c r="C3" t="s">
        <v>1</v>
      </c>
      <c r="D3" s="1">
        <v>0.65116280317306519</v>
      </c>
      <c r="E3" t="s">
        <v>2987</v>
      </c>
    </row>
    <row r="4" spans="1:5" x14ac:dyDescent="0.2">
      <c r="A4" t="s">
        <v>2120</v>
      </c>
      <c r="B4" t="s">
        <v>470</v>
      </c>
      <c r="C4" t="s">
        <v>0</v>
      </c>
      <c r="D4" s="1">
        <v>0.69387757778167725</v>
      </c>
      <c r="E4" t="s">
        <v>2987</v>
      </c>
    </row>
    <row r="5" spans="1:5" x14ac:dyDescent="0.2">
      <c r="A5" t="s">
        <v>2121</v>
      </c>
      <c r="B5" t="s">
        <v>472</v>
      </c>
      <c r="C5" t="s">
        <v>0</v>
      </c>
      <c r="D5" s="1">
        <v>0.6808510422706604</v>
      </c>
      <c r="E5" t="s">
        <v>2987</v>
      </c>
    </row>
    <row r="6" spans="1:5" x14ac:dyDescent="0.2">
      <c r="A6" t="s">
        <v>2122</v>
      </c>
      <c r="B6" t="s">
        <v>2988</v>
      </c>
      <c r="C6" t="s">
        <v>2988</v>
      </c>
      <c r="D6" s="1">
        <v>0.125</v>
      </c>
      <c r="E6" t="s">
        <v>2987</v>
      </c>
    </row>
    <row r="7" spans="1:5" x14ac:dyDescent="0.2">
      <c r="A7" t="s">
        <v>2123</v>
      </c>
      <c r="B7" t="s">
        <v>2988</v>
      </c>
      <c r="C7" t="s">
        <v>2988</v>
      </c>
      <c r="D7" s="1">
        <v>0.1428571492433548</v>
      </c>
      <c r="E7" t="s">
        <v>2987</v>
      </c>
    </row>
    <row r="8" spans="1:5" x14ac:dyDescent="0.2">
      <c r="A8" t="s">
        <v>2124</v>
      </c>
      <c r="B8" t="s">
        <v>2988</v>
      </c>
      <c r="C8" t="s">
        <v>2988</v>
      </c>
      <c r="D8" s="1">
        <v>0</v>
      </c>
      <c r="E8" t="s">
        <v>2987</v>
      </c>
    </row>
    <row r="9" spans="1:5" x14ac:dyDescent="0.2">
      <c r="A9" t="s">
        <v>2125</v>
      </c>
      <c r="B9" t="s">
        <v>2988</v>
      </c>
      <c r="C9" t="s">
        <v>2988</v>
      </c>
      <c r="D9" s="1">
        <v>0</v>
      </c>
      <c r="E9" t="s">
        <v>2987</v>
      </c>
    </row>
    <row r="10" spans="1:5" x14ac:dyDescent="0.2">
      <c r="A10" t="s">
        <v>2126</v>
      </c>
      <c r="B10" t="s">
        <v>1993</v>
      </c>
      <c r="C10" t="s">
        <v>1</v>
      </c>
      <c r="D10" s="1">
        <v>0.40000000596046448</v>
      </c>
      <c r="E10" t="s">
        <v>2987</v>
      </c>
    </row>
    <row r="11" spans="1:5" x14ac:dyDescent="0.2">
      <c r="A11" t="s">
        <v>2127</v>
      </c>
      <c r="B11" t="s">
        <v>1366</v>
      </c>
      <c r="C11" t="s">
        <v>1</v>
      </c>
      <c r="D11" s="1">
        <v>1</v>
      </c>
      <c r="E11" t="s">
        <v>2987</v>
      </c>
    </row>
    <row r="12" spans="1:5" x14ac:dyDescent="0.2">
      <c r="A12" t="s">
        <v>2128</v>
      </c>
      <c r="B12" t="s">
        <v>1368</v>
      </c>
      <c r="C12" t="s">
        <v>1</v>
      </c>
      <c r="D12" s="1">
        <v>0.51724135875701904</v>
      </c>
      <c r="E12" t="s">
        <v>2987</v>
      </c>
    </row>
    <row r="13" spans="1:5" x14ac:dyDescent="0.2">
      <c r="A13" t="s">
        <v>2129</v>
      </c>
      <c r="B13" t="s">
        <v>1368</v>
      </c>
      <c r="C13" t="s">
        <v>1</v>
      </c>
      <c r="D13" s="1">
        <v>0.45454546809196472</v>
      </c>
      <c r="E13" t="s">
        <v>2987</v>
      </c>
    </row>
    <row r="14" spans="1:5" x14ac:dyDescent="0.2">
      <c r="A14" t="s">
        <v>2130</v>
      </c>
      <c r="B14" t="s">
        <v>1370</v>
      </c>
      <c r="C14" t="s">
        <v>1</v>
      </c>
      <c r="D14" s="1">
        <v>0.51724135875701904</v>
      </c>
      <c r="E14" t="s">
        <v>2987</v>
      </c>
    </row>
    <row r="15" spans="1:5" x14ac:dyDescent="0.2">
      <c r="A15" t="s">
        <v>2131</v>
      </c>
      <c r="B15" t="s">
        <v>1370</v>
      </c>
      <c r="C15" t="s">
        <v>1</v>
      </c>
      <c r="D15" s="1">
        <v>0.45454546809196472</v>
      </c>
      <c r="E15" t="s">
        <v>2987</v>
      </c>
    </row>
    <row r="16" spans="1:5" x14ac:dyDescent="0.2">
      <c r="A16" t="s">
        <v>2132</v>
      </c>
      <c r="B16" t="s">
        <v>814</v>
      </c>
      <c r="C16" t="s">
        <v>0</v>
      </c>
      <c r="D16" s="1">
        <v>0.36363637447357178</v>
      </c>
      <c r="E16" t="s">
        <v>2989</v>
      </c>
    </row>
    <row r="17" spans="1:5" x14ac:dyDescent="0.2">
      <c r="A17" t="s">
        <v>2133</v>
      </c>
      <c r="B17" t="s">
        <v>1938</v>
      </c>
      <c r="C17" t="s">
        <v>1</v>
      </c>
      <c r="D17" s="1">
        <v>0.53846156597137451</v>
      </c>
      <c r="E17" t="s">
        <v>2987</v>
      </c>
    </row>
    <row r="18" spans="1:5" x14ac:dyDescent="0.2">
      <c r="A18" t="s">
        <v>2134</v>
      </c>
      <c r="B18" t="s">
        <v>2073</v>
      </c>
      <c r="C18" t="s">
        <v>1</v>
      </c>
      <c r="D18" s="1">
        <v>0.3125</v>
      </c>
      <c r="E18" t="s">
        <v>2989</v>
      </c>
    </row>
    <row r="19" spans="1:5" x14ac:dyDescent="0.2">
      <c r="A19" t="s">
        <v>2135</v>
      </c>
      <c r="B19" t="s">
        <v>1945</v>
      </c>
      <c r="C19" t="s">
        <v>1</v>
      </c>
      <c r="D19" s="1">
        <v>0.53846156597137451</v>
      </c>
      <c r="E19" t="s">
        <v>2987</v>
      </c>
    </row>
    <row r="20" spans="1:5" x14ac:dyDescent="0.2">
      <c r="A20" t="s">
        <v>2136</v>
      </c>
      <c r="B20" t="s">
        <v>2988</v>
      </c>
      <c r="C20" t="s">
        <v>2988</v>
      </c>
      <c r="D20" s="1">
        <v>0</v>
      </c>
      <c r="E20" t="s">
        <v>2987</v>
      </c>
    </row>
    <row r="21" spans="1:5" x14ac:dyDescent="0.2">
      <c r="A21" t="s">
        <v>2137</v>
      </c>
      <c r="B21" t="s">
        <v>1655</v>
      </c>
      <c r="C21" t="s">
        <v>1</v>
      </c>
      <c r="D21" s="1">
        <v>0.45161288976669312</v>
      </c>
      <c r="E21" t="s">
        <v>2987</v>
      </c>
    </row>
    <row r="22" spans="1:5" x14ac:dyDescent="0.2">
      <c r="A22" t="s">
        <v>2138</v>
      </c>
      <c r="B22" t="s">
        <v>1655</v>
      </c>
      <c r="C22" t="s">
        <v>1</v>
      </c>
      <c r="D22" s="1">
        <v>0.5</v>
      </c>
      <c r="E22" t="s">
        <v>2987</v>
      </c>
    </row>
    <row r="23" spans="1:5" x14ac:dyDescent="0.2">
      <c r="A23" t="s">
        <v>2139</v>
      </c>
      <c r="B23" t="s">
        <v>2988</v>
      </c>
      <c r="C23" t="s">
        <v>2988</v>
      </c>
      <c r="D23" s="1">
        <v>9.0909093618392944E-2</v>
      </c>
      <c r="E23" t="s">
        <v>2987</v>
      </c>
    </row>
    <row r="24" spans="1:5" x14ac:dyDescent="0.2">
      <c r="A24" t="s">
        <v>2140</v>
      </c>
      <c r="B24" t="s">
        <v>2988</v>
      </c>
      <c r="C24" t="s">
        <v>2988</v>
      </c>
      <c r="D24" s="1">
        <v>0</v>
      </c>
      <c r="E24" t="s">
        <v>2987</v>
      </c>
    </row>
    <row r="25" spans="1:5" x14ac:dyDescent="0.2">
      <c r="A25" t="s">
        <v>2141</v>
      </c>
      <c r="B25" t="s">
        <v>1582</v>
      </c>
      <c r="C25" t="s">
        <v>1</v>
      </c>
      <c r="D25" s="1">
        <v>0.32258063554763794</v>
      </c>
      <c r="E25" t="s">
        <v>2989</v>
      </c>
    </row>
    <row r="26" spans="1:5" x14ac:dyDescent="0.2">
      <c r="A26" t="s">
        <v>2142</v>
      </c>
      <c r="B26" t="s">
        <v>904</v>
      </c>
      <c r="C26" t="s">
        <v>0</v>
      </c>
      <c r="D26" s="1">
        <v>0.4444444477558136</v>
      </c>
      <c r="E26" t="s">
        <v>2987</v>
      </c>
    </row>
    <row r="27" spans="1:5" x14ac:dyDescent="0.2">
      <c r="A27" t="s">
        <v>2143</v>
      </c>
      <c r="B27" t="s">
        <v>814</v>
      </c>
      <c r="C27" t="s">
        <v>0</v>
      </c>
      <c r="D27" s="1">
        <v>1</v>
      </c>
      <c r="E27" t="s">
        <v>2987</v>
      </c>
    </row>
    <row r="28" spans="1:5" x14ac:dyDescent="0.2">
      <c r="A28" t="s">
        <v>2144</v>
      </c>
      <c r="B28" t="s">
        <v>1467</v>
      </c>
      <c r="C28" t="s">
        <v>1</v>
      </c>
      <c r="D28" s="1">
        <v>1</v>
      </c>
      <c r="E28" t="s">
        <v>2987</v>
      </c>
    </row>
    <row r="29" spans="1:5" x14ac:dyDescent="0.2">
      <c r="A29" t="s">
        <v>2145</v>
      </c>
      <c r="B29" t="s">
        <v>816</v>
      </c>
      <c r="C29" t="s">
        <v>0</v>
      </c>
      <c r="D29" s="1">
        <v>1</v>
      </c>
      <c r="E29" t="s">
        <v>2987</v>
      </c>
    </row>
    <row r="30" spans="1:5" x14ac:dyDescent="0.2">
      <c r="A30" t="s">
        <v>2146</v>
      </c>
      <c r="B30" t="s">
        <v>2988</v>
      </c>
      <c r="C30" t="s">
        <v>2988</v>
      </c>
      <c r="D30" s="1">
        <v>0</v>
      </c>
      <c r="E30" t="s">
        <v>2987</v>
      </c>
    </row>
    <row r="31" spans="1:5" x14ac:dyDescent="0.2">
      <c r="A31" t="s">
        <v>2147</v>
      </c>
      <c r="B31" t="s">
        <v>1585</v>
      </c>
      <c r="C31" t="s">
        <v>1</v>
      </c>
      <c r="D31" s="1">
        <v>0.56140351295471191</v>
      </c>
      <c r="E31" t="s">
        <v>2987</v>
      </c>
    </row>
    <row r="32" spans="1:5" x14ac:dyDescent="0.2">
      <c r="A32" t="s">
        <v>2148</v>
      </c>
      <c r="B32" t="s">
        <v>1585</v>
      </c>
      <c r="C32" t="s">
        <v>1</v>
      </c>
      <c r="D32" s="1">
        <v>0.29310345649719238</v>
      </c>
      <c r="E32" t="s">
        <v>2989</v>
      </c>
    </row>
    <row r="33" spans="1:5" x14ac:dyDescent="0.2">
      <c r="A33" t="s">
        <v>2149</v>
      </c>
      <c r="B33" t="s">
        <v>1257</v>
      </c>
      <c r="C33" t="s">
        <v>1</v>
      </c>
      <c r="D33" s="1">
        <v>0.44186046719551086</v>
      </c>
      <c r="E33" t="s">
        <v>2987</v>
      </c>
    </row>
    <row r="34" spans="1:5" x14ac:dyDescent="0.2">
      <c r="A34" t="s">
        <v>2150</v>
      </c>
      <c r="B34" t="s">
        <v>1467</v>
      </c>
      <c r="C34" t="s">
        <v>1</v>
      </c>
      <c r="D34" s="1">
        <v>0.3571428656578064</v>
      </c>
      <c r="E34" t="s">
        <v>2989</v>
      </c>
    </row>
    <row r="35" spans="1:5" x14ac:dyDescent="0.2">
      <c r="A35" t="s">
        <v>2151</v>
      </c>
      <c r="B35" t="s">
        <v>714</v>
      </c>
      <c r="C35" t="s">
        <v>0</v>
      </c>
      <c r="D35" s="1">
        <v>0.46428570151329041</v>
      </c>
      <c r="E35" t="s">
        <v>2987</v>
      </c>
    </row>
    <row r="36" spans="1:5" x14ac:dyDescent="0.2">
      <c r="A36" t="s">
        <v>2152</v>
      </c>
      <c r="B36" t="s">
        <v>2988</v>
      </c>
      <c r="C36" t="s">
        <v>2988</v>
      </c>
      <c r="D36" s="1">
        <v>0.10000000149011612</v>
      </c>
      <c r="E36" t="s">
        <v>2987</v>
      </c>
    </row>
    <row r="37" spans="1:5" x14ac:dyDescent="0.2">
      <c r="A37" t="s">
        <v>2153</v>
      </c>
      <c r="B37" t="s">
        <v>701</v>
      </c>
      <c r="C37" t="s">
        <v>1</v>
      </c>
      <c r="D37" s="1">
        <v>0.57142859697341919</v>
      </c>
      <c r="E37" t="s">
        <v>2987</v>
      </c>
    </row>
    <row r="38" spans="1:5" x14ac:dyDescent="0.2">
      <c r="A38" t="s">
        <v>2154</v>
      </c>
      <c r="B38" t="s">
        <v>2988</v>
      </c>
      <c r="C38" t="s">
        <v>2988</v>
      </c>
      <c r="D38" s="1">
        <v>6.25E-2</v>
      </c>
      <c r="E38" t="s">
        <v>2987</v>
      </c>
    </row>
    <row r="39" spans="1:5" x14ac:dyDescent="0.2">
      <c r="A39" t="s">
        <v>2155</v>
      </c>
      <c r="B39" t="s">
        <v>844</v>
      </c>
      <c r="C39" t="s">
        <v>0</v>
      </c>
      <c r="D39" s="1">
        <v>1</v>
      </c>
      <c r="E39" t="s">
        <v>2987</v>
      </c>
    </row>
    <row r="40" spans="1:5" x14ac:dyDescent="0.2">
      <c r="A40" t="s">
        <v>2156</v>
      </c>
      <c r="B40" t="s">
        <v>820</v>
      </c>
      <c r="C40" t="s">
        <v>0</v>
      </c>
      <c r="D40" s="1">
        <v>1</v>
      </c>
      <c r="E40" t="s">
        <v>2987</v>
      </c>
    </row>
    <row r="41" spans="1:5" x14ac:dyDescent="0.2">
      <c r="A41" t="s">
        <v>2157</v>
      </c>
      <c r="B41" t="s">
        <v>703</v>
      </c>
      <c r="C41" t="s">
        <v>1</v>
      </c>
      <c r="D41" s="1">
        <v>0.5517241358757019</v>
      </c>
      <c r="E41" t="s">
        <v>2987</v>
      </c>
    </row>
    <row r="42" spans="1:5" x14ac:dyDescent="0.2">
      <c r="A42" t="s">
        <v>2158</v>
      </c>
      <c r="B42" t="s">
        <v>1574</v>
      </c>
      <c r="C42" t="s">
        <v>1</v>
      </c>
      <c r="D42" s="1">
        <v>0.5</v>
      </c>
      <c r="E42" t="s">
        <v>2987</v>
      </c>
    </row>
    <row r="43" spans="1:5" x14ac:dyDescent="0.2">
      <c r="A43" t="s">
        <v>2159</v>
      </c>
      <c r="B43" t="s">
        <v>1690</v>
      </c>
      <c r="C43" t="s">
        <v>1</v>
      </c>
      <c r="D43" s="1">
        <v>0.60000002384185791</v>
      </c>
      <c r="E43" t="s">
        <v>2987</v>
      </c>
    </row>
    <row r="44" spans="1:5" x14ac:dyDescent="0.2">
      <c r="A44" t="s">
        <v>2160</v>
      </c>
      <c r="B44" t="s">
        <v>1975</v>
      </c>
      <c r="C44" t="s">
        <v>1</v>
      </c>
      <c r="D44" s="1">
        <v>0.52173912525177002</v>
      </c>
      <c r="E44" t="s">
        <v>2987</v>
      </c>
    </row>
    <row r="45" spans="1:5" x14ac:dyDescent="0.2">
      <c r="A45" t="s">
        <v>2161</v>
      </c>
      <c r="B45" t="s">
        <v>1976</v>
      </c>
      <c r="C45" t="s">
        <v>1</v>
      </c>
      <c r="D45" s="1">
        <v>0.62068963050842285</v>
      </c>
      <c r="E45" t="s">
        <v>2987</v>
      </c>
    </row>
    <row r="46" spans="1:5" x14ac:dyDescent="0.2">
      <c r="A46" t="s">
        <v>2162</v>
      </c>
      <c r="B46" t="s">
        <v>1377</v>
      </c>
      <c r="C46" t="s">
        <v>0</v>
      </c>
      <c r="D46" s="1">
        <v>1</v>
      </c>
      <c r="E46" t="s">
        <v>2987</v>
      </c>
    </row>
    <row r="47" spans="1:5" x14ac:dyDescent="0.2">
      <c r="A47" t="s">
        <v>2163</v>
      </c>
      <c r="B47" t="s">
        <v>1374</v>
      </c>
      <c r="C47" t="s">
        <v>1</v>
      </c>
      <c r="D47" s="1">
        <v>0.4848484992980957</v>
      </c>
      <c r="E47" t="s">
        <v>2987</v>
      </c>
    </row>
    <row r="48" spans="1:5" x14ac:dyDescent="0.2">
      <c r="A48" t="s">
        <v>2164</v>
      </c>
      <c r="B48" t="s">
        <v>1374</v>
      </c>
      <c r="C48" t="s">
        <v>1</v>
      </c>
      <c r="D48" s="1">
        <v>0.47368422150611877</v>
      </c>
      <c r="E48" t="s">
        <v>2987</v>
      </c>
    </row>
    <row r="49" spans="1:5" x14ac:dyDescent="0.2">
      <c r="A49" t="s">
        <v>2165</v>
      </c>
      <c r="B49" t="s">
        <v>1374</v>
      </c>
      <c r="C49" t="s">
        <v>1</v>
      </c>
      <c r="D49" s="1">
        <v>0.48648649454116821</v>
      </c>
      <c r="E49" t="s">
        <v>2987</v>
      </c>
    </row>
    <row r="50" spans="1:5" x14ac:dyDescent="0.2">
      <c r="A50" t="s">
        <v>2166</v>
      </c>
      <c r="B50" t="s">
        <v>1761</v>
      </c>
      <c r="C50" t="s">
        <v>1</v>
      </c>
      <c r="D50" s="1">
        <v>0.46153846383094788</v>
      </c>
      <c r="E50" t="s">
        <v>2987</v>
      </c>
    </row>
    <row r="51" spans="1:5" x14ac:dyDescent="0.2">
      <c r="A51" t="s">
        <v>2167</v>
      </c>
      <c r="B51" t="s">
        <v>1803</v>
      </c>
      <c r="C51" t="s">
        <v>1</v>
      </c>
      <c r="D51" s="1">
        <v>0.5151515007019043</v>
      </c>
      <c r="E51" t="s">
        <v>2987</v>
      </c>
    </row>
    <row r="52" spans="1:5" x14ac:dyDescent="0.2">
      <c r="A52" t="s">
        <v>2168</v>
      </c>
      <c r="B52" t="s">
        <v>100</v>
      </c>
      <c r="C52" t="s">
        <v>0</v>
      </c>
      <c r="D52" s="1">
        <v>0.38461539149284363</v>
      </c>
      <c r="E52" t="s">
        <v>2989</v>
      </c>
    </row>
    <row r="53" spans="1:5" x14ac:dyDescent="0.2">
      <c r="A53" t="s">
        <v>2169</v>
      </c>
      <c r="B53" t="s">
        <v>2988</v>
      </c>
      <c r="C53" t="s">
        <v>2988</v>
      </c>
      <c r="D53" s="1">
        <v>0</v>
      </c>
      <c r="E53" t="s">
        <v>2987</v>
      </c>
    </row>
    <row r="54" spans="1:5" x14ac:dyDescent="0.2">
      <c r="A54" t="s">
        <v>2170</v>
      </c>
      <c r="B54" t="s">
        <v>2988</v>
      </c>
      <c r="C54" t="s">
        <v>2988</v>
      </c>
      <c r="D54" s="1">
        <v>0.125</v>
      </c>
      <c r="E54" t="s">
        <v>2987</v>
      </c>
    </row>
    <row r="55" spans="1:5" x14ac:dyDescent="0.2">
      <c r="A55" t="s">
        <v>2171</v>
      </c>
      <c r="B55" t="s">
        <v>689</v>
      </c>
      <c r="C55" t="s">
        <v>0</v>
      </c>
      <c r="D55" s="1">
        <v>0.5</v>
      </c>
      <c r="E55" t="s">
        <v>2987</v>
      </c>
    </row>
    <row r="56" spans="1:5" x14ac:dyDescent="0.2">
      <c r="A56" t="s">
        <v>2172</v>
      </c>
      <c r="B56" t="s">
        <v>1657</v>
      </c>
      <c r="C56" t="s">
        <v>1</v>
      </c>
      <c r="D56" s="1">
        <v>0.375</v>
      </c>
      <c r="E56" t="s">
        <v>2989</v>
      </c>
    </row>
    <row r="57" spans="1:5" x14ac:dyDescent="0.2">
      <c r="A57" t="s">
        <v>2173</v>
      </c>
      <c r="B57" t="s">
        <v>1657</v>
      </c>
      <c r="C57" t="s">
        <v>1</v>
      </c>
      <c r="D57" s="1">
        <v>0.41463413834571838</v>
      </c>
      <c r="E57" t="s">
        <v>2987</v>
      </c>
    </row>
    <row r="58" spans="1:5" x14ac:dyDescent="0.2">
      <c r="A58" t="s">
        <v>2174</v>
      </c>
      <c r="B58" t="s">
        <v>493</v>
      </c>
      <c r="C58" t="s">
        <v>1</v>
      </c>
      <c r="D58" s="1">
        <v>0.57142859697341919</v>
      </c>
      <c r="E58" t="s">
        <v>2987</v>
      </c>
    </row>
    <row r="59" spans="1:5" x14ac:dyDescent="0.2">
      <c r="A59" t="s">
        <v>2175</v>
      </c>
      <c r="B59" t="s">
        <v>395</v>
      </c>
      <c r="C59" t="s">
        <v>1</v>
      </c>
      <c r="D59" s="1">
        <v>0.4285714328289032</v>
      </c>
      <c r="E59" t="s">
        <v>2987</v>
      </c>
    </row>
    <row r="60" spans="1:5" x14ac:dyDescent="0.2">
      <c r="A60" t="s">
        <v>2176</v>
      </c>
      <c r="B60" t="s">
        <v>2988</v>
      </c>
      <c r="C60" t="s">
        <v>2988</v>
      </c>
      <c r="D60" s="1">
        <v>4.1666667908430099E-2</v>
      </c>
      <c r="E60" t="s">
        <v>2987</v>
      </c>
    </row>
    <row r="61" spans="1:5" x14ac:dyDescent="0.2">
      <c r="A61" t="s">
        <v>2177</v>
      </c>
      <c r="B61" t="s">
        <v>1376</v>
      </c>
      <c r="C61" t="s">
        <v>1</v>
      </c>
      <c r="D61" s="1">
        <v>0.5517241358757019</v>
      </c>
      <c r="E61" t="s">
        <v>2987</v>
      </c>
    </row>
    <row r="62" spans="1:5" x14ac:dyDescent="0.2">
      <c r="A62" t="s">
        <v>2178</v>
      </c>
      <c r="B62" t="s">
        <v>105</v>
      </c>
      <c r="C62" t="s">
        <v>1</v>
      </c>
      <c r="D62" s="1">
        <v>0.53846156597137451</v>
      </c>
      <c r="E62" t="s">
        <v>2987</v>
      </c>
    </row>
    <row r="63" spans="1:5" x14ac:dyDescent="0.2">
      <c r="A63" t="s">
        <v>2179</v>
      </c>
      <c r="B63" t="s">
        <v>2988</v>
      </c>
      <c r="C63" t="s">
        <v>2988</v>
      </c>
      <c r="D63" s="1">
        <v>0</v>
      </c>
      <c r="E63" t="s">
        <v>2987</v>
      </c>
    </row>
    <row r="64" spans="1:5" x14ac:dyDescent="0.2">
      <c r="A64" t="s">
        <v>2180</v>
      </c>
      <c r="B64" t="s">
        <v>959</v>
      </c>
      <c r="C64" t="s">
        <v>1</v>
      </c>
      <c r="D64" s="1">
        <v>0.76190477609634399</v>
      </c>
      <c r="E64" t="s">
        <v>2987</v>
      </c>
    </row>
    <row r="65" spans="1:5" x14ac:dyDescent="0.2">
      <c r="A65" t="s">
        <v>2181</v>
      </c>
      <c r="B65" t="s">
        <v>959</v>
      </c>
      <c r="C65" t="s">
        <v>1</v>
      </c>
      <c r="D65" s="1">
        <v>0.88461536169052124</v>
      </c>
      <c r="E65" t="s">
        <v>2987</v>
      </c>
    </row>
    <row r="66" spans="1:5" x14ac:dyDescent="0.2">
      <c r="A66" t="s">
        <v>2182</v>
      </c>
      <c r="B66" t="s">
        <v>959</v>
      </c>
      <c r="C66" t="s">
        <v>1</v>
      </c>
      <c r="D66" s="1">
        <v>0.66666668653488159</v>
      </c>
      <c r="E66" t="s">
        <v>2987</v>
      </c>
    </row>
    <row r="67" spans="1:5" x14ac:dyDescent="0.2">
      <c r="A67" t="s">
        <v>2183</v>
      </c>
      <c r="B67" t="s">
        <v>436</v>
      </c>
      <c r="C67" t="s">
        <v>0</v>
      </c>
      <c r="D67" s="1">
        <v>0.625</v>
      </c>
      <c r="E67" t="s">
        <v>2987</v>
      </c>
    </row>
    <row r="68" spans="1:5" x14ac:dyDescent="0.2">
      <c r="A68" t="s">
        <v>2184</v>
      </c>
      <c r="B68" t="s">
        <v>476</v>
      </c>
      <c r="C68" t="s">
        <v>0</v>
      </c>
      <c r="D68" s="1">
        <v>0.55555558204650879</v>
      </c>
      <c r="E68" t="s">
        <v>2987</v>
      </c>
    </row>
    <row r="69" spans="1:5" x14ac:dyDescent="0.2">
      <c r="A69" t="s">
        <v>2185</v>
      </c>
      <c r="B69" t="s">
        <v>1576</v>
      </c>
      <c r="C69" t="s">
        <v>1</v>
      </c>
      <c r="D69" s="1">
        <v>0.72000002861022949</v>
      </c>
      <c r="E69" t="s">
        <v>2987</v>
      </c>
    </row>
    <row r="70" spans="1:5" x14ac:dyDescent="0.2">
      <c r="A70" t="s">
        <v>2186</v>
      </c>
      <c r="B70" t="s">
        <v>2988</v>
      </c>
      <c r="C70" t="s">
        <v>2988</v>
      </c>
      <c r="D70" s="1">
        <v>0</v>
      </c>
      <c r="E70" t="s">
        <v>2987</v>
      </c>
    </row>
    <row r="71" spans="1:5" x14ac:dyDescent="0.2">
      <c r="A71" t="s">
        <v>2187</v>
      </c>
      <c r="B71" t="s">
        <v>1578</v>
      </c>
      <c r="C71" t="s">
        <v>1</v>
      </c>
      <c r="D71" s="1">
        <v>0.68181818723678589</v>
      </c>
      <c r="E71" t="s">
        <v>2987</v>
      </c>
    </row>
    <row r="72" spans="1:5" x14ac:dyDescent="0.2">
      <c r="A72" t="s">
        <v>2188</v>
      </c>
      <c r="B72" t="s">
        <v>2988</v>
      </c>
      <c r="C72" t="s">
        <v>2988</v>
      </c>
      <c r="D72" s="1">
        <v>0.1111111119389534</v>
      </c>
      <c r="E72" t="s">
        <v>2987</v>
      </c>
    </row>
    <row r="73" spans="1:5" x14ac:dyDescent="0.2">
      <c r="A73" t="s">
        <v>2189</v>
      </c>
      <c r="B73" t="s">
        <v>490</v>
      </c>
      <c r="C73" t="s">
        <v>0</v>
      </c>
      <c r="D73" s="1">
        <v>1</v>
      </c>
      <c r="E73" t="s">
        <v>2987</v>
      </c>
    </row>
    <row r="74" spans="1:5" x14ac:dyDescent="0.2">
      <c r="A74" t="s">
        <v>2190</v>
      </c>
      <c r="B74" t="s">
        <v>1579</v>
      </c>
      <c r="C74" t="s">
        <v>1</v>
      </c>
      <c r="D74" s="1">
        <v>0.62857145071029663</v>
      </c>
      <c r="E74" t="s">
        <v>2987</v>
      </c>
    </row>
    <row r="75" spans="1:5" x14ac:dyDescent="0.2">
      <c r="A75" t="s">
        <v>2191</v>
      </c>
      <c r="B75" t="s">
        <v>894</v>
      </c>
      <c r="C75" t="s">
        <v>0</v>
      </c>
      <c r="D75" s="1">
        <v>0.5</v>
      </c>
      <c r="E75" t="s">
        <v>2987</v>
      </c>
    </row>
    <row r="76" spans="1:5" x14ac:dyDescent="0.2">
      <c r="A76" t="s">
        <v>2192</v>
      </c>
      <c r="B76" t="s">
        <v>359</v>
      </c>
      <c r="C76" t="s">
        <v>0</v>
      </c>
      <c r="D76" s="1">
        <v>0.4444444477558136</v>
      </c>
      <c r="E76" t="s">
        <v>2987</v>
      </c>
    </row>
    <row r="77" spans="1:5" x14ac:dyDescent="0.2">
      <c r="A77" t="s">
        <v>2193</v>
      </c>
      <c r="B77" t="s">
        <v>2988</v>
      </c>
      <c r="C77" t="s">
        <v>2988</v>
      </c>
      <c r="D77" s="1">
        <v>0</v>
      </c>
      <c r="E77" t="s">
        <v>2987</v>
      </c>
    </row>
    <row r="78" spans="1:5" x14ac:dyDescent="0.2">
      <c r="A78" t="s">
        <v>2194</v>
      </c>
      <c r="B78" t="s">
        <v>1783</v>
      </c>
      <c r="C78" t="s">
        <v>1</v>
      </c>
      <c r="D78" s="1">
        <v>0.51351350545883179</v>
      </c>
      <c r="E78" t="s">
        <v>2987</v>
      </c>
    </row>
    <row r="79" spans="1:5" x14ac:dyDescent="0.2">
      <c r="A79" t="s">
        <v>2195</v>
      </c>
      <c r="B79" t="s">
        <v>705</v>
      </c>
      <c r="C79" t="s">
        <v>1</v>
      </c>
      <c r="D79" s="1">
        <v>0.47368422150611877</v>
      </c>
      <c r="E79" t="s">
        <v>2987</v>
      </c>
    </row>
    <row r="80" spans="1:5" x14ac:dyDescent="0.2">
      <c r="A80" t="s">
        <v>2196</v>
      </c>
      <c r="B80" t="s">
        <v>1913</v>
      </c>
      <c r="C80" t="s">
        <v>1</v>
      </c>
      <c r="D80" s="1">
        <v>0.45161288976669312</v>
      </c>
      <c r="E80" t="s">
        <v>2987</v>
      </c>
    </row>
    <row r="81" spans="1:5" x14ac:dyDescent="0.2">
      <c r="A81" t="s">
        <v>2197</v>
      </c>
      <c r="B81" t="s">
        <v>2988</v>
      </c>
      <c r="C81" t="s">
        <v>2988</v>
      </c>
      <c r="D81" s="1">
        <v>0.1428571492433548</v>
      </c>
      <c r="E81" t="s">
        <v>2987</v>
      </c>
    </row>
    <row r="82" spans="1:5" x14ac:dyDescent="0.2">
      <c r="A82" t="s">
        <v>2198</v>
      </c>
      <c r="B82" t="s">
        <v>2988</v>
      </c>
      <c r="C82" t="s">
        <v>2988</v>
      </c>
      <c r="D82" s="1">
        <v>0.10000000149011612</v>
      </c>
      <c r="E82" t="s">
        <v>2987</v>
      </c>
    </row>
    <row r="83" spans="1:5" x14ac:dyDescent="0.2">
      <c r="A83" t="s">
        <v>2199</v>
      </c>
      <c r="B83" t="s">
        <v>2988</v>
      </c>
      <c r="C83" t="s">
        <v>2988</v>
      </c>
      <c r="D83" s="1">
        <v>3.9999999105930328E-2</v>
      </c>
      <c r="E83" t="s">
        <v>2987</v>
      </c>
    </row>
    <row r="84" spans="1:5" x14ac:dyDescent="0.2">
      <c r="A84" t="s">
        <v>2200</v>
      </c>
      <c r="B84" t="s">
        <v>495</v>
      </c>
      <c r="C84" t="s">
        <v>1</v>
      </c>
      <c r="D84" s="1">
        <v>0.35555556416511536</v>
      </c>
      <c r="E84" t="s">
        <v>2989</v>
      </c>
    </row>
    <row r="85" spans="1:5" x14ac:dyDescent="0.2">
      <c r="A85" t="s">
        <v>2201</v>
      </c>
      <c r="B85" t="s">
        <v>1766</v>
      </c>
      <c r="C85" t="s">
        <v>1</v>
      </c>
      <c r="D85" s="1">
        <v>0.4117647111415863</v>
      </c>
      <c r="E85" t="s">
        <v>2987</v>
      </c>
    </row>
    <row r="86" spans="1:5" x14ac:dyDescent="0.2">
      <c r="A86" t="s">
        <v>2202</v>
      </c>
      <c r="B86" t="s">
        <v>1766</v>
      </c>
      <c r="C86" t="s">
        <v>1</v>
      </c>
      <c r="D86" s="1">
        <v>0.42424243688583374</v>
      </c>
      <c r="E86" t="s">
        <v>2987</v>
      </c>
    </row>
    <row r="87" spans="1:5" x14ac:dyDescent="0.2">
      <c r="A87" t="s">
        <v>2203</v>
      </c>
      <c r="B87" t="s">
        <v>1766</v>
      </c>
      <c r="C87" t="s">
        <v>1</v>
      </c>
      <c r="D87" s="1">
        <v>0.42424243688583374</v>
      </c>
      <c r="E87" t="s">
        <v>2987</v>
      </c>
    </row>
    <row r="88" spans="1:5" x14ac:dyDescent="0.2">
      <c r="A88" t="s">
        <v>2204</v>
      </c>
      <c r="B88" t="s">
        <v>2988</v>
      </c>
      <c r="C88" t="s">
        <v>2988</v>
      </c>
      <c r="D88" s="1">
        <v>0</v>
      </c>
      <c r="E88" t="s">
        <v>2987</v>
      </c>
    </row>
    <row r="89" spans="1:5" x14ac:dyDescent="0.2">
      <c r="A89" t="s">
        <v>2205</v>
      </c>
      <c r="B89" t="s">
        <v>1784</v>
      </c>
      <c r="C89" t="s">
        <v>1</v>
      </c>
      <c r="D89" s="1">
        <v>0.40425533056259155</v>
      </c>
      <c r="E89" t="s">
        <v>2987</v>
      </c>
    </row>
    <row r="90" spans="1:5" x14ac:dyDescent="0.2">
      <c r="A90" t="s">
        <v>2206</v>
      </c>
      <c r="B90" t="s">
        <v>1784</v>
      </c>
      <c r="C90" t="s">
        <v>1</v>
      </c>
      <c r="D90" s="1">
        <v>0.4117647111415863</v>
      </c>
      <c r="E90" t="s">
        <v>2987</v>
      </c>
    </row>
    <row r="91" spans="1:5" x14ac:dyDescent="0.2">
      <c r="A91" t="s">
        <v>2207</v>
      </c>
      <c r="B91" t="s">
        <v>797</v>
      </c>
      <c r="C91" t="s">
        <v>1</v>
      </c>
      <c r="D91" s="1">
        <v>5.55555559694767E-2</v>
      </c>
      <c r="E91" t="s">
        <v>2989</v>
      </c>
    </row>
    <row r="92" spans="1:5" x14ac:dyDescent="0.2">
      <c r="A92" t="s">
        <v>2208</v>
      </c>
      <c r="B92" t="s">
        <v>120</v>
      </c>
      <c r="C92" t="s">
        <v>0</v>
      </c>
      <c r="D92" s="1">
        <v>0.60000002384185791</v>
      </c>
      <c r="E92" t="s">
        <v>2987</v>
      </c>
    </row>
    <row r="93" spans="1:5" x14ac:dyDescent="0.2">
      <c r="A93" t="s">
        <v>2209</v>
      </c>
      <c r="B93" t="s">
        <v>816</v>
      </c>
      <c r="C93" t="s">
        <v>0</v>
      </c>
      <c r="D93" s="1">
        <v>0.5</v>
      </c>
      <c r="E93" t="s">
        <v>2987</v>
      </c>
    </row>
    <row r="94" spans="1:5" x14ac:dyDescent="0.2">
      <c r="A94" t="s">
        <v>2210</v>
      </c>
      <c r="B94" t="s">
        <v>2002</v>
      </c>
      <c r="C94" t="s">
        <v>1</v>
      </c>
      <c r="D94" s="1">
        <v>0.69444441795349121</v>
      </c>
      <c r="E94" t="s">
        <v>2987</v>
      </c>
    </row>
    <row r="95" spans="1:5" x14ac:dyDescent="0.2">
      <c r="A95" t="s">
        <v>2211</v>
      </c>
      <c r="B95" t="s">
        <v>2001</v>
      </c>
      <c r="C95" t="s">
        <v>1</v>
      </c>
      <c r="D95" s="1">
        <v>0.52777779102325439</v>
      </c>
      <c r="E95" t="s">
        <v>2987</v>
      </c>
    </row>
    <row r="96" spans="1:5" x14ac:dyDescent="0.2">
      <c r="A96" t="s">
        <v>2212</v>
      </c>
      <c r="B96" t="s">
        <v>1785</v>
      </c>
      <c r="C96" t="s">
        <v>1</v>
      </c>
      <c r="D96" s="1">
        <v>0.44999998807907104</v>
      </c>
      <c r="E96" t="s">
        <v>2987</v>
      </c>
    </row>
    <row r="97" spans="1:5" x14ac:dyDescent="0.2">
      <c r="A97" t="s">
        <v>2213</v>
      </c>
      <c r="B97" t="s">
        <v>176</v>
      </c>
      <c r="C97" t="s">
        <v>0</v>
      </c>
      <c r="D97" s="1">
        <v>0.3404255211353302</v>
      </c>
      <c r="E97" t="s">
        <v>2989</v>
      </c>
    </row>
    <row r="98" spans="1:5" x14ac:dyDescent="0.2">
      <c r="A98" t="s">
        <v>2214</v>
      </c>
      <c r="B98" t="s">
        <v>397</v>
      </c>
      <c r="C98" t="s">
        <v>1</v>
      </c>
      <c r="D98" s="1">
        <v>0.4375</v>
      </c>
      <c r="E98" t="s">
        <v>2987</v>
      </c>
    </row>
    <row r="99" spans="1:5" x14ac:dyDescent="0.2">
      <c r="A99" t="s">
        <v>2215</v>
      </c>
      <c r="B99" t="s">
        <v>1604</v>
      </c>
      <c r="C99" t="s">
        <v>1</v>
      </c>
      <c r="D99" s="1">
        <v>0.60000002384185791</v>
      </c>
      <c r="E99" t="s">
        <v>2987</v>
      </c>
    </row>
    <row r="100" spans="1:5" x14ac:dyDescent="0.2">
      <c r="A100" t="s">
        <v>2216</v>
      </c>
      <c r="B100" t="s">
        <v>1658</v>
      </c>
      <c r="C100" t="s">
        <v>1</v>
      </c>
      <c r="D100" s="1">
        <v>0.4883720874786377</v>
      </c>
      <c r="E100" t="s">
        <v>2987</v>
      </c>
    </row>
    <row r="101" spans="1:5" x14ac:dyDescent="0.2">
      <c r="A101" t="s">
        <v>2217</v>
      </c>
      <c r="B101" t="s">
        <v>2988</v>
      </c>
      <c r="C101" t="s">
        <v>2988</v>
      </c>
      <c r="D101" s="1">
        <v>0</v>
      </c>
      <c r="E101" t="s">
        <v>2987</v>
      </c>
    </row>
    <row r="102" spans="1:5" x14ac:dyDescent="0.2">
      <c r="A102" t="s">
        <v>2218</v>
      </c>
      <c r="B102" t="s">
        <v>88</v>
      </c>
      <c r="C102" t="s">
        <v>0</v>
      </c>
      <c r="D102" s="1">
        <v>1</v>
      </c>
      <c r="E102" t="s">
        <v>2987</v>
      </c>
    </row>
    <row r="103" spans="1:5" x14ac:dyDescent="0.2">
      <c r="A103" t="s">
        <v>2219</v>
      </c>
      <c r="B103" t="s">
        <v>846</v>
      </c>
      <c r="C103" t="s">
        <v>0</v>
      </c>
      <c r="D103" s="1">
        <v>1</v>
      </c>
      <c r="E103" t="s">
        <v>2987</v>
      </c>
    </row>
    <row r="104" spans="1:5" x14ac:dyDescent="0.2">
      <c r="A104" t="s">
        <v>2220</v>
      </c>
      <c r="B104" t="s">
        <v>2988</v>
      </c>
      <c r="C104" t="s">
        <v>2988</v>
      </c>
      <c r="D104" s="1">
        <v>0.25</v>
      </c>
      <c r="E104" t="s">
        <v>2987</v>
      </c>
    </row>
    <row r="105" spans="1:5" x14ac:dyDescent="0.2">
      <c r="A105" t="s">
        <v>2221</v>
      </c>
      <c r="B105" t="s">
        <v>2988</v>
      </c>
      <c r="C105" t="s">
        <v>2988</v>
      </c>
      <c r="D105" s="1">
        <v>8.3333335816860199E-2</v>
      </c>
      <c r="E105" t="s">
        <v>2987</v>
      </c>
    </row>
    <row r="106" spans="1:5" x14ac:dyDescent="0.2">
      <c r="A106" t="s">
        <v>2222</v>
      </c>
      <c r="B106" t="s">
        <v>1120</v>
      </c>
      <c r="C106" t="s">
        <v>1</v>
      </c>
      <c r="D106" s="1">
        <v>0.61538463830947876</v>
      </c>
      <c r="E106" t="s">
        <v>2987</v>
      </c>
    </row>
    <row r="107" spans="1:5" x14ac:dyDescent="0.2">
      <c r="A107" t="s">
        <v>2223</v>
      </c>
      <c r="B107" t="s">
        <v>1122</v>
      </c>
      <c r="C107" t="s">
        <v>1</v>
      </c>
      <c r="D107" s="1">
        <v>0.6875</v>
      </c>
      <c r="E107" t="s">
        <v>2987</v>
      </c>
    </row>
    <row r="108" spans="1:5" x14ac:dyDescent="0.2">
      <c r="A108" t="s">
        <v>2224</v>
      </c>
      <c r="B108" t="s">
        <v>1124</v>
      </c>
      <c r="C108" t="s">
        <v>1</v>
      </c>
      <c r="D108" s="1">
        <v>0.375</v>
      </c>
      <c r="E108" t="s">
        <v>2989</v>
      </c>
    </row>
    <row r="109" spans="1:5" x14ac:dyDescent="0.2">
      <c r="A109" t="s">
        <v>2225</v>
      </c>
      <c r="B109" t="s">
        <v>1231</v>
      </c>
      <c r="C109" t="s">
        <v>1</v>
      </c>
      <c r="D109" s="1">
        <v>0.5625</v>
      </c>
      <c r="E109" t="s">
        <v>2987</v>
      </c>
    </row>
    <row r="110" spans="1:5" x14ac:dyDescent="0.2">
      <c r="A110" t="s">
        <v>2226</v>
      </c>
      <c r="B110" t="s">
        <v>1018</v>
      </c>
      <c r="C110" t="s">
        <v>0</v>
      </c>
      <c r="D110" s="1">
        <v>0.375</v>
      </c>
      <c r="E110" t="s">
        <v>2989</v>
      </c>
    </row>
    <row r="111" spans="1:5" x14ac:dyDescent="0.2">
      <c r="A111" t="s">
        <v>2227</v>
      </c>
      <c r="B111" t="s">
        <v>1378</v>
      </c>
      <c r="C111" t="s">
        <v>1</v>
      </c>
      <c r="D111" s="1">
        <v>0.42424243688583374</v>
      </c>
      <c r="E111" t="s">
        <v>2987</v>
      </c>
    </row>
    <row r="112" spans="1:5" x14ac:dyDescent="0.2">
      <c r="A112" t="s">
        <v>2228</v>
      </c>
      <c r="B112" t="s">
        <v>2988</v>
      </c>
      <c r="C112" t="s">
        <v>2988</v>
      </c>
      <c r="D112" s="1">
        <v>0.10000000149011612</v>
      </c>
      <c r="E112" t="s">
        <v>2987</v>
      </c>
    </row>
    <row r="113" spans="1:5" x14ac:dyDescent="0.2">
      <c r="A113" t="s">
        <v>2229</v>
      </c>
      <c r="B113" t="s">
        <v>2988</v>
      </c>
      <c r="C113" t="s">
        <v>2988</v>
      </c>
      <c r="D113" s="1">
        <v>5.8823529630899429E-2</v>
      </c>
      <c r="E113" t="s">
        <v>2987</v>
      </c>
    </row>
    <row r="114" spans="1:5" x14ac:dyDescent="0.2">
      <c r="A114" t="s">
        <v>2230</v>
      </c>
      <c r="B114" t="s">
        <v>1379</v>
      </c>
      <c r="C114" t="s">
        <v>0</v>
      </c>
      <c r="D114" s="1">
        <v>1</v>
      </c>
      <c r="E114" t="s">
        <v>2987</v>
      </c>
    </row>
    <row r="115" spans="1:5" x14ac:dyDescent="0.2">
      <c r="A115" t="s">
        <v>2231</v>
      </c>
      <c r="B115" t="s">
        <v>2988</v>
      </c>
      <c r="C115" t="s">
        <v>2988</v>
      </c>
      <c r="D115" s="1">
        <v>0.1666666716337204</v>
      </c>
      <c r="E115" t="s">
        <v>2987</v>
      </c>
    </row>
    <row r="116" spans="1:5" x14ac:dyDescent="0.2">
      <c r="A116" t="s">
        <v>2232</v>
      </c>
      <c r="B116" t="s">
        <v>1586</v>
      </c>
      <c r="C116" t="s">
        <v>1</v>
      </c>
      <c r="D116" s="1">
        <v>0.48979592323303223</v>
      </c>
      <c r="E116" t="s">
        <v>2987</v>
      </c>
    </row>
    <row r="117" spans="1:5" x14ac:dyDescent="0.2">
      <c r="A117" t="s">
        <v>2233</v>
      </c>
      <c r="B117" t="s">
        <v>2988</v>
      </c>
      <c r="C117" t="s">
        <v>2988</v>
      </c>
      <c r="D117" s="1">
        <v>0</v>
      </c>
      <c r="E117" t="s">
        <v>2987</v>
      </c>
    </row>
    <row r="118" spans="1:5" x14ac:dyDescent="0.2">
      <c r="A118" t="s">
        <v>2234</v>
      </c>
      <c r="B118" t="s">
        <v>1850</v>
      </c>
      <c r="C118" t="s">
        <v>1</v>
      </c>
      <c r="D118" s="1">
        <v>0.3333333432674408</v>
      </c>
      <c r="E118" t="s">
        <v>2989</v>
      </c>
    </row>
    <row r="119" spans="1:5" x14ac:dyDescent="0.2">
      <c r="A119" t="s">
        <v>2235</v>
      </c>
      <c r="B119" t="s">
        <v>696</v>
      </c>
      <c r="C119" t="s">
        <v>0</v>
      </c>
      <c r="D119" s="1">
        <v>0.44999998807907104</v>
      </c>
      <c r="E119" t="s">
        <v>2987</v>
      </c>
    </row>
    <row r="120" spans="1:5" x14ac:dyDescent="0.2">
      <c r="A120" t="s">
        <v>2236</v>
      </c>
      <c r="B120" t="s">
        <v>1786</v>
      </c>
      <c r="C120" t="s">
        <v>1</v>
      </c>
      <c r="D120" s="1">
        <v>0.42424243688583374</v>
      </c>
      <c r="E120" t="s">
        <v>2987</v>
      </c>
    </row>
    <row r="121" spans="1:5" x14ac:dyDescent="0.2">
      <c r="A121" t="s">
        <v>2237</v>
      </c>
      <c r="B121" t="s">
        <v>399</v>
      </c>
      <c r="C121" t="s">
        <v>1</v>
      </c>
      <c r="D121" s="1">
        <v>0.5161290168762207</v>
      </c>
      <c r="E121" t="s">
        <v>2987</v>
      </c>
    </row>
    <row r="122" spans="1:5" x14ac:dyDescent="0.2">
      <c r="A122" t="s">
        <v>2238</v>
      </c>
      <c r="B122" t="s">
        <v>715</v>
      </c>
      <c r="C122" t="s">
        <v>1</v>
      </c>
      <c r="D122" s="1">
        <v>0.5161290168762207</v>
      </c>
      <c r="E122" t="s">
        <v>2987</v>
      </c>
    </row>
    <row r="123" spans="1:5" x14ac:dyDescent="0.2">
      <c r="A123" t="s">
        <v>2239</v>
      </c>
      <c r="B123" t="s">
        <v>896</v>
      </c>
      <c r="C123" t="s">
        <v>0</v>
      </c>
      <c r="D123" s="1">
        <v>0.27906978130340576</v>
      </c>
      <c r="E123" t="s">
        <v>2989</v>
      </c>
    </row>
    <row r="124" spans="1:5" x14ac:dyDescent="0.2">
      <c r="A124" t="s">
        <v>2240</v>
      </c>
      <c r="B124" t="s">
        <v>1588</v>
      </c>
      <c r="C124" t="s">
        <v>1</v>
      </c>
      <c r="D124" s="1">
        <v>0.23076923191547394</v>
      </c>
      <c r="E124" t="s">
        <v>2989</v>
      </c>
    </row>
    <row r="125" spans="1:5" x14ac:dyDescent="0.2">
      <c r="A125" t="s">
        <v>2241</v>
      </c>
      <c r="B125" t="s">
        <v>2113</v>
      </c>
      <c r="C125" t="s">
        <v>1</v>
      </c>
      <c r="D125" s="1">
        <v>0.42553192377090454</v>
      </c>
      <c r="E125" t="s">
        <v>2987</v>
      </c>
    </row>
    <row r="126" spans="1:5" x14ac:dyDescent="0.2">
      <c r="A126" t="s">
        <v>2242</v>
      </c>
      <c r="B126" t="s">
        <v>1185</v>
      </c>
      <c r="C126" t="s">
        <v>0</v>
      </c>
      <c r="D126" s="1">
        <v>0.46666666865348816</v>
      </c>
      <c r="E126" t="s">
        <v>2987</v>
      </c>
    </row>
    <row r="127" spans="1:5" x14ac:dyDescent="0.2">
      <c r="A127" t="s">
        <v>2243</v>
      </c>
      <c r="B127" t="s">
        <v>1646</v>
      </c>
      <c r="C127" t="s">
        <v>1</v>
      </c>
      <c r="D127" s="1">
        <v>0.55882352590560913</v>
      </c>
      <c r="E127" t="s">
        <v>2987</v>
      </c>
    </row>
    <row r="128" spans="1:5" x14ac:dyDescent="0.2">
      <c r="A128" t="s">
        <v>2244</v>
      </c>
      <c r="B128" t="s">
        <v>1646</v>
      </c>
      <c r="C128" t="s">
        <v>1</v>
      </c>
      <c r="D128" s="1">
        <v>0.65625</v>
      </c>
      <c r="E128" t="s">
        <v>2987</v>
      </c>
    </row>
    <row r="129" spans="1:5" x14ac:dyDescent="0.2">
      <c r="A129" t="s">
        <v>2245</v>
      </c>
      <c r="B129" t="s">
        <v>964</v>
      </c>
      <c r="C129" t="s">
        <v>0</v>
      </c>
      <c r="D129" s="1">
        <v>0.5</v>
      </c>
      <c r="E129" t="s">
        <v>2987</v>
      </c>
    </row>
    <row r="130" spans="1:5" x14ac:dyDescent="0.2">
      <c r="A130" t="s">
        <v>2246</v>
      </c>
      <c r="B130" t="s">
        <v>1144</v>
      </c>
      <c r="C130" t="s">
        <v>1</v>
      </c>
      <c r="D130" s="1">
        <v>0.47999998927116394</v>
      </c>
      <c r="E130" t="s">
        <v>2987</v>
      </c>
    </row>
    <row r="131" spans="1:5" x14ac:dyDescent="0.2">
      <c r="A131" t="s">
        <v>2247</v>
      </c>
      <c r="B131" t="s">
        <v>2988</v>
      </c>
      <c r="C131" t="s">
        <v>2988</v>
      </c>
      <c r="D131" s="1">
        <v>0</v>
      </c>
      <c r="E131" t="s">
        <v>2987</v>
      </c>
    </row>
    <row r="132" spans="1:5" x14ac:dyDescent="0.2">
      <c r="A132" t="s">
        <v>2248</v>
      </c>
      <c r="B132" t="s">
        <v>1692</v>
      </c>
      <c r="C132" t="s">
        <v>1</v>
      </c>
      <c r="D132" s="1">
        <v>1</v>
      </c>
      <c r="E132" t="s">
        <v>2987</v>
      </c>
    </row>
    <row r="133" spans="1:5" x14ac:dyDescent="0.2">
      <c r="A133" t="s">
        <v>2249</v>
      </c>
      <c r="B133" t="s">
        <v>719</v>
      </c>
      <c r="C133" t="s">
        <v>1</v>
      </c>
      <c r="D133" s="1">
        <v>0.52941179275512695</v>
      </c>
      <c r="E133" t="s">
        <v>2987</v>
      </c>
    </row>
    <row r="134" spans="1:5" x14ac:dyDescent="0.2">
      <c r="A134" t="s">
        <v>2250</v>
      </c>
      <c r="B134" t="s">
        <v>1772</v>
      </c>
      <c r="C134" t="s">
        <v>1</v>
      </c>
      <c r="D134" s="1">
        <v>0.51851850748062134</v>
      </c>
      <c r="E134" t="s">
        <v>2987</v>
      </c>
    </row>
    <row r="135" spans="1:5" x14ac:dyDescent="0.2">
      <c r="A135" t="s">
        <v>2251</v>
      </c>
      <c r="B135" t="s">
        <v>281</v>
      </c>
      <c r="C135" t="s">
        <v>1</v>
      </c>
      <c r="D135" s="1">
        <v>1</v>
      </c>
      <c r="E135" t="s">
        <v>2987</v>
      </c>
    </row>
    <row r="136" spans="1:5" x14ac:dyDescent="0.2">
      <c r="A136" t="s">
        <v>2252</v>
      </c>
      <c r="B136" t="s">
        <v>961</v>
      </c>
      <c r="C136" t="s">
        <v>1</v>
      </c>
      <c r="D136" s="1">
        <v>0.48275861144065857</v>
      </c>
      <c r="E136" t="s">
        <v>2987</v>
      </c>
    </row>
    <row r="137" spans="1:5" x14ac:dyDescent="0.2">
      <c r="A137" t="s">
        <v>2253</v>
      </c>
      <c r="B137" t="s">
        <v>2988</v>
      </c>
      <c r="C137" t="s">
        <v>2988</v>
      </c>
      <c r="D137" s="1">
        <v>0.125</v>
      </c>
      <c r="E137" t="s">
        <v>2987</v>
      </c>
    </row>
    <row r="138" spans="1:5" x14ac:dyDescent="0.2">
      <c r="A138" t="s">
        <v>2254</v>
      </c>
      <c r="B138" t="s">
        <v>90</v>
      </c>
      <c r="C138" t="s">
        <v>0</v>
      </c>
      <c r="D138" s="1">
        <v>1</v>
      </c>
      <c r="E138" t="s">
        <v>2987</v>
      </c>
    </row>
    <row r="139" spans="1:5" x14ac:dyDescent="0.2">
      <c r="A139" t="s">
        <v>2255</v>
      </c>
      <c r="B139" t="s">
        <v>1338</v>
      </c>
      <c r="C139" t="s">
        <v>1</v>
      </c>
      <c r="D139" s="1">
        <v>0.53846156597137451</v>
      </c>
      <c r="E139" t="s">
        <v>2987</v>
      </c>
    </row>
    <row r="140" spans="1:5" x14ac:dyDescent="0.2">
      <c r="A140" t="s">
        <v>2256</v>
      </c>
      <c r="B140" t="s">
        <v>1862</v>
      </c>
      <c r="C140" t="s">
        <v>1</v>
      </c>
      <c r="D140" s="1">
        <v>0.40000000596046448</v>
      </c>
      <c r="E140" t="s">
        <v>2987</v>
      </c>
    </row>
    <row r="141" spans="1:5" x14ac:dyDescent="0.2">
      <c r="A141" t="s">
        <v>2257</v>
      </c>
      <c r="B141" t="s">
        <v>1524</v>
      </c>
      <c r="C141" t="s">
        <v>1</v>
      </c>
      <c r="D141" s="1">
        <v>0.5517241358757019</v>
      </c>
      <c r="E141" t="s">
        <v>2987</v>
      </c>
    </row>
    <row r="142" spans="1:5" x14ac:dyDescent="0.2">
      <c r="A142" t="s">
        <v>2258</v>
      </c>
      <c r="B142" t="s">
        <v>1526</v>
      </c>
      <c r="C142" t="s">
        <v>1</v>
      </c>
      <c r="D142" s="1">
        <v>0.51219511032104492</v>
      </c>
      <c r="E142" t="s">
        <v>2987</v>
      </c>
    </row>
    <row r="143" spans="1:5" x14ac:dyDescent="0.2">
      <c r="A143" t="s">
        <v>2259</v>
      </c>
      <c r="B143" t="s">
        <v>1146</v>
      </c>
      <c r="C143" t="s">
        <v>1</v>
      </c>
      <c r="D143" s="1">
        <v>0.74074071645736694</v>
      </c>
      <c r="E143" t="s">
        <v>2987</v>
      </c>
    </row>
    <row r="144" spans="1:5" x14ac:dyDescent="0.2">
      <c r="A144" t="s">
        <v>2260</v>
      </c>
      <c r="B144" t="s">
        <v>2988</v>
      </c>
      <c r="C144" t="s">
        <v>2988</v>
      </c>
      <c r="D144" s="1">
        <v>3.4482758492231369E-2</v>
      </c>
      <c r="E144" t="s">
        <v>2987</v>
      </c>
    </row>
    <row r="145" spans="1:5" x14ac:dyDescent="0.2">
      <c r="A145" t="s">
        <v>2261</v>
      </c>
      <c r="B145" t="s">
        <v>1104</v>
      </c>
      <c r="C145" t="s">
        <v>1</v>
      </c>
      <c r="D145" s="1">
        <v>0.5</v>
      </c>
      <c r="E145" t="s">
        <v>2987</v>
      </c>
    </row>
    <row r="146" spans="1:5" x14ac:dyDescent="0.2">
      <c r="A146" t="s">
        <v>2262</v>
      </c>
      <c r="B146" t="s">
        <v>1380</v>
      </c>
      <c r="C146" t="s">
        <v>1</v>
      </c>
      <c r="D146" s="1">
        <v>0.4444444477558136</v>
      </c>
      <c r="E146" t="s">
        <v>2987</v>
      </c>
    </row>
    <row r="147" spans="1:5" x14ac:dyDescent="0.2">
      <c r="A147" t="s">
        <v>2263</v>
      </c>
      <c r="B147" t="s">
        <v>1698</v>
      </c>
      <c r="C147" t="s">
        <v>1</v>
      </c>
      <c r="D147" s="1">
        <v>0.51851850748062134</v>
      </c>
      <c r="E147" t="s">
        <v>2987</v>
      </c>
    </row>
    <row r="148" spans="1:5" x14ac:dyDescent="0.2">
      <c r="A148" t="s">
        <v>2264</v>
      </c>
      <c r="B148" t="s">
        <v>188</v>
      </c>
      <c r="C148" t="s">
        <v>0</v>
      </c>
      <c r="D148" s="1">
        <v>0.51351350545883179</v>
      </c>
      <c r="E148" t="s">
        <v>2987</v>
      </c>
    </row>
    <row r="149" spans="1:5" x14ac:dyDescent="0.2">
      <c r="A149" t="s">
        <v>2265</v>
      </c>
      <c r="B149" t="s">
        <v>1573</v>
      </c>
      <c r="C149" t="s">
        <v>0</v>
      </c>
      <c r="D149" s="1">
        <v>8.3333335816860199E-2</v>
      </c>
      <c r="E149" t="s">
        <v>2989</v>
      </c>
    </row>
    <row r="150" spans="1:5" x14ac:dyDescent="0.2">
      <c r="A150" t="s">
        <v>2266</v>
      </c>
      <c r="B150" t="s">
        <v>17</v>
      </c>
      <c r="C150" t="s">
        <v>1</v>
      </c>
      <c r="D150" s="1">
        <v>0.60975611209869385</v>
      </c>
      <c r="E150" t="s">
        <v>2987</v>
      </c>
    </row>
    <row r="151" spans="1:5" x14ac:dyDescent="0.2">
      <c r="A151" t="s">
        <v>2267</v>
      </c>
      <c r="B151" t="s">
        <v>377</v>
      </c>
      <c r="C151" t="s">
        <v>1</v>
      </c>
      <c r="D151" s="1">
        <v>0.28205129504203796</v>
      </c>
      <c r="E151" t="s">
        <v>2989</v>
      </c>
    </row>
    <row r="152" spans="1:5" x14ac:dyDescent="0.2">
      <c r="A152" t="s">
        <v>2268</v>
      </c>
      <c r="B152" t="s">
        <v>437</v>
      </c>
      <c r="C152" t="s">
        <v>1</v>
      </c>
      <c r="D152" s="1">
        <v>0.25</v>
      </c>
      <c r="E152" t="s">
        <v>2989</v>
      </c>
    </row>
    <row r="153" spans="1:5" x14ac:dyDescent="0.2">
      <c r="A153" t="s">
        <v>2269</v>
      </c>
      <c r="B153" t="s">
        <v>492</v>
      </c>
      <c r="C153" t="s">
        <v>0</v>
      </c>
      <c r="D153" s="1">
        <v>0.54838711023330688</v>
      </c>
      <c r="E153" t="s">
        <v>2987</v>
      </c>
    </row>
    <row r="154" spans="1:5" x14ac:dyDescent="0.2">
      <c r="A154" t="s">
        <v>2270</v>
      </c>
      <c r="B154" t="s">
        <v>965</v>
      </c>
      <c r="C154" t="s">
        <v>1</v>
      </c>
      <c r="D154" s="1">
        <v>1</v>
      </c>
      <c r="E154" t="s">
        <v>2987</v>
      </c>
    </row>
    <row r="155" spans="1:5" x14ac:dyDescent="0.2">
      <c r="A155" t="s">
        <v>2271</v>
      </c>
      <c r="B155" t="s">
        <v>492</v>
      </c>
      <c r="C155" t="s">
        <v>0</v>
      </c>
      <c r="D155" s="1">
        <v>1</v>
      </c>
      <c r="E155" t="s">
        <v>2987</v>
      </c>
    </row>
    <row r="156" spans="1:5" x14ac:dyDescent="0.2">
      <c r="A156" t="s">
        <v>2272</v>
      </c>
      <c r="B156" t="s">
        <v>967</v>
      </c>
      <c r="C156" t="s">
        <v>1</v>
      </c>
      <c r="D156" s="1">
        <v>0.57142859697341919</v>
      </c>
      <c r="E156" t="s">
        <v>2987</v>
      </c>
    </row>
    <row r="157" spans="1:5" x14ac:dyDescent="0.2">
      <c r="A157" t="s">
        <v>2273</v>
      </c>
      <c r="B157" t="s">
        <v>1620</v>
      </c>
      <c r="C157" t="s">
        <v>1</v>
      </c>
      <c r="D157" s="1">
        <v>0.42424243688583374</v>
      </c>
      <c r="E157" t="s">
        <v>2987</v>
      </c>
    </row>
    <row r="158" spans="1:5" x14ac:dyDescent="0.2">
      <c r="A158" t="s">
        <v>2274</v>
      </c>
      <c r="B158" t="s">
        <v>838</v>
      </c>
      <c r="C158" t="s">
        <v>0</v>
      </c>
      <c r="D158" s="1">
        <v>0.3684210479259491</v>
      </c>
      <c r="E158" t="s">
        <v>2989</v>
      </c>
    </row>
    <row r="159" spans="1:5" x14ac:dyDescent="0.2">
      <c r="A159" t="s">
        <v>2275</v>
      </c>
      <c r="B159" t="s">
        <v>690</v>
      </c>
      <c r="C159" t="s">
        <v>0</v>
      </c>
      <c r="D159" s="1">
        <v>0.60000002384185791</v>
      </c>
      <c r="E159" t="s">
        <v>2987</v>
      </c>
    </row>
    <row r="160" spans="1:5" x14ac:dyDescent="0.2">
      <c r="A160" t="s">
        <v>2276</v>
      </c>
      <c r="B160" t="s">
        <v>1355</v>
      </c>
      <c r="C160" t="s">
        <v>0</v>
      </c>
      <c r="D160" s="1">
        <v>0.64999997615814209</v>
      </c>
      <c r="E160" t="s">
        <v>2987</v>
      </c>
    </row>
    <row r="161" spans="1:5" x14ac:dyDescent="0.2">
      <c r="A161" t="s">
        <v>2277</v>
      </c>
      <c r="B161" t="s">
        <v>1161</v>
      </c>
      <c r="C161" t="s">
        <v>0</v>
      </c>
      <c r="D161" s="1">
        <v>0.60000002384185791</v>
      </c>
      <c r="E161" t="s">
        <v>2987</v>
      </c>
    </row>
    <row r="162" spans="1:5" x14ac:dyDescent="0.2">
      <c r="A162" t="s">
        <v>2278</v>
      </c>
      <c r="B162" t="s">
        <v>1787</v>
      </c>
      <c r="C162" t="s">
        <v>1</v>
      </c>
      <c r="D162" s="1">
        <v>0.60000002384185791</v>
      </c>
      <c r="E162" t="s">
        <v>2987</v>
      </c>
    </row>
    <row r="163" spans="1:5" x14ac:dyDescent="0.2">
      <c r="A163" t="s">
        <v>2279</v>
      </c>
      <c r="B163" t="s">
        <v>1382</v>
      </c>
      <c r="C163" t="s">
        <v>1</v>
      </c>
      <c r="D163" s="1">
        <v>0.53333336114883423</v>
      </c>
      <c r="E163" t="s">
        <v>2987</v>
      </c>
    </row>
    <row r="164" spans="1:5" x14ac:dyDescent="0.2">
      <c r="A164" t="s">
        <v>2280</v>
      </c>
      <c r="B164" t="s">
        <v>1773</v>
      </c>
      <c r="C164" t="s">
        <v>1</v>
      </c>
      <c r="D164" s="1">
        <v>0.55555558204650879</v>
      </c>
      <c r="E164" t="s">
        <v>2987</v>
      </c>
    </row>
    <row r="165" spans="1:5" x14ac:dyDescent="0.2">
      <c r="A165" t="s">
        <v>2281</v>
      </c>
      <c r="B165" t="s">
        <v>1773</v>
      </c>
      <c r="C165" t="s">
        <v>1</v>
      </c>
      <c r="D165" s="1">
        <v>0.50980395078659058</v>
      </c>
      <c r="E165" t="s">
        <v>2987</v>
      </c>
    </row>
    <row r="166" spans="1:5" x14ac:dyDescent="0.2">
      <c r="A166" t="s">
        <v>2282</v>
      </c>
      <c r="B166" t="s">
        <v>2988</v>
      </c>
      <c r="C166" t="s">
        <v>2988</v>
      </c>
      <c r="D166" s="1">
        <v>0.1666666716337204</v>
      </c>
      <c r="E166" t="s">
        <v>2987</v>
      </c>
    </row>
    <row r="167" spans="1:5" x14ac:dyDescent="0.2">
      <c r="A167" t="s">
        <v>2283</v>
      </c>
      <c r="B167" t="s">
        <v>2988</v>
      </c>
      <c r="C167" t="s">
        <v>2988</v>
      </c>
      <c r="D167" s="1">
        <v>0</v>
      </c>
      <c r="E167" t="s">
        <v>2987</v>
      </c>
    </row>
    <row r="168" spans="1:5" x14ac:dyDescent="0.2">
      <c r="A168" t="s">
        <v>2284</v>
      </c>
      <c r="B168" t="s">
        <v>1383</v>
      </c>
      <c r="C168" t="s">
        <v>1</v>
      </c>
      <c r="D168" s="1">
        <v>0.45161288976669312</v>
      </c>
      <c r="E168" t="s">
        <v>2987</v>
      </c>
    </row>
    <row r="169" spans="1:5" x14ac:dyDescent="0.2">
      <c r="A169" t="s">
        <v>2285</v>
      </c>
      <c r="B169" t="s">
        <v>2988</v>
      </c>
      <c r="C169" t="s">
        <v>2988</v>
      </c>
      <c r="D169" s="1">
        <v>0.1111111119389534</v>
      </c>
      <c r="E169" t="s">
        <v>2987</v>
      </c>
    </row>
    <row r="170" spans="1:5" x14ac:dyDescent="0.2">
      <c r="A170" t="s">
        <v>2286</v>
      </c>
      <c r="B170" t="s">
        <v>2007</v>
      </c>
      <c r="C170" t="s">
        <v>1</v>
      </c>
      <c r="D170" s="1">
        <v>0.5517241358757019</v>
      </c>
      <c r="E170" t="s">
        <v>2987</v>
      </c>
    </row>
    <row r="171" spans="1:5" x14ac:dyDescent="0.2">
      <c r="A171" t="s">
        <v>2287</v>
      </c>
      <c r="B171" t="s">
        <v>1676</v>
      </c>
      <c r="C171" t="s">
        <v>1</v>
      </c>
      <c r="D171" s="1">
        <v>1</v>
      </c>
      <c r="E171" t="s">
        <v>2987</v>
      </c>
    </row>
    <row r="172" spans="1:5" x14ac:dyDescent="0.2">
      <c r="A172" t="s">
        <v>2288</v>
      </c>
      <c r="B172" t="s">
        <v>2988</v>
      </c>
      <c r="C172" t="s">
        <v>2988</v>
      </c>
      <c r="D172" s="1">
        <v>0.125</v>
      </c>
      <c r="E172" t="s">
        <v>2987</v>
      </c>
    </row>
    <row r="173" spans="1:5" x14ac:dyDescent="0.2">
      <c r="A173" t="s">
        <v>2289</v>
      </c>
      <c r="B173" t="s">
        <v>2988</v>
      </c>
      <c r="C173" t="s">
        <v>2988</v>
      </c>
      <c r="D173" s="1">
        <v>6.6666670143604279E-2</v>
      </c>
      <c r="E173" t="s">
        <v>2987</v>
      </c>
    </row>
    <row r="174" spans="1:5" x14ac:dyDescent="0.2">
      <c r="A174" t="s">
        <v>2290</v>
      </c>
      <c r="B174" t="s">
        <v>2988</v>
      </c>
      <c r="C174" t="s">
        <v>2988</v>
      </c>
      <c r="D174" s="1">
        <v>0</v>
      </c>
      <c r="E174" t="s">
        <v>2987</v>
      </c>
    </row>
    <row r="175" spans="1:5" x14ac:dyDescent="0.2">
      <c r="A175" t="s">
        <v>2291</v>
      </c>
      <c r="B175" t="s">
        <v>2988</v>
      </c>
      <c r="C175" t="s">
        <v>2988</v>
      </c>
      <c r="D175" s="1">
        <v>0</v>
      </c>
      <c r="E175" t="s">
        <v>2987</v>
      </c>
    </row>
    <row r="176" spans="1:5" x14ac:dyDescent="0.2">
      <c r="A176" t="s">
        <v>2292</v>
      </c>
      <c r="B176" t="s">
        <v>405</v>
      </c>
      <c r="C176" t="s">
        <v>1</v>
      </c>
      <c r="D176" s="1">
        <v>0.5517241358757019</v>
      </c>
      <c r="E176" t="s">
        <v>2987</v>
      </c>
    </row>
    <row r="177" spans="1:5" x14ac:dyDescent="0.2">
      <c r="A177" t="s">
        <v>2293</v>
      </c>
      <c r="B177" t="s">
        <v>2988</v>
      </c>
      <c r="C177" t="s">
        <v>2988</v>
      </c>
      <c r="D177" s="1">
        <v>0</v>
      </c>
      <c r="E177" t="s">
        <v>2987</v>
      </c>
    </row>
    <row r="178" spans="1:5" x14ac:dyDescent="0.2">
      <c r="A178" t="s">
        <v>2294</v>
      </c>
      <c r="B178" t="s">
        <v>2988</v>
      </c>
      <c r="C178" t="s">
        <v>2988</v>
      </c>
      <c r="D178" s="1">
        <v>0</v>
      </c>
      <c r="E178" t="s">
        <v>2987</v>
      </c>
    </row>
    <row r="179" spans="1:5" x14ac:dyDescent="0.2">
      <c r="A179" t="s">
        <v>2295</v>
      </c>
      <c r="B179" t="s">
        <v>2988</v>
      </c>
      <c r="C179" t="s">
        <v>2988</v>
      </c>
      <c r="D179" s="1">
        <v>0</v>
      </c>
      <c r="E179" t="s">
        <v>2987</v>
      </c>
    </row>
    <row r="180" spans="1:5" x14ac:dyDescent="0.2">
      <c r="A180" t="s">
        <v>2296</v>
      </c>
      <c r="B180" t="s">
        <v>2988</v>
      </c>
      <c r="C180" t="s">
        <v>2988</v>
      </c>
      <c r="D180" s="1">
        <v>0</v>
      </c>
      <c r="E180" t="s">
        <v>2987</v>
      </c>
    </row>
    <row r="181" spans="1:5" x14ac:dyDescent="0.2">
      <c r="A181" t="s">
        <v>2297</v>
      </c>
      <c r="B181" t="s">
        <v>2988</v>
      </c>
      <c r="C181" t="s">
        <v>2988</v>
      </c>
      <c r="D181" s="1">
        <v>0</v>
      </c>
      <c r="E181" t="s">
        <v>2987</v>
      </c>
    </row>
    <row r="182" spans="1:5" x14ac:dyDescent="0.2">
      <c r="A182" t="s">
        <v>2298</v>
      </c>
      <c r="B182" t="s">
        <v>407</v>
      </c>
      <c r="C182" t="s">
        <v>1</v>
      </c>
      <c r="D182" s="1">
        <v>0.52631580829620361</v>
      </c>
      <c r="E182" t="s">
        <v>2987</v>
      </c>
    </row>
    <row r="183" spans="1:5" x14ac:dyDescent="0.2">
      <c r="A183" t="s">
        <v>2299</v>
      </c>
      <c r="B183" t="s">
        <v>407</v>
      </c>
      <c r="C183" t="s">
        <v>1</v>
      </c>
      <c r="D183" s="1">
        <v>0.31428572535514832</v>
      </c>
      <c r="E183" t="s">
        <v>2989</v>
      </c>
    </row>
    <row r="184" spans="1:5" x14ac:dyDescent="0.2">
      <c r="A184" t="s">
        <v>2300</v>
      </c>
      <c r="B184" t="s">
        <v>1165</v>
      </c>
      <c r="C184" t="s">
        <v>0</v>
      </c>
      <c r="D184" s="1">
        <v>1</v>
      </c>
      <c r="E184" t="s">
        <v>2987</v>
      </c>
    </row>
    <row r="185" spans="1:5" x14ac:dyDescent="0.2">
      <c r="A185" t="s">
        <v>2301</v>
      </c>
      <c r="B185" t="s">
        <v>2988</v>
      </c>
      <c r="C185" t="s">
        <v>2988</v>
      </c>
      <c r="D185" s="1">
        <v>0.28571429848670959</v>
      </c>
      <c r="E185" t="s">
        <v>2987</v>
      </c>
    </row>
    <row r="186" spans="1:5" x14ac:dyDescent="0.2">
      <c r="A186" t="s">
        <v>2302</v>
      </c>
      <c r="B186" t="s">
        <v>107</v>
      </c>
      <c r="C186" t="s">
        <v>1</v>
      </c>
      <c r="D186" s="1">
        <v>0.57142859697341919</v>
      </c>
      <c r="E186" t="s">
        <v>2987</v>
      </c>
    </row>
    <row r="187" spans="1:5" x14ac:dyDescent="0.2">
      <c r="A187" t="s">
        <v>2303</v>
      </c>
      <c r="B187" t="s">
        <v>107</v>
      </c>
      <c r="C187" t="s">
        <v>1</v>
      </c>
      <c r="D187" s="1">
        <v>0.55263155698776245</v>
      </c>
      <c r="E187" t="s">
        <v>2987</v>
      </c>
    </row>
    <row r="188" spans="1:5" x14ac:dyDescent="0.2">
      <c r="A188" t="s">
        <v>2304</v>
      </c>
      <c r="B188" t="s">
        <v>1925</v>
      </c>
      <c r="C188" t="s">
        <v>1</v>
      </c>
      <c r="D188" s="1">
        <v>0.5161290168762207</v>
      </c>
      <c r="E188" t="s">
        <v>2987</v>
      </c>
    </row>
    <row r="189" spans="1:5" x14ac:dyDescent="0.2">
      <c r="A189" t="s">
        <v>2305</v>
      </c>
      <c r="B189" t="s">
        <v>1233</v>
      </c>
      <c r="C189" t="s">
        <v>1</v>
      </c>
      <c r="D189" s="1">
        <v>0.57142859697341919</v>
      </c>
      <c r="E189" t="s">
        <v>2987</v>
      </c>
    </row>
    <row r="190" spans="1:5" x14ac:dyDescent="0.2">
      <c r="A190" t="s">
        <v>2306</v>
      </c>
      <c r="B190" t="s">
        <v>756</v>
      </c>
      <c r="C190" t="s">
        <v>0</v>
      </c>
      <c r="D190" s="1">
        <v>0.5</v>
      </c>
      <c r="E190" t="s">
        <v>2987</v>
      </c>
    </row>
    <row r="191" spans="1:5" x14ac:dyDescent="0.2">
      <c r="A191" t="s">
        <v>2307</v>
      </c>
      <c r="B191" t="s">
        <v>286</v>
      </c>
      <c r="C191" t="s">
        <v>0</v>
      </c>
      <c r="D191" s="1">
        <v>0.6086956262588501</v>
      </c>
      <c r="E191" t="s">
        <v>2987</v>
      </c>
    </row>
    <row r="192" spans="1:5" x14ac:dyDescent="0.2">
      <c r="A192" t="s">
        <v>2308</v>
      </c>
      <c r="B192" t="s">
        <v>602</v>
      </c>
      <c r="C192" t="s">
        <v>0</v>
      </c>
      <c r="D192" s="1">
        <v>0.4848484992980957</v>
      </c>
      <c r="E192" t="s">
        <v>2987</v>
      </c>
    </row>
    <row r="193" spans="1:5" x14ac:dyDescent="0.2">
      <c r="A193" t="s">
        <v>2309</v>
      </c>
      <c r="B193" t="s">
        <v>2988</v>
      </c>
      <c r="C193" t="s">
        <v>2988</v>
      </c>
      <c r="D193" s="1">
        <v>0</v>
      </c>
      <c r="E193" t="s">
        <v>2987</v>
      </c>
    </row>
    <row r="194" spans="1:5" x14ac:dyDescent="0.2">
      <c r="A194" t="s">
        <v>2310</v>
      </c>
      <c r="B194" t="s">
        <v>1805</v>
      </c>
      <c r="C194" t="s">
        <v>1</v>
      </c>
      <c r="D194" s="1">
        <v>0.39130434393882751</v>
      </c>
      <c r="E194" t="s">
        <v>2989</v>
      </c>
    </row>
    <row r="195" spans="1:5" x14ac:dyDescent="0.2">
      <c r="A195" t="s">
        <v>2311</v>
      </c>
      <c r="B195" t="s">
        <v>1521</v>
      </c>
      <c r="C195" t="s">
        <v>0</v>
      </c>
      <c r="D195" s="1">
        <v>0.48148149251937866</v>
      </c>
      <c r="E195" t="s">
        <v>2987</v>
      </c>
    </row>
    <row r="196" spans="1:5" x14ac:dyDescent="0.2">
      <c r="A196" t="s">
        <v>2312</v>
      </c>
      <c r="B196" t="s">
        <v>1521</v>
      </c>
      <c r="C196" t="s">
        <v>0</v>
      </c>
      <c r="D196" s="1">
        <v>0.65116280317306519</v>
      </c>
      <c r="E196" t="s">
        <v>2987</v>
      </c>
    </row>
    <row r="197" spans="1:5" x14ac:dyDescent="0.2">
      <c r="A197" t="s">
        <v>2313</v>
      </c>
      <c r="B197" t="s">
        <v>2988</v>
      </c>
      <c r="C197" t="s">
        <v>2988</v>
      </c>
      <c r="D197" s="1">
        <v>0.1428571492433548</v>
      </c>
      <c r="E197" t="s">
        <v>2987</v>
      </c>
    </row>
    <row r="198" spans="1:5" x14ac:dyDescent="0.2">
      <c r="A198" t="s">
        <v>2314</v>
      </c>
      <c r="B198" t="s">
        <v>287</v>
      </c>
      <c r="C198" t="s">
        <v>1</v>
      </c>
      <c r="D198" s="1">
        <v>0.47999998927116394</v>
      </c>
      <c r="E198" t="s">
        <v>2987</v>
      </c>
    </row>
    <row r="199" spans="1:5" x14ac:dyDescent="0.2">
      <c r="A199" t="s">
        <v>2315</v>
      </c>
      <c r="B199" t="s">
        <v>307</v>
      </c>
      <c r="C199" t="s">
        <v>1</v>
      </c>
      <c r="D199" s="1">
        <v>0.4166666567325592</v>
      </c>
      <c r="E199" t="s">
        <v>2987</v>
      </c>
    </row>
    <row r="200" spans="1:5" x14ac:dyDescent="0.2">
      <c r="A200" t="s">
        <v>2316</v>
      </c>
      <c r="B200" t="s">
        <v>868</v>
      </c>
      <c r="C200" t="s">
        <v>0</v>
      </c>
      <c r="D200" s="1">
        <v>0.40000000596046448</v>
      </c>
      <c r="E200" t="s">
        <v>2987</v>
      </c>
    </row>
    <row r="201" spans="1:5" x14ac:dyDescent="0.2">
      <c r="A201" t="s">
        <v>2317</v>
      </c>
      <c r="B201" t="s">
        <v>1806</v>
      </c>
      <c r="C201" t="s">
        <v>1</v>
      </c>
      <c r="D201" s="1">
        <v>0.33766233921051025</v>
      </c>
      <c r="E201" t="s">
        <v>2989</v>
      </c>
    </row>
    <row r="202" spans="1:5" x14ac:dyDescent="0.2">
      <c r="A202" t="s">
        <v>2318</v>
      </c>
      <c r="B202" t="s">
        <v>2988</v>
      </c>
      <c r="C202" t="s">
        <v>2988</v>
      </c>
      <c r="D202" s="1">
        <v>0</v>
      </c>
      <c r="E202" t="s">
        <v>2987</v>
      </c>
    </row>
    <row r="203" spans="1:5" x14ac:dyDescent="0.2">
      <c r="A203" t="s">
        <v>2319</v>
      </c>
      <c r="B203" t="s">
        <v>2988</v>
      </c>
      <c r="C203" t="s">
        <v>2988</v>
      </c>
      <c r="D203" s="1">
        <v>0.1428571492433548</v>
      </c>
      <c r="E203" t="s">
        <v>2987</v>
      </c>
    </row>
    <row r="204" spans="1:5" x14ac:dyDescent="0.2">
      <c r="A204" t="s">
        <v>2320</v>
      </c>
      <c r="B204" t="s">
        <v>2988</v>
      </c>
      <c r="C204" t="s">
        <v>2988</v>
      </c>
      <c r="D204" s="1">
        <v>0</v>
      </c>
      <c r="E204" t="s">
        <v>2987</v>
      </c>
    </row>
    <row r="205" spans="1:5" x14ac:dyDescent="0.2">
      <c r="A205" t="s">
        <v>2321</v>
      </c>
      <c r="B205" t="s">
        <v>2988</v>
      </c>
      <c r="C205" t="s">
        <v>2988</v>
      </c>
      <c r="D205" s="1">
        <v>0</v>
      </c>
      <c r="E205" t="s">
        <v>2987</v>
      </c>
    </row>
    <row r="206" spans="1:5" x14ac:dyDescent="0.2">
      <c r="A206" t="s">
        <v>2322</v>
      </c>
      <c r="B206" t="s">
        <v>1469</v>
      </c>
      <c r="C206" t="s">
        <v>1</v>
      </c>
      <c r="D206" s="1">
        <v>1</v>
      </c>
      <c r="E206" t="s">
        <v>2987</v>
      </c>
    </row>
    <row r="207" spans="1:5" x14ac:dyDescent="0.2">
      <c r="A207" t="s">
        <v>2323</v>
      </c>
      <c r="B207" t="s">
        <v>2988</v>
      </c>
      <c r="C207" t="s">
        <v>2988</v>
      </c>
      <c r="D207" s="1">
        <v>0</v>
      </c>
      <c r="E207" t="s">
        <v>2987</v>
      </c>
    </row>
    <row r="208" spans="1:5" x14ac:dyDescent="0.2">
      <c r="A208" t="s">
        <v>2324</v>
      </c>
      <c r="B208" t="s">
        <v>2988</v>
      </c>
      <c r="C208" t="s">
        <v>2988</v>
      </c>
      <c r="D208" s="1">
        <v>4.3478261679410934E-2</v>
      </c>
      <c r="E208" t="s">
        <v>2987</v>
      </c>
    </row>
    <row r="209" spans="1:5" x14ac:dyDescent="0.2">
      <c r="A209" t="s">
        <v>2325</v>
      </c>
      <c r="B209" t="s">
        <v>2988</v>
      </c>
      <c r="C209" t="s">
        <v>2988</v>
      </c>
      <c r="D209" s="1">
        <v>7.1428574621677399E-2</v>
      </c>
      <c r="E209" t="s">
        <v>2987</v>
      </c>
    </row>
    <row r="210" spans="1:5" x14ac:dyDescent="0.2">
      <c r="A210" t="s">
        <v>2326</v>
      </c>
      <c r="B210" t="s">
        <v>372</v>
      </c>
      <c r="C210" t="s">
        <v>0</v>
      </c>
      <c r="D210" s="1">
        <v>0.42307692766189575</v>
      </c>
      <c r="E210" t="s">
        <v>2987</v>
      </c>
    </row>
    <row r="211" spans="1:5" x14ac:dyDescent="0.2">
      <c r="A211" t="s">
        <v>2327</v>
      </c>
      <c r="B211" t="s">
        <v>372</v>
      </c>
      <c r="C211" t="s">
        <v>0</v>
      </c>
      <c r="D211" s="1">
        <v>0.42307692766189575</v>
      </c>
      <c r="E211" t="s">
        <v>2987</v>
      </c>
    </row>
    <row r="212" spans="1:5" x14ac:dyDescent="0.2">
      <c r="A212" t="s">
        <v>2328</v>
      </c>
      <c r="B212" t="s">
        <v>2988</v>
      </c>
      <c r="C212" t="s">
        <v>2988</v>
      </c>
      <c r="D212" s="1">
        <v>0.125</v>
      </c>
      <c r="E212" t="s">
        <v>2987</v>
      </c>
    </row>
    <row r="213" spans="1:5" x14ac:dyDescent="0.2">
      <c r="A213" t="s">
        <v>2329</v>
      </c>
      <c r="B213" t="s">
        <v>2988</v>
      </c>
      <c r="C213" t="s">
        <v>2988</v>
      </c>
      <c r="D213" s="1">
        <v>0</v>
      </c>
      <c r="E213" t="s">
        <v>2987</v>
      </c>
    </row>
    <row r="214" spans="1:5" x14ac:dyDescent="0.2">
      <c r="A214" t="s">
        <v>2330</v>
      </c>
      <c r="B214" t="s">
        <v>552</v>
      </c>
      <c r="C214" t="s">
        <v>0</v>
      </c>
      <c r="D214" s="1">
        <v>0.42105263471603394</v>
      </c>
      <c r="E214" t="s">
        <v>2987</v>
      </c>
    </row>
    <row r="215" spans="1:5" x14ac:dyDescent="0.2">
      <c r="A215" t="s">
        <v>2331</v>
      </c>
      <c r="B215" t="s">
        <v>156</v>
      </c>
      <c r="C215" t="s">
        <v>0</v>
      </c>
      <c r="D215" s="1">
        <v>0.35555556416511536</v>
      </c>
      <c r="E215" t="s">
        <v>2989</v>
      </c>
    </row>
    <row r="216" spans="1:5" x14ac:dyDescent="0.2">
      <c r="A216" t="s">
        <v>2332</v>
      </c>
      <c r="B216" t="s">
        <v>92</v>
      </c>
      <c r="C216" t="s">
        <v>0</v>
      </c>
      <c r="D216" s="1">
        <v>1</v>
      </c>
      <c r="E216" t="s">
        <v>2987</v>
      </c>
    </row>
    <row r="217" spans="1:5" x14ac:dyDescent="0.2">
      <c r="A217" t="s">
        <v>2333</v>
      </c>
      <c r="B217" t="s">
        <v>786</v>
      </c>
      <c r="C217" t="s">
        <v>0</v>
      </c>
      <c r="D217" s="1">
        <v>0.47999998927116394</v>
      </c>
      <c r="E217" t="s">
        <v>2987</v>
      </c>
    </row>
    <row r="218" spans="1:5" x14ac:dyDescent="0.2">
      <c r="A218" t="s">
        <v>2334</v>
      </c>
      <c r="B218" t="s">
        <v>1995</v>
      </c>
      <c r="C218" t="s">
        <v>1</v>
      </c>
      <c r="D218" s="1">
        <v>0.5</v>
      </c>
      <c r="E218" t="s">
        <v>2987</v>
      </c>
    </row>
    <row r="219" spans="1:5" x14ac:dyDescent="0.2">
      <c r="A219" t="s">
        <v>2335</v>
      </c>
      <c r="B219" t="s">
        <v>2988</v>
      </c>
      <c r="C219" t="s">
        <v>2988</v>
      </c>
      <c r="D219" s="1">
        <v>0.1428571492433548</v>
      </c>
      <c r="E219" t="s">
        <v>2987</v>
      </c>
    </row>
    <row r="220" spans="1:5" x14ac:dyDescent="0.2">
      <c r="A220" t="s">
        <v>2336</v>
      </c>
      <c r="B220" t="s">
        <v>2988</v>
      </c>
      <c r="C220" t="s">
        <v>2988</v>
      </c>
      <c r="D220" s="1">
        <v>0.25</v>
      </c>
      <c r="E220" t="s">
        <v>2987</v>
      </c>
    </row>
    <row r="221" spans="1:5" x14ac:dyDescent="0.2">
      <c r="A221" t="s">
        <v>2337</v>
      </c>
      <c r="B221" t="s">
        <v>446</v>
      </c>
      <c r="C221" t="s">
        <v>0</v>
      </c>
      <c r="D221" s="1">
        <v>0.47368422150611877</v>
      </c>
      <c r="E221" t="s">
        <v>2987</v>
      </c>
    </row>
    <row r="222" spans="1:5" x14ac:dyDescent="0.2">
      <c r="A222" t="s">
        <v>2338</v>
      </c>
      <c r="B222" t="s">
        <v>1385</v>
      </c>
      <c r="C222" t="s">
        <v>1</v>
      </c>
      <c r="D222" s="1">
        <v>0.5</v>
      </c>
      <c r="E222" t="s">
        <v>2987</v>
      </c>
    </row>
    <row r="223" spans="1:5" x14ac:dyDescent="0.2">
      <c r="A223" t="s">
        <v>2339</v>
      </c>
      <c r="B223" t="s">
        <v>1702</v>
      </c>
      <c r="C223" t="s">
        <v>1</v>
      </c>
      <c r="D223" s="1">
        <v>0.62857145071029663</v>
      </c>
      <c r="E223" t="s">
        <v>2987</v>
      </c>
    </row>
    <row r="224" spans="1:5" x14ac:dyDescent="0.2">
      <c r="A224" t="s">
        <v>2340</v>
      </c>
      <c r="B224" t="s">
        <v>1528</v>
      </c>
      <c r="C224" t="s">
        <v>1</v>
      </c>
      <c r="D224" s="1">
        <v>0.4375</v>
      </c>
      <c r="E224" t="s">
        <v>2987</v>
      </c>
    </row>
    <row r="225" spans="1:5" x14ac:dyDescent="0.2">
      <c r="A225" t="s">
        <v>2341</v>
      </c>
      <c r="B225" t="s">
        <v>212</v>
      </c>
      <c r="C225" t="s">
        <v>0</v>
      </c>
      <c r="D225" s="1">
        <v>0.5625</v>
      </c>
      <c r="E225" t="s">
        <v>2987</v>
      </c>
    </row>
    <row r="226" spans="1:5" x14ac:dyDescent="0.2">
      <c r="A226" t="s">
        <v>2342</v>
      </c>
      <c r="B226" t="s">
        <v>1767</v>
      </c>
      <c r="C226" t="s">
        <v>1</v>
      </c>
      <c r="D226" s="1">
        <v>0.40000000596046448</v>
      </c>
      <c r="E226" t="s">
        <v>2987</v>
      </c>
    </row>
    <row r="227" spans="1:5" x14ac:dyDescent="0.2">
      <c r="A227" t="s">
        <v>2343</v>
      </c>
      <c r="B227" t="s">
        <v>1767</v>
      </c>
      <c r="C227" t="s">
        <v>1</v>
      </c>
      <c r="D227" s="1">
        <v>0.41025641560554504</v>
      </c>
      <c r="E227" t="s">
        <v>2987</v>
      </c>
    </row>
    <row r="228" spans="1:5" x14ac:dyDescent="0.2">
      <c r="A228" t="s">
        <v>2344</v>
      </c>
      <c r="B228" t="s">
        <v>1139</v>
      </c>
      <c r="C228" t="s">
        <v>0</v>
      </c>
      <c r="D228" s="1">
        <v>0.28125</v>
      </c>
      <c r="E228" t="s">
        <v>2989</v>
      </c>
    </row>
    <row r="229" spans="1:5" x14ac:dyDescent="0.2">
      <c r="A229" t="s">
        <v>2345</v>
      </c>
      <c r="B229" t="s">
        <v>1139</v>
      </c>
      <c r="C229" t="s">
        <v>0</v>
      </c>
      <c r="D229" s="1">
        <v>0.30000001192092896</v>
      </c>
      <c r="E229" t="s">
        <v>2989</v>
      </c>
    </row>
    <row r="230" spans="1:5" x14ac:dyDescent="0.2">
      <c r="A230" t="s">
        <v>2346</v>
      </c>
      <c r="B230" t="s">
        <v>1768</v>
      </c>
      <c r="C230" t="s">
        <v>1</v>
      </c>
      <c r="D230" s="1">
        <v>0.46153846383094788</v>
      </c>
      <c r="E230" t="s">
        <v>2987</v>
      </c>
    </row>
    <row r="231" spans="1:5" x14ac:dyDescent="0.2">
      <c r="A231" t="s">
        <v>2347</v>
      </c>
      <c r="B231" t="s">
        <v>1769</v>
      </c>
      <c r="C231" t="s">
        <v>1</v>
      </c>
      <c r="D231" s="1">
        <v>0.54545456171035767</v>
      </c>
      <c r="E231" t="s">
        <v>2987</v>
      </c>
    </row>
    <row r="232" spans="1:5" x14ac:dyDescent="0.2">
      <c r="A232" t="s">
        <v>2348</v>
      </c>
      <c r="B232" t="s">
        <v>156</v>
      </c>
      <c r="C232" t="s">
        <v>0</v>
      </c>
      <c r="D232" s="1">
        <v>0.58333331346511841</v>
      </c>
      <c r="E232" t="s">
        <v>2987</v>
      </c>
    </row>
    <row r="233" spans="1:5" x14ac:dyDescent="0.2">
      <c r="A233" t="s">
        <v>2349</v>
      </c>
      <c r="B233" t="s">
        <v>1037</v>
      </c>
      <c r="C233" t="s">
        <v>1</v>
      </c>
      <c r="D233" s="1">
        <v>0.4444444477558136</v>
      </c>
      <c r="E233" t="s">
        <v>2987</v>
      </c>
    </row>
    <row r="234" spans="1:5" x14ac:dyDescent="0.2">
      <c r="A234" t="s">
        <v>2350</v>
      </c>
      <c r="B234" t="s">
        <v>2988</v>
      </c>
      <c r="C234" t="s">
        <v>2988</v>
      </c>
      <c r="D234" s="1">
        <v>0.23076923191547394</v>
      </c>
      <c r="E234" t="s">
        <v>2987</v>
      </c>
    </row>
    <row r="235" spans="1:5" x14ac:dyDescent="0.2">
      <c r="A235" t="s">
        <v>2351</v>
      </c>
      <c r="B235" t="s">
        <v>411</v>
      </c>
      <c r="C235" t="s">
        <v>1</v>
      </c>
      <c r="D235" s="1">
        <v>0.5517241358757019</v>
      </c>
      <c r="E235" t="s">
        <v>2987</v>
      </c>
    </row>
    <row r="236" spans="1:5" x14ac:dyDescent="0.2">
      <c r="A236" t="s">
        <v>2352</v>
      </c>
      <c r="B236" t="s">
        <v>289</v>
      </c>
      <c r="C236" t="s">
        <v>1</v>
      </c>
      <c r="D236" s="1">
        <v>1</v>
      </c>
      <c r="E236" t="s">
        <v>2987</v>
      </c>
    </row>
    <row r="237" spans="1:5" x14ac:dyDescent="0.2">
      <c r="A237" t="s">
        <v>2353</v>
      </c>
      <c r="B237" t="s">
        <v>1015</v>
      </c>
      <c r="C237" t="s">
        <v>1</v>
      </c>
      <c r="D237" s="1">
        <v>0.3888888955116272</v>
      </c>
      <c r="E237" t="s">
        <v>2989</v>
      </c>
    </row>
    <row r="238" spans="1:5" x14ac:dyDescent="0.2">
      <c r="A238" t="s">
        <v>2354</v>
      </c>
      <c r="B238" t="s">
        <v>413</v>
      </c>
      <c r="C238" t="s">
        <v>1</v>
      </c>
      <c r="D238" s="1">
        <v>0.46666666865348816</v>
      </c>
      <c r="E238" t="s">
        <v>2987</v>
      </c>
    </row>
    <row r="239" spans="1:5" x14ac:dyDescent="0.2">
      <c r="A239" t="s">
        <v>2355</v>
      </c>
      <c r="B239" t="s">
        <v>1014</v>
      </c>
      <c r="C239" t="s">
        <v>0</v>
      </c>
      <c r="D239" s="1">
        <v>0.5</v>
      </c>
      <c r="E239" t="s">
        <v>2987</v>
      </c>
    </row>
    <row r="240" spans="1:5" x14ac:dyDescent="0.2">
      <c r="A240" t="s">
        <v>2356</v>
      </c>
      <c r="B240" t="s">
        <v>1556</v>
      </c>
      <c r="C240" t="s">
        <v>1</v>
      </c>
      <c r="D240" s="1">
        <v>0.77419352531433105</v>
      </c>
      <c r="E240" t="s">
        <v>2987</v>
      </c>
    </row>
    <row r="241" spans="1:5" x14ac:dyDescent="0.2">
      <c r="A241" t="s">
        <v>2357</v>
      </c>
      <c r="B241" t="s">
        <v>1471</v>
      </c>
      <c r="C241" t="s">
        <v>1</v>
      </c>
      <c r="D241" s="1">
        <v>1</v>
      </c>
      <c r="E241" t="s">
        <v>2987</v>
      </c>
    </row>
    <row r="242" spans="1:5" x14ac:dyDescent="0.2">
      <c r="A242" t="s">
        <v>2358</v>
      </c>
      <c r="B242" t="s">
        <v>1404</v>
      </c>
      <c r="C242" t="s">
        <v>0</v>
      </c>
      <c r="D242" s="1">
        <v>0.21333333849906921</v>
      </c>
      <c r="E242" t="s">
        <v>2989</v>
      </c>
    </row>
    <row r="243" spans="1:5" x14ac:dyDescent="0.2">
      <c r="A243" t="s">
        <v>2359</v>
      </c>
      <c r="B243" t="s">
        <v>606</v>
      </c>
      <c r="C243" t="s">
        <v>0</v>
      </c>
      <c r="D243" s="1">
        <v>0.42424243688583374</v>
      </c>
      <c r="E243" t="s">
        <v>2987</v>
      </c>
    </row>
    <row r="244" spans="1:5" x14ac:dyDescent="0.2">
      <c r="A244" t="s">
        <v>2360</v>
      </c>
      <c r="B244" t="s">
        <v>1103</v>
      </c>
      <c r="C244" t="s">
        <v>0</v>
      </c>
      <c r="D244" s="1">
        <v>0.4375</v>
      </c>
      <c r="E244" t="s">
        <v>2987</v>
      </c>
    </row>
    <row r="245" spans="1:5" x14ac:dyDescent="0.2">
      <c r="A245" t="s">
        <v>2361</v>
      </c>
      <c r="B245" t="s">
        <v>1774</v>
      </c>
      <c r="C245" t="s">
        <v>1</v>
      </c>
      <c r="D245" s="1">
        <v>0.53846156597137451</v>
      </c>
      <c r="E245" t="s">
        <v>2987</v>
      </c>
    </row>
    <row r="246" spans="1:5" x14ac:dyDescent="0.2">
      <c r="A246" t="s">
        <v>2362</v>
      </c>
      <c r="B246" t="s">
        <v>109</v>
      </c>
      <c r="C246" t="s">
        <v>1</v>
      </c>
      <c r="D246" s="1">
        <v>0.4444444477558136</v>
      </c>
      <c r="E246" t="s">
        <v>2987</v>
      </c>
    </row>
    <row r="247" spans="1:5" x14ac:dyDescent="0.2">
      <c r="A247" t="s">
        <v>2363</v>
      </c>
      <c r="B247" t="s">
        <v>2988</v>
      </c>
      <c r="C247" t="s">
        <v>2988</v>
      </c>
      <c r="D247" s="1">
        <v>0</v>
      </c>
      <c r="E247" t="s">
        <v>2987</v>
      </c>
    </row>
    <row r="248" spans="1:5" x14ac:dyDescent="0.2">
      <c r="A248" t="s">
        <v>2364</v>
      </c>
      <c r="B248" t="s">
        <v>1807</v>
      </c>
      <c r="C248" t="s">
        <v>1</v>
      </c>
      <c r="D248" s="1">
        <v>0.5151515007019043</v>
      </c>
      <c r="E248" t="s">
        <v>2987</v>
      </c>
    </row>
    <row r="249" spans="1:5" x14ac:dyDescent="0.2">
      <c r="A249" t="s">
        <v>2365</v>
      </c>
      <c r="B249" t="s">
        <v>2988</v>
      </c>
      <c r="C249" t="s">
        <v>2988</v>
      </c>
      <c r="D249" s="1">
        <v>0</v>
      </c>
      <c r="E249" t="s">
        <v>2987</v>
      </c>
    </row>
    <row r="250" spans="1:5" x14ac:dyDescent="0.2">
      <c r="A250" t="s">
        <v>2366</v>
      </c>
      <c r="B250" t="s">
        <v>2988</v>
      </c>
      <c r="C250" t="s">
        <v>2988</v>
      </c>
      <c r="D250" s="1">
        <v>0</v>
      </c>
      <c r="E250" t="s">
        <v>2987</v>
      </c>
    </row>
    <row r="251" spans="1:5" x14ac:dyDescent="0.2">
      <c r="A251" t="s">
        <v>2367</v>
      </c>
      <c r="B251" t="s">
        <v>2988</v>
      </c>
      <c r="C251" t="s">
        <v>2988</v>
      </c>
      <c r="D251" s="1">
        <v>0.125</v>
      </c>
      <c r="E251" t="s">
        <v>2987</v>
      </c>
    </row>
    <row r="252" spans="1:5" x14ac:dyDescent="0.2">
      <c r="A252" t="s">
        <v>2368</v>
      </c>
      <c r="B252" t="s">
        <v>2988</v>
      </c>
      <c r="C252" t="s">
        <v>2988</v>
      </c>
      <c r="D252" s="1">
        <v>0</v>
      </c>
      <c r="E252" t="s">
        <v>2987</v>
      </c>
    </row>
    <row r="253" spans="1:5" x14ac:dyDescent="0.2">
      <c r="A253" t="s">
        <v>2369</v>
      </c>
      <c r="B253" t="s">
        <v>971</v>
      </c>
      <c r="C253" t="s">
        <v>1</v>
      </c>
      <c r="D253" s="1">
        <v>0.46153846383094788</v>
      </c>
      <c r="E253" t="s">
        <v>2987</v>
      </c>
    </row>
    <row r="254" spans="1:5" x14ac:dyDescent="0.2">
      <c r="A254" t="s">
        <v>2370</v>
      </c>
      <c r="B254" t="s">
        <v>991</v>
      </c>
      <c r="C254" t="s">
        <v>0</v>
      </c>
      <c r="D254" s="1">
        <v>0.46666666865348816</v>
      </c>
      <c r="E254" t="s">
        <v>2987</v>
      </c>
    </row>
    <row r="255" spans="1:5" x14ac:dyDescent="0.2">
      <c r="A255" t="s">
        <v>2371</v>
      </c>
      <c r="B255" t="s">
        <v>1040</v>
      </c>
      <c r="C255" t="s">
        <v>0</v>
      </c>
      <c r="D255" s="1">
        <v>0.41860464215278625</v>
      </c>
      <c r="E255" t="s">
        <v>2987</v>
      </c>
    </row>
    <row r="256" spans="1:5" x14ac:dyDescent="0.2">
      <c r="A256" t="s">
        <v>2372</v>
      </c>
      <c r="B256" t="s">
        <v>1040</v>
      </c>
      <c r="C256" t="s">
        <v>0</v>
      </c>
      <c r="D256" s="1">
        <v>0.40000000596046448</v>
      </c>
      <c r="E256" t="s">
        <v>2987</v>
      </c>
    </row>
    <row r="257" spans="1:5" x14ac:dyDescent="0.2">
      <c r="A257" t="s">
        <v>2373</v>
      </c>
      <c r="B257" t="s">
        <v>2988</v>
      </c>
      <c r="C257" t="s">
        <v>2988</v>
      </c>
      <c r="D257" s="1">
        <v>0.1428571492433548</v>
      </c>
      <c r="E257" t="s">
        <v>2987</v>
      </c>
    </row>
    <row r="258" spans="1:5" x14ac:dyDescent="0.2">
      <c r="A258" t="s">
        <v>2374</v>
      </c>
      <c r="B258" t="s">
        <v>417</v>
      </c>
      <c r="C258" t="s">
        <v>1</v>
      </c>
      <c r="D258" s="1">
        <v>0.4166666567325592</v>
      </c>
      <c r="E258" t="s">
        <v>2987</v>
      </c>
    </row>
    <row r="259" spans="1:5" x14ac:dyDescent="0.2">
      <c r="A259" t="s">
        <v>2375</v>
      </c>
      <c r="B259" t="s">
        <v>417</v>
      </c>
      <c r="C259" t="s">
        <v>1</v>
      </c>
      <c r="D259" s="1">
        <v>0.60000002384185791</v>
      </c>
      <c r="E259" t="s">
        <v>2987</v>
      </c>
    </row>
    <row r="260" spans="1:5" x14ac:dyDescent="0.2">
      <c r="A260" t="s">
        <v>2376</v>
      </c>
      <c r="B260" t="s">
        <v>2988</v>
      </c>
      <c r="C260" t="s">
        <v>2988</v>
      </c>
      <c r="D260" s="1">
        <v>7.6923079788684845E-2</v>
      </c>
      <c r="E260" t="s">
        <v>2987</v>
      </c>
    </row>
    <row r="261" spans="1:5" x14ac:dyDescent="0.2">
      <c r="A261" t="s">
        <v>2377</v>
      </c>
      <c r="B261" t="s">
        <v>2988</v>
      </c>
      <c r="C261" t="s">
        <v>2988</v>
      </c>
      <c r="D261" s="1">
        <v>0.25</v>
      </c>
      <c r="E261" t="s">
        <v>2987</v>
      </c>
    </row>
    <row r="262" spans="1:5" x14ac:dyDescent="0.2">
      <c r="A262" t="s">
        <v>2378</v>
      </c>
      <c r="B262" t="s">
        <v>503</v>
      </c>
      <c r="C262" t="s">
        <v>1</v>
      </c>
      <c r="D262" s="1">
        <v>0.4375</v>
      </c>
      <c r="E262" t="s">
        <v>2987</v>
      </c>
    </row>
    <row r="263" spans="1:5" x14ac:dyDescent="0.2">
      <c r="A263" t="s">
        <v>2379</v>
      </c>
      <c r="B263" t="s">
        <v>2009</v>
      </c>
      <c r="C263" t="s">
        <v>1</v>
      </c>
      <c r="D263" s="1">
        <v>0.40000000596046448</v>
      </c>
      <c r="E263" t="s">
        <v>2987</v>
      </c>
    </row>
    <row r="264" spans="1:5" x14ac:dyDescent="0.2">
      <c r="A264" t="s">
        <v>2380</v>
      </c>
      <c r="B264" t="s">
        <v>822</v>
      </c>
      <c r="C264" t="s">
        <v>0</v>
      </c>
      <c r="D264" s="1">
        <v>0.60000002384185791</v>
      </c>
      <c r="E264" t="s">
        <v>2987</v>
      </c>
    </row>
    <row r="265" spans="1:5" x14ac:dyDescent="0.2">
      <c r="A265" t="s">
        <v>2381</v>
      </c>
      <c r="B265" t="s">
        <v>1583</v>
      </c>
      <c r="C265" t="s">
        <v>1</v>
      </c>
      <c r="D265" s="1">
        <v>0.40000000596046448</v>
      </c>
      <c r="E265" t="s">
        <v>2987</v>
      </c>
    </row>
    <row r="266" spans="1:5" x14ac:dyDescent="0.2">
      <c r="A266" t="s">
        <v>2382</v>
      </c>
      <c r="B266" t="s">
        <v>2988</v>
      </c>
      <c r="C266" t="s">
        <v>2988</v>
      </c>
      <c r="D266" s="1">
        <v>0.125</v>
      </c>
      <c r="E266" t="s">
        <v>2987</v>
      </c>
    </row>
    <row r="267" spans="1:5" x14ac:dyDescent="0.2">
      <c r="A267" t="s">
        <v>2383</v>
      </c>
      <c r="B267" t="s">
        <v>1167</v>
      </c>
      <c r="C267" t="s">
        <v>0</v>
      </c>
      <c r="D267" s="1">
        <v>0.55555558204650879</v>
      </c>
      <c r="E267" t="s">
        <v>2987</v>
      </c>
    </row>
    <row r="268" spans="1:5" x14ac:dyDescent="0.2">
      <c r="A268" t="s">
        <v>2384</v>
      </c>
      <c r="B268" t="s">
        <v>419</v>
      </c>
      <c r="C268" t="s">
        <v>1</v>
      </c>
      <c r="D268" s="1">
        <v>0.5161290168762207</v>
      </c>
      <c r="E268" t="s">
        <v>2987</v>
      </c>
    </row>
    <row r="269" spans="1:5" x14ac:dyDescent="0.2">
      <c r="A269" t="s">
        <v>2385</v>
      </c>
      <c r="B269" t="s">
        <v>29</v>
      </c>
      <c r="C269" t="s">
        <v>1</v>
      </c>
      <c r="D269" s="1">
        <v>0.39344263076782227</v>
      </c>
      <c r="E269" t="s">
        <v>2989</v>
      </c>
    </row>
    <row r="270" spans="1:5" x14ac:dyDescent="0.2">
      <c r="A270" t="s">
        <v>2386</v>
      </c>
      <c r="B270" t="s">
        <v>2010</v>
      </c>
      <c r="C270" t="s">
        <v>1</v>
      </c>
      <c r="D270" s="1">
        <v>0.59259259700775146</v>
      </c>
      <c r="E270" t="s">
        <v>2987</v>
      </c>
    </row>
    <row r="271" spans="1:5" x14ac:dyDescent="0.2">
      <c r="A271" t="s">
        <v>2387</v>
      </c>
      <c r="B271" t="s">
        <v>898</v>
      </c>
      <c r="C271" t="s">
        <v>0</v>
      </c>
      <c r="D271" s="1">
        <v>0.66666668653488159</v>
      </c>
      <c r="E271" t="s">
        <v>2987</v>
      </c>
    </row>
    <row r="272" spans="1:5" x14ac:dyDescent="0.2">
      <c r="A272" t="s">
        <v>2388</v>
      </c>
      <c r="B272" t="s">
        <v>1581</v>
      </c>
      <c r="C272" t="s">
        <v>1</v>
      </c>
      <c r="D272" s="1">
        <v>0.6111111044883728</v>
      </c>
      <c r="E272" t="s">
        <v>2987</v>
      </c>
    </row>
    <row r="273" spans="1:5" x14ac:dyDescent="0.2">
      <c r="A273" t="s">
        <v>2389</v>
      </c>
      <c r="B273" t="s">
        <v>2988</v>
      </c>
      <c r="C273" t="s">
        <v>2988</v>
      </c>
      <c r="D273" s="1">
        <v>0</v>
      </c>
      <c r="E273" t="s">
        <v>2987</v>
      </c>
    </row>
    <row r="274" spans="1:5" x14ac:dyDescent="0.2">
      <c r="A274" t="s">
        <v>2390</v>
      </c>
      <c r="B274" t="s">
        <v>2988</v>
      </c>
      <c r="C274" t="s">
        <v>2988</v>
      </c>
      <c r="D274" s="1">
        <v>0</v>
      </c>
      <c r="E274" t="s">
        <v>2987</v>
      </c>
    </row>
    <row r="275" spans="1:5" x14ac:dyDescent="0.2">
      <c r="A275" t="s">
        <v>2391</v>
      </c>
      <c r="B275" t="s">
        <v>2988</v>
      </c>
      <c r="C275" t="s">
        <v>2988</v>
      </c>
      <c r="D275" s="1">
        <v>0.15384615957736969</v>
      </c>
      <c r="E275" t="s">
        <v>2987</v>
      </c>
    </row>
    <row r="276" spans="1:5" x14ac:dyDescent="0.2">
      <c r="A276" t="s">
        <v>2392</v>
      </c>
      <c r="B276" t="s">
        <v>94</v>
      </c>
      <c r="C276" t="s">
        <v>0</v>
      </c>
      <c r="D276" s="1">
        <v>1</v>
      </c>
      <c r="E276" t="s">
        <v>2987</v>
      </c>
    </row>
    <row r="277" spans="1:5" x14ac:dyDescent="0.2">
      <c r="A277" t="s">
        <v>2393</v>
      </c>
      <c r="B277" t="s">
        <v>2988</v>
      </c>
      <c r="C277" t="s">
        <v>2988</v>
      </c>
      <c r="D277" s="1">
        <v>0</v>
      </c>
      <c r="E277" t="s">
        <v>2987</v>
      </c>
    </row>
    <row r="278" spans="1:5" x14ac:dyDescent="0.2">
      <c r="A278" t="s">
        <v>2394</v>
      </c>
      <c r="B278" t="s">
        <v>2988</v>
      </c>
      <c r="C278" t="s">
        <v>2988</v>
      </c>
      <c r="D278" s="1">
        <v>0</v>
      </c>
      <c r="E278" t="s">
        <v>2987</v>
      </c>
    </row>
    <row r="279" spans="1:5" x14ac:dyDescent="0.2">
      <c r="A279" t="s">
        <v>2395</v>
      </c>
      <c r="B279" t="s">
        <v>2988</v>
      </c>
      <c r="C279" t="s">
        <v>2988</v>
      </c>
      <c r="D279" s="1">
        <v>0</v>
      </c>
      <c r="E279" t="s">
        <v>2987</v>
      </c>
    </row>
    <row r="280" spans="1:5" x14ac:dyDescent="0.2">
      <c r="A280" t="s">
        <v>2396</v>
      </c>
      <c r="B280" t="s">
        <v>2988</v>
      </c>
      <c r="C280" t="s">
        <v>2988</v>
      </c>
      <c r="D280" s="1">
        <v>0.125</v>
      </c>
      <c r="E280" t="s">
        <v>2987</v>
      </c>
    </row>
    <row r="281" spans="1:5" x14ac:dyDescent="0.2">
      <c r="A281" t="s">
        <v>2397</v>
      </c>
      <c r="B281" t="s">
        <v>2988</v>
      </c>
      <c r="C281" t="s">
        <v>2988</v>
      </c>
      <c r="D281" s="1">
        <v>0.125</v>
      </c>
      <c r="E281" t="s">
        <v>2987</v>
      </c>
    </row>
    <row r="282" spans="1:5" x14ac:dyDescent="0.2">
      <c r="A282" t="s">
        <v>2398</v>
      </c>
      <c r="B282" t="s">
        <v>1314</v>
      </c>
      <c r="C282" t="s">
        <v>1</v>
      </c>
      <c r="D282" s="1">
        <v>0.43243244290351868</v>
      </c>
      <c r="E282" t="s">
        <v>2987</v>
      </c>
    </row>
    <row r="283" spans="1:5" x14ac:dyDescent="0.2">
      <c r="A283" t="s">
        <v>2399</v>
      </c>
      <c r="B283" t="s">
        <v>2988</v>
      </c>
      <c r="C283" t="s">
        <v>2988</v>
      </c>
      <c r="D283" s="1">
        <v>0.125</v>
      </c>
      <c r="E283" t="s">
        <v>2987</v>
      </c>
    </row>
    <row r="284" spans="1:5" x14ac:dyDescent="0.2">
      <c r="A284" t="s">
        <v>2400</v>
      </c>
      <c r="B284" t="s">
        <v>38</v>
      </c>
      <c r="C284" t="s">
        <v>0</v>
      </c>
      <c r="D284" s="1">
        <v>0.51999998092651367</v>
      </c>
      <c r="E284" t="s">
        <v>2987</v>
      </c>
    </row>
    <row r="285" spans="1:5" x14ac:dyDescent="0.2">
      <c r="A285" t="s">
        <v>2401</v>
      </c>
      <c r="B285" t="s">
        <v>38</v>
      </c>
      <c r="C285" t="s">
        <v>0</v>
      </c>
      <c r="D285" s="1">
        <v>0.66666668653488159</v>
      </c>
      <c r="E285" t="s">
        <v>2987</v>
      </c>
    </row>
    <row r="286" spans="1:5" x14ac:dyDescent="0.2">
      <c r="A286" t="s">
        <v>2402</v>
      </c>
      <c r="B286" t="s">
        <v>38</v>
      </c>
      <c r="C286" t="s">
        <v>0</v>
      </c>
      <c r="D286" s="1">
        <v>1</v>
      </c>
      <c r="E286" t="s">
        <v>2987</v>
      </c>
    </row>
    <row r="287" spans="1:5" x14ac:dyDescent="0.2">
      <c r="A287" t="s">
        <v>2403</v>
      </c>
      <c r="B287" t="s">
        <v>2988</v>
      </c>
      <c r="C287" t="s">
        <v>2988</v>
      </c>
      <c r="D287" s="1">
        <v>0</v>
      </c>
      <c r="E287" t="s">
        <v>2987</v>
      </c>
    </row>
    <row r="288" spans="1:5" x14ac:dyDescent="0.2">
      <c r="A288" t="s">
        <v>2404</v>
      </c>
      <c r="B288" t="s">
        <v>741</v>
      </c>
      <c r="C288" t="s">
        <v>1</v>
      </c>
      <c r="D288" s="1">
        <v>0.5</v>
      </c>
      <c r="E288" t="s">
        <v>2987</v>
      </c>
    </row>
    <row r="289" spans="1:5" x14ac:dyDescent="0.2">
      <c r="A289" t="s">
        <v>2405</v>
      </c>
      <c r="B289" t="s">
        <v>2988</v>
      </c>
      <c r="C289" t="s">
        <v>2988</v>
      </c>
      <c r="D289" s="1">
        <v>0.10000000149011612</v>
      </c>
      <c r="E289" t="s">
        <v>2987</v>
      </c>
    </row>
    <row r="290" spans="1:5" x14ac:dyDescent="0.2">
      <c r="A290" t="s">
        <v>2406</v>
      </c>
      <c r="B290" t="s">
        <v>1210</v>
      </c>
      <c r="C290" t="s">
        <v>0</v>
      </c>
      <c r="D290" s="1">
        <v>0.4117647111415863</v>
      </c>
      <c r="E290" t="s">
        <v>2987</v>
      </c>
    </row>
    <row r="291" spans="1:5" x14ac:dyDescent="0.2">
      <c r="A291" t="s">
        <v>2407</v>
      </c>
      <c r="B291" t="s">
        <v>941</v>
      </c>
      <c r="C291" t="s">
        <v>1</v>
      </c>
      <c r="D291" s="1">
        <v>0.46153846383094788</v>
      </c>
      <c r="E291" t="s">
        <v>2987</v>
      </c>
    </row>
    <row r="292" spans="1:5" x14ac:dyDescent="0.2">
      <c r="A292" t="s">
        <v>2408</v>
      </c>
      <c r="B292" t="s">
        <v>1788</v>
      </c>
      <c r="C292" t="s">
        <v>1</v>
      </c>
      <c r="D292" s="1">
        <v>0.48571428656578064</v>
      </c>
      <c r="E292" t="s">
        <v>2987</v>
      </c>
    </row>
    <row r="293" spans="1:5" x14ac:dyDescent="0.2">
      <c r="A293" t="s">
        <v>2409</v>
      </c>
      <c r="B293" t="s">
        <v>384</v>
      </c>
      <c r="C293" t="s">
        <v>0</v>
      </c>
      <c r="D293" s="1">
        <v>0.59259259700775146</v>
      </c>
      <c r="E293" t="s">
        <v>2987</v>
      </c>
    </row>
    <row r="294" spans="1:5" x14ac:dyDescent="0.2">
      <c r="A294" t="s">
        <v>2410</v>
      </c>
      <c r="B294" t="s">
        <v>1789</v>
      </c>
      <c r="C294" t="s">
        <v>1</v>
      </c>
      <c r="D294" s="1">
        <v>0.27777779102325439</v>
      </c>
      <c r="E294" t="s">
        <v>2989</v>
      </c>
    </row>
    <row r="295" spans="1:5" x14ac:dyDescent="0.2">
      <c r="A295" t="s">
        <v>2411</v>
      </c>
      <c r="B295" t="s">
        <v>1790</v>
      </c>
      <c r="C295" t="s">
        <v>1</v>
      </c>
      <c r="D295" s="1">
        <v>0.41304346919059753</v>
      </c>
      <c r="E295" t="s">
        <v>2987</v>
      </c>
    </row>
    <row r="296" spans="1:5" x14ac:dyDescent="0.2">
      <c r="A296" t="s">
        <v>2412</v>
      </c>
      <c r="B296" t="s">
        <v>745</v>
      </c>
      <c r="C296" t="s">
        <v>1</v>
      </c>
      <c r="D296" s="1">
        <v>0.56000000238418579</v>
      </c>
      <c r="E296" t="s">
        <v>2987</v>
      </c>
    </row>
    <row r="297" spans="1:5" x14ac:dyDescent="0.2">
      <c r="A297" t="s">
        <v>2413</v>
      </c>
      <c r="B297" t="s">
        <v>557</v>
      </c>
      <c r="C297" t="s">
        <v>1</v>
      </c>
      <c r="D297" s="1">
        <v>0.66666668653488159</v>
      </c>
      <c r="E297" t="s">
        <v>2987</v>
      </c>
    </row>
    <row r="298" spans="1:5" x14ac:dyDescent="0.2">
      <c r="A298" t="s">
        <v>2414</v>
      </c>
      <c r="B298" t="s">
        <v>1763</v>
      </c>
      <c r="C298" t="s">
        <v>1</v>
      </c>
      <c r="D298" s="1">
        <v>1</v>
      </c>
      <c r="E298" t="s">
        <v>2987</v>
      </c>
    </row>
    <row r="299" spans="1:5" x14ac:dyDescent="0.2">
      <c r="A299" t="s">
        <v>2415</v>
      </c>
      <c r="B299" t="s">
        <v>2988</v>
      </c>
      <c r="C299" t="s">
        <v>2988</v>
      </c>
      <c r="D299" s="1">
        <v>0.125</v>
      </c>
      <c r="E299" t="s">
        <v>2987</v>
      </c>
    </row>
    <row r="300" spans="1:5" x14ac:dyDescent="0.2">
      <c r="A300" t="s">
        <v>2416</v>
      </c>
      <c r="B300" t="s">
        <v>1387</v>
      </c>
      <c r="C300" t="s">
        <v>1</v>
      </c>
      <c r="D300" s="1">
        <v>0.4375</v>
      </c>
      <c r="E300" t="s">
        <v>2987</v>
      </c>
    </row>
    <row r="301" spans="1:5" x14ac:dyDescent="0.2">
      <c r="A301" t="s">
        <v>2417</v>
      </c>
      <c r="B301" t="s">
        <v>2040</v>
      </c>
      <c r="C301" t="s">
        <v>1</v>
      </c>
      <c r="D301" s="1">
        <v>0.4444444477558136</v>
      </c>
      <c r="E301" t="s">
        <v>2987</v>
      </c>
    </row>
    <row r="302" spans="1:5" x14ac:dyDescent="0.2">
      <c r="A302" t="s">
        <v>2418</v>
      </c>
      <c r="B302" t="s">
        <v>2988</v>
      </c>
      <c r="C302" t="s">
        <v>2988</v>
      </c>
      <c r="D302" s="1">
        <v>0.1428571492433548</v>
      </c>
      <c r="E302" t="s">
        <v>2987</v>
      </c>
    </row>
    <row r="303" spans="1:5" x14ac:dyDescent="0.2">
      <c r="A303" t="s">
        <v>2419</v>
      </c>
      <c r="B303" t="s">
        <v>632</v>
      </c>
      <c r="C303" t="s">
        <v>0</v>
      </c>
      <c r="D303" s="1">
        <v>0.5625</v>
      </c>
      <c r="E303" t="s">
        <v>2987</v>
      </c>
    </row>
    <row r="304" spans="1:5" x14ac:dyDescent="0.2">
      <c r="A304" t="s">
        <v>2420</v>
      </c>
      <c r="B304" t="s">
        <v>2988</v>
      </c>
      <c r="C304" t="s">
        <v>2988</v>
      </c>
      <c r="D304" s="1">
        <v>0</v>
      </c>
      <c r="E304" t="s">
        <v>2987</v>
      </c>
    </row>
    <row r="305" spans="1:5" x14ac:dyDescent="0.2">
      <c r="A305" t="s">
        <v>2421</v>
      </c>
      <c r="B305" t="s">
        <v>856</v>
      </c>
      <c r="C305" t="s">
        <v>0</v>
      </c>
      <c r="D305" s="1">
        <v>0.41025641560554504</v>
      </c>
      <c r="E305" t="s">
        <v>2987</v>
      </c>
    </row>
    <row r="306" spans="1:5" x14ac:dyDescent="0.2">
      <c r="A306" t="s">
        <v>2422</v>
      </c>
      <c r="B306" t="s">
        <v>2988</v>
      </c>
      <c r="C306" t="s">
        <v>2988</v>
      </c>
      <c r="D306" s="1">
        <v>0.1428571492433548</v>
      </c>
      <c r="E306" t="s">
        <v>2987</v>
      </c>
    </row>
    <row r="307" spans="1:5" x14ac:dyDescent="0.2">
      <c r="A307" t="s">
        <v>2423</v>
      </c>
      <c r="B307" t="s">
        <v>2988</v>
      </c>
      <c r="C307" t="s">
        <v>2988</v>
      </c>
      <c r="D307" s="1">
        <v>0</v>
      </c>
      <c r="E307" t="s">
        <v>2987</v>
      </c>
    </row>
    <row r="308" spans="1:5" x14ac:dyDescent="0.2">
      <c r="A308" t="s">
        <v>2424</v>
      </c>
      <c r="B308" t="s">
        <v>361</v>
      </c>
      <c r="C308" t="s">
        <v>0</v>
      </c>
      <c r="D308" s="1">
        <v>0.47368422150611877</v>
      </c>
      <c r="E308" t="s">
        <v>2987</v>
      </c>
    </row>
    <row r="309" spans="1:5" x14ac:dyDescent="0.2">
      <c r="A309" t="s">
        <v>2425</v>
      </c>
      <c r="B309" t="s">
        <v>1389</v>
      </c>
      <c r="C309" t="s">
        <v>1</v>
      </c>
      <c r="D309" s="1">
        <v>0.36363637447357178</v>
      </c>
      <c r="E309" t="s">
        <v>2989</v>
      </c>
    </row>
    <row r="310" spans="1:5" x14ac:dyDescent="0.2">
      <c r="A310" t="s">
        <v>2426</v>
      </c>
      <c r="B310" t="s">
        <v>1660</v>
      </c>
      <c r="C310" t="s">
        <v>1</v>
      </c>
      <c r="D310" s="1">
        <v>0.52777779102325439</v>
      </c>
      <c r="E310" t="s">
        <v>2987</v>
      </c>
    </row>
    <row r="311" spans="1:5" x14ac:dyDescent="0.2">
      <c r="A311" t="s">
        <v>2427</v>
      </c>
      <c r="B311" t="s">
        <v>1661</v>
      </c>
      <c r="C311" t="s">
        <v>1</v>
      </c>
      <c r="D311" s="1">
        <v>0.50684928894042969</v>
      </c>
      <c r="E311" t="s">
        <v>2987</v>
      </c>
    </row>
    <row r="312" spans="1:5" x14ac:dyDescent="0.2">
      <c r="A312" t="s">
        <v>2428</v>
      </c>
      <c r="B312" t="s">
        <v>1660</v>
      </c>
      <c r="C312" t="s">
        <v>1</v>
      </c>
      <c r="D312" s="1">
        <v>0.43478259444236755</v>
      </c>
      <c r="E312" t="s">
        <v>2987</v>
      </c>
    </row>
    <row r="313" spans="1:5" x14ac:dyDescent="0.2">
      <c r="A313" t="s">
        <v>2429</v>
      </c>
      <c r="B313" t="s">
        <v>826</v>
      </c>
      <c r="C313" t="s">
        <v>0</v>
      </c>
      <c r="D313" s="1">
        <v>0.66666668653488159</v>
      </c>
      <c r="E313" t="s">
        <v>2987</v>
      </c>
    </row>
    <row r="314" spans="1:5" x14ac:dyDescent="0.2">
      <c r="A314" t="s">
        <v>2430</v>
      </c>
      <c r="B314" t="s">
        <v>133</v>
      </c>
      <c r="C314" t="s">
        <v>1</v>
      </c>
      <c r="D314" s="1">
        <v>0.31999999284744263</v>
      </c>
      <c r="E314" t="s">
        <v>2989</v>
      </c>
    </row>
    <row r="315" spans="1:5" x14ac:dyDescent="0.2">
      <c r="A315" t="s">
        <v>2431</v>
      </c>
      <c r="B315" t="s">
        <v>788</v>
      </c>
      <c r="C315" t="s">
        <v>0</v>
      </c>
      <c r="D315" s="1">
        <v>0.52941179275512695</v>
      </c>
      <c r="E315" t="s">
        <v>2987</v>
      </c>
    </row>
    <row r="316" spans="1:5" x14ac:dyDescent="0.2">
      <c r="A316" t="s">
        <v>2432</v>
      </c>
      <c r="B316" t="s">
        <v>2988</v>
      </c>
      <c r="C316" t="s">
        <v>2988</v>
      </c>
      <c r="D316" s="1">
        <v>0</v>
      </c>
      <c r="E316" t="s">
        <v>2987</v>
      </c>
    </row>
    <row r="317" spans="1:5" x14ac:dyDescent="0.2">
      <c r="A317" t="s">
        <v>2433</v>
      </c>
      <c r="B317" t="s">
        <v>2988</v>
      </c>
      <c r="C317" t="s">
        <v>2988</v>
      </c>
      <c r="D317" s="1">
        <v>0</v>
      </c>
      <c r="E317" t="s">
        <v>2987</v>
      </c>
    </row>
    <row r="318" spans="1:5" x14ac:dyDescent="0.2">
      <c r="A318" t="s">
        <v>2434</v>
      </c>
      <c r="B318" t="s">
        <v>1391</v>
      </c>
      <c r="C318" t="s">
        <v>1</v>
      </c>
      <c r="D318" s="1">
        <v>0.44736841320991516</v>
      </c>
      <c r="E318" t="s">
        <v>2987</v>
      </c>
    </row>
    <row r="319" spans="1:5" x14ac:dyDescent="0.2">
      <c r="A319" t="s">
        <v>2435</v>
      </c>
      <c r="B319" t="s">
        <v>1391</v>
      </c>
      <c r="C319" t="s">
        <v>1</v>
      </c>
      <c r="D319" s="1">
        <v>0.4375</v>
      </c>
      <c r="E319" t="s">
        <v>2987</v>
      </c>
    </row>
    <row r="320" spans="1:5" x14ac:dyDescent="0.2">
      <c r="A320" t="s">
        <v>2436</v>
      </c>
      <c r="B320" t="s">
        <v>747</v>
      </c>
      <c r="C320" t="s">
        <v>1</v>
      </c>
      <c r="D320" s="1">
        <v>0.5</v>
      </c>
      <c r="E320" t="s">
        <v>2987</v>
      </c>
    </row>
    <row r="321" spans="1:5" x14ac:dyDescent="0.2">
      <c r="A321" t="s">
        <v>2437</v>
      </c>
      <c r="B321" t="s">
        <v>386</v>
      </c>
      <c r="C321" t="s">
        <v>0</v>
      </c>
      <c r="D321" s="1">
        <v>0.53846156597137451</v>
      </c>
      <c r="E321" t="s">
        <v>2987</v>
      </c>
    </row>
    <row r="322" spans="1:5" x14ac:dyDescent="0.2">
      <c r="A322" t="s">
        <v>2438</v>
      </c>
      <c r="B322" t="s">
        <v>1393</v>
      </c>
      <c r="C322" t="s">
        <v>1</v>
      </c>
      <c r="D322" s="1">
        <v>0.40000000596046448</v>
      </c>
      <c r="E322" t="s">
        <v>2987</v>
      </c>
    </row>
    <row r="323" spans="1:5" x14ac:dyDescent="0.2">
      <c r="A323" t="s">
        <v>2439</v>
      </c>
      <c r="B323" t="s">
        <v>848</v>
      </c>
      <c r="C323" t="s">
        <v>0</v>
      </c>
      <c r="D323" s="1">
        <v>1</v>
      </c>
      <c r="E323" t="s">
        <v>2987</v>
      </c>
    </row>
    <row r="324" spans="1:5" x14ac:dyDescent="0.2">
      <c r="A324" t="s">
        <v>2440</v>
      </c>
      <c r="B324" t="s">
        <v>2988</v>
      </c>
      <c r="C324" t="s">
        <v>2988</v>
      </c>
      <c r="D324" s="1">
        <v>0</v>
      </c>
      <c r="E324" t="s">
        <v>2987</v>
      </c>
    </row>
    <row r="325" spans="1:5" x14ac:dyDescent="0.2">
      <c r="A325" t="s">
        <v>2441</v>
      </c>
      <c r="B325" t="s">
        <v>840</v>
      </c>
      <c r="C325" t="s">
        <v>0</v>
      </c>
      <c r="D325" s="1">
        <v>0.5</v>
      </c>
      <c r="E325" t="s">
        <v>2987</v>
      </c>
    </row>
    <row r="326" spans="1:5" x14ac:dyDescent="0.2">
      <c r="A326" t="s">
        <v>2442</v>
      </c>
      <c r="B326" t="s">
        <v>543</v>
      </c>
      <c r="C326" t="s">
        <v>1</v>
      </c>
      <c r="D326" s="1">
        <v>0.34482759237289429</v>
      </c>
      <c r="E326" t="s">
        <v>2989</v>
      </c>
    </row>
    <row r="327" spans="1:5" x14ac:dyDescent="0.2">
      <c r="A327" t="s">
        <v>2443</v>
      </c>
      <c r="B327" t="s">
        <v>388</v>
      </c>
      <c r="C327" t="s">
        <v>0</v>
      </c>
      <c r="D327" s="1">
        <v>1</v>
      </c>
      <c r="E327" t="s">
        <v>2987</v>
      </c>
    </row>
    <row r="328" spans="1:5" x14ac:dyDescent="0.2">
      <c r="A328" t="s">
        <v>2444</v>
      </c>
      <c r="B328" t="s">
        <v>390</v>
      </c>
      <c r="C328" t="s">
        <v>0</v>
      </c>
      <c r="D328" s="1">
        <v>0.60000002384185791</v>
      </c>
      <c r="E328" t="s">
        <v>2987</v>
      </c>
    </row>
    <row r="329" spans="1:5" x14ac:dyDescent="0.2">
      <c r="A329" t="s">
        <v>2445</v>
      </c>
      <c r="B329" t="s">
        <v>2988</v>
      </c>
      <c r="C329" t="s">
        <v>2988</v>
      </c>
      <c r="D329" s="1">
        <v>0</v>
      </c>
      <c r="E329" t="s">
        <v>2987</v>
      </c>
    </row>
    <row r="330" spans="1:5" x14ac:dyDescent="0.2">
      <c r="A330" t="s">
        <v>2446</v>
      </c>
      <c r="B330" t="s">
        <v>2988</v>
      </c>
      <c r="C330" t="s">
        <v>2988</v>
      </c>
      <c r="D330" s="1">
        <v>7.6923079788684845E-2</v>
      </c>
      <c r="E330" t="s">
        <v>2987</v>
      </c>
    </row>
    <row r="331" spans="1:5" x14ac:dyDescent="0.2">
      <c r="A331" t="s">
        <v>2447</v>
      </c>
      <c r="B331" t="s">
        <v>1155</v>
      </c>
      <c r="C331" t="s">
        <v>0</v>
      </c>
      <c r="D331" s="1">
        <v>0.53333336114883423</v>
      </c>
      <c r="E331" t="s">
        <v>2987</v>
      </c>
    </row>
    <row r="332" spans="1:5" x14ac:dyDescent="0.2">
      <c r="A332" t="s">
        <v>2448</v>
      </c>
      <c r="B332" t="s">
        <v>1157</v>
      </c>
      <c r="C332" t="s">
        <v>0</v>
      </c>
      <c r="D332" s="1">
        <v>0.67857140302658081</v>
      </c>
      <c r="E332" t="s">
        <v>2987</v>
      </c>
    </row>
    <row r="333" spans="1:5" x14ac:dyDescent="0.2">
      <c r="A333" t="s">
        <v>2449</v>
      </c>
      <c r="B333" t="s">
        <v>1780</v>
      </c>
      <c r="C333" t="s">
        <v>1</v>
      </c>
      <c r="D333" s="1">
        <v>0.42622950673103333</v>
      </c>
      <c r="E333" t="s">
        <v>2987</v>
      </c>
    </row>
    <row r="334" spans="1:5" x14ac:dyDescent="0.2">
      <c r="A334" t="s">
        <v>2450</v>
      </c>
      <c r="B334" t="s">
        <v>1666</v>
      </c>
      <c r="C334" t="s">
        <v>1</v>
      </c>
      <c r="D334" s="1">
        <v>0.86486488580703735</v>
      </c>
      <c r="E334" t="s">
        <v>2987</v>
      </c>
    </row>
    <row r="335" spans="1:5" x14ac:dyDescent="0.2">
      <c r="A335" t="s">
        <v>2451</v>
      </c>
      <c r="B335" t="s">
        <v>981</v>
      </c>
      <c r="C335" t="s">
        <v>0</v>
      </c>
      <c r="D335" s="1">
        <v>1</v>
      </c>
      <c r="E335" t="s">
        <v>2987</v>
      </c>
    </row>
    <row r="336" spans="1:5" x14ac:dyDescent="0.2">
      <c r="A336" t="s">
        <v>2452</v>
      </c>
      <c r="B336" t="s">
        <v>976</v>
      </c>
      <c r="C336" t="s">
        <v>1</v>
      </c>
      <c r="D336" s="1">
        <v>0.46666666865348816</v>
      </c>
      <c r="E336" t="s">
        <v>2987</v>
      </c>
    </row>
    <row r="337" spans="1:5" x14ac:dyDescent="0.2">
      <c r="A337" t="s">
        <v>2453</v>
      </c>
      <c r="B337" t="s">
        <v>478</v>
      </c>
      <c r="C337" t="s">
        <v>0</v>
      </c>
      <c r="D337" s="1">
        <v>0.65116280317306519</v>
      </c>
      <c r="E337" t="s">
        <v>2987</v>
      </c>
    </row>
    <row r="338" spans="1:5" x14ac:dyDescent="0.2">
      <c r="A338" t="s">
        <v>2454</v>
      </c>
      <c r="B338" t="s">
        <v>480</v>
      </c>
      <c r="C338" t="s">
        <v>0</v>
      </c>
      <c r="D338" s="1">
        <v>0.54545456171035767</v>
      </c>
      <c r="E338" t="s">
        <v>2987</v>
      </c>
    </row>
    <row r="339" spans="1:5" x14ac:dyDescent="0.2">
      <c r="A339" t="s">
        <v>2455</v>
      </c>
      <c r="B339" t="s">
        <v>482</v>
      </c>
      <c r="C339" t="s">
        <v>0</v>
      </c>
      <c r="D339" s="1">
        <v>0.63414633274078369</v>
      </c>
      <c r="E339" t="s">
        <v>2987</v>
      </c>
    </row>
    <row r="340" spans="1:5" x14ac:dyDescent="0.2">
      <c r="A340" t="s">
        <v>2456</v>
      </c>
      <c r="B340" t="s">
        <v>1681</v>
      </c>
      <c r="C340" t="s">
        <v>1</v>
      </c>
      <c r="D340" s="1">
        <v>0.40909090638160706</v>
      </c>
      <c r="E340" t="s">
        <v>2987</v>
      </c>
    </row>
    <row r="341" spans="1:5" x14ac:dyDescent="0.2">
      <c r="A341" t="s">
        <v>2457</v>
      </c>
      <c r="B341" t="s">
        <v>1678</v>
      </c>
      <c r="C341" t="s">
        <v>1</v>
      </c>
      <c r="D341" s="1">
        <v>0.5</v>
      </c>
      <c r="E341" t="s">
        <v>2987</v>
      </c>
    </row>
    <row r="342" spans="1:5" x14ac:dyDescent="0.2">
      <c r="A342" t="s">
        <v>2458</v>
      </c>
      <c r="B342" t="s">
        <v>2988</v>
      </c>
      <c r="C342" t="s">
        <v>2988</v>
      </c>
      <c r="D342" s="1">
        <v>7.1428574621677399E-2</v>
      </c>
      <c r="E342" t="s">
        <v>2987</v>
      </c>
    </row>
    <row r="343" spans="1:5" x14ac:dyDescent="0.2">
      <c r="A343" t="s">
        <v>2459</v>
      </c>
      <c r="B343" t="s">
        <v>692</v>
      </c>
      <c r="C343" t="s">
        <v>0</v>
      </c>
      <c r="D343" s="1">
        <v>0.52499997615814209</v>
      </c>
      <c r="E343" t="s">
        <v>2987</v>
      </c>
    </row>
    <row r="344" spans="1:5" x14ac:dyDescent="0.2">
      <c r="A344" t="s">
        <v>2460</v>
      </c>
      <c r="B344" t="s">
        <v>1148</v>
      </c>
      <c r="C344" t="s">
        <v>1</v>
      </c>
      <c r="D344" s="1">
        <v>0.74074071645736694</v>
      </c>
      <c r="E344" t="s">
        <v>2987</v>
      </c>
    </row>
    <row r="345" spans="1:5" x14ac:dyDescent="0.2">
      <c r="A345" t="s">
        <v>2461</v>
      </c>
      <c r="B345" t="s">
        <v>120</v>
      </c>
      <c r="C345" t="s">
        <v>0</v>
      </c>
      <c r="D345" s="1">
        <v>1</v>
      </c>
      <c r="E345" t="s">
        <v>2987</v>
      </c>
    </row>
    <row r="346" spans="1:5" x14ac:dyDescent="0.2">
      <c r="A346" t="s">
        <v>2462</v>
      </c>
      <c r="B346" t="s">
        <v>757</v>
      </c>
      <c r="C346" t="s">
        <v>1</v>
      </c>
      <c r="D346" s="1">
        <v>0.48275861144065857</v>
      </c>
      <c r="E346" t="s">
        <v>2987</v>
      </c>
    </row>
    <row r="347" spans="1:5" x14ac:dyDescent="0.2">
      <c r="A347" t="s">
        <v>2463</v>
      </c>
      <c r="B347" t="s">
        <v>850</v>
      </c>
      <c r="C347" t="s">
        <v>0</v>
      </c>
      <c r="D347" s="1">
        <v>1</v>
      </c>
      <c r="E347" t="s">
        <v>2987</v>
      </c>
    </row>
    <row r="348" spans="1:5" x14ac:dyDescent="0.2">
      <c r="A348" t="s">
        <v>2464</v>
      </c>
      <c r="B348" t="s">
        <v>2988</v>
      </c>
      <c r="C348" t="s">
        <v>2988</v>
      </c>
      <c r="D348" s="1">
        <v>0</v>
      </c>
      <c r="E348" t="s">
        <v>2987</v>
      </c>
    </row>
    <row r="349" spans="1:5" x14ac:dyDescent="0.2">
      <c r="A349" t="s">
        <v>2465</v>
      </c>
      <c r="B349" t="s">
        <v>396</v>
      </c>
      <c r="C349" t="s">
        <v>0</v>
      </c>
      <c r="D349" s="1">
        <v>0.46153846383094788</v>
      </c>
      <c r="E349" t="s">
        <v>2987</v>
      </c>
    </row>
    <row r="350" spans="1:5" x14ac:dyDescent="0.2">
      <c r="A350" t="s">
        <v>2466</v>
      </c>
      <c r="B350" t="s">
        <v>1197</v>
      </c>
      <c r="C350" t="s">
        <v>0</v>
      </c>
      <c r="D350" s="1">
        <v>0.35294118523597717</v>
      </c>
      <c r="E350" t="s">
        <v>2989</v>
      </c>
    </row>
    <row r="351" spans="1:5" x14ac:dyDescent="0.2">
      <c r="A351" t="s">
        <v>2467</v>
      </c>
      <c r="B351" t="s">
        <v>956</v>
      </c>
      <c r="C351" t="s">
        <v>0</v>
      </c>
      <c r="D351" s="1">
        <v>0.5</v>
      </c>
      <c r="E351" t="s">
        <v>2987</v>
      </c>
    </row>
    <row r="352" spans="1:5" x14ac:dyDescent="0.2">
      <c r="A352" t="s">
        <v>2468</v>
      </c>
      <c r="B352" t="s">
        <v>993</v>
      </c>
      <c r="C352" t="s">
        <v>0</v>
      </c>
      <c r="D352" s="1">
        <v>0.52941179275512695</v>
      </c>
      <c r="E352" t="s">
        <v>2987</v>
      </c>
    </row>
    <row r="353" spans="1:5" x14ac:dyDescent="0.2">
      <c r="A353" t="s">
        <v>2469</v>
      </c>
      <c r="B353" t="s">
        <v>2988</v>
      </c>
      <c r="C353" t="s">
        <v>2988</v>
      </c>
      <c r="D353" s="1">
        <v>0</v>
      </c>
      <c r="E353" t="s">
        <v>2987</v>
      </c>
    </row>
    <row r="354" spans="1:5" x14ac:dyDescent="0.2">
      <c r="A354" t="s">
        <v>2470</v>
      </c>
      <c r="B354" t="s">
        <v>1473</v>
      </c>
      <c r="C354" t="s">
        <v>1</v>
      </c>
      <c r="D354" s="1">
        <v>1</v>
      </c>
      <c r="E354" t="s">
        <v>2987</v>
      </c>
    </row>
    <row r="355" spans="1:5" x14ac:dyDescent="0.2">
      <c r="A355" t="s">
        <v>2471</v>
      </c>
      <c r="B355" t="s">
        <v>2988</v>
      </c>
      <c r="C355" t="s">
        <v>2988</v>
      </c>
      <c r="D355" s="1">
        <v>0.15384615957736969</v>
      </c>
      <c r="E355" t="s">
        <v>2987</v>
      </c>
    </row>
    <row r="356" spans="1:5" x14ac:dyDescent="0.2">
      <c r="A356" t="s">
        <v>2472</v>
      </c>
      <c r="B356" t="s">
        <v>2071</v>
      </c>
      <c r="C356" t="s">
        <v>1</v>
      </c>
      <c r="D356" s="1">
        <v>0.5</v>
      </c>
      <c r="E356" t="s">
        <v>2987</v>
      </c>
    </row>
    <row r="357" spans="1:5" x14ac:dyDescent="0.2">
      <c r="A357" t="s">
        <v>2473</v>
      </c>
      <c r="B357" t="s">
        <v>1344</v>
      </c>
      <c r="C357" t="s">
        <v>1</v>
      </c>
      <c r="D357" s="1">
        <v>0.57142859697341919</v>
      </c>
      <c r="E357" t="s">
        <v>2987</v>
      </c>
    </row>
    <row r="358" spans="1:5" x14ac:dyDescent="0.2">
      <c r="A358" t="s">
        <v>2474</v>
      </c>
      <c r="B358" t="s">
        <v>156</v>
      </c>
      <c r="C358" t="s">
        <v>0</v>
      </c>
      <c r="D358" s="1">
        <v>4.5454546809196472E-2</v>
      </c>
      <c r="E358" t="s">
        <v>2989</v>
      </c>
    </row>
    <row r="359" spans="1:5" x14ac:dyDescent="0.2">
      <c r="A359" t="s">
        <v>2475</v>
      </c>
      <c r="B359" t="s">
        <v>423</v>
      </c>
      <c r="C359" t="s">
        <v>1</v>
      </c>
      <c r="D359" s="1">
        <v>0.51428574323654175</v>
      </c>
      <c r="E359" t="s">
        <v>2987</v>
      </c>
    </row>
    <row r="360" spans="1:5" x14ac:dyDescent="0.2">
      <c r="A360" t="s">
        <v>2476</v>
      </c>
      <c r="B360" t="s">
        <v>425</v>
      </c>
      <c r="C360" t="s">
        <v>1</v>
      </c>
      <c r="D360" s="1">
        <v>0.52941179275512695</v>
      </c>
      <c r="E360" t="s">
        <v>2987</v>
      </c>
    </row>
    <row r="361" spans="1:5" x14ac:dyDescent="0.2">
      <c r="A361" t="s">
        <v>2477</v>
      </c>
      <c r="B361" t="s">
        <v>2988</v>
      </c>
      <c r="C361" t="s">
        <v>2988</v>
      </c>
      <c r="D361" s="1">
        <v>0.125</v>
      </c>
      <c r="E361" t="s">
        <v>2987</v>
      </c>
    </row>
    <row r="362" spans="1:5" x14ac:dyDescent="0.2">
      <c r="A362" t="s">
        <v>2478</v>
      </c>
      <c r="B362" t="s">
        <v>1791</v>
      </c>
      <c r="C362" t="s">
        <v>1</v>
      </c>
      <c r="D362" s="1">
        <v>0.4848484992980957</v>
      </c>
      <c r="E362" t="s">
        <v>2987</v>
      </c>
    </row>
    <row r="363" spans="1:5" x14ac:dyDescent="0.2">
      <c r="A363" t="s">
        <v>2479</v>
      </c>
      <c r="B363" t="s">
        <v>1405</v>
      </c>
      <c r="C363" t="s">
        <v>1</v>
      </c>
      <c r="D363" s="1">
        <v>0.36000001430511475</v>
      </c>
      <c r="E363" t="s">
        <v>2989</v>
      </c>
    </row>
    <row r="364" spans="1:5" x14ac:dyDescent="0.2">
      <c r="A364" t="s">
        <v>2480</v>
      </c>
      <c r="B364" t="s">
        <v>1405</v>
      </c>
      <c r="C364" t="s">
        <v>1</v>
      </c>
      <c r="D364" s="1">
        <v>0.4285714328289032</v>
      </c>
      <c r="E364" t="s">
        <v>2987</v>
      </c>
    </row>
    <row r="365" spans="1:5" x14ac:dyDescent="0.2">
      <c r="A365" t="s">
        <v>2481</v>
      </c>
      <c r="B365" t="s">
        <v>2988</v>
      </c>
      <c r="C365" t="s">
        <v>2988</v>
      </c>
      <c r="D365" s="1">
        <v>0</v>
      </c>
      <c r="E365" t="s">
        <v>2987</v>
      </c>
    </row>
    <row r="366" spans="1:5" x14ac:dyDescent="0.2">
      <c r="A366" t="s">
        <v>2482</v>
      </c>
      <c r="B366" t="s">
        <v>761</v>
      </c>
      <c r="C366" t="s">
        <v>1</v>
      </c>
      <c r="D366" s="1">
        <v>0.51851850748062134</v>
      </c>
      <c r="E366" t="s">
        <v>2987</v>
      </c>
    </row>
    <row r="367" spans="1:5" x14ac:dyDescent="0.2">
      <c r="A367" t="s">
        <v>2483</v>
      </c>
      <c r="B367" t="s">
        <v>1346</v>
      </c>
      <c r="C367" t="s">
        <v>1</v>
      </c>
      <c r="D367" s="1">
        <v>0.5161290168762207</v>
      </c>
      <c r="E367" t="s">
        <v>2987</v>
      </c>
    </row>
    <row r="368" spans="1:5" x14ac:dyDescent="0.2">
      <c r="A368" t="s">
        <v>2484</v>
      </c>
      <c r="B368" t="s">
        <v>1299</v>
      </c>
      <c r="C368" t="s">
        <v>0</v>
      </c>
      <c r="D368" s="1">
        <v>0.59259259700775146</v>
      </c>
      <c r="E368" t="s">
        <v>2987</v>
      </c>
    </row>
    <row r="369" spans="1:5" x14ac:dyDescent="0.2">
      <c r="A369" t="s">
        <v>2485</v>
      </c>
      <c r="B369" t="s">
        <v>830</v>
      </c>
      <c r="C369" t="s">
        <v>0</v>
      </c>
      <c r="D369" s="1">
        <v>1</v>
      </c>
      <c r="E369" t="s">
        <v>2987</v>
      </c>
    </row>
    <row r="370" spans="1:5" x14ac:dyDescent="0.2">
      <c r="A370" t="s">
        <v>2486</v>
      </c>
      <c r="B370" t="s">
        <v>888</v>
      </c>
      <c r="C370" t="s">
        <v>0</v>
      </c>
      <c r="D370" s="1">
        <v>0.3333333432674408</v>
      </c>
      <c r="E370" t="s">
        <v>2989</v>
      </c>
    </row>
    <row r="371" spans="1:5" x14ac:dyDescent="0.2">
      <c r="A371" t="s">
        <v>2487</v>
      </c>
      <c r="B371" t="s">
        <v>765</v>
      </c>
      <c r="C371" t="s">
        <v>1</v>
      </c>
      <c r="D371" s="1">
        <v>0.40000000596046448</v>
      </c>
      <c r="E371" t="s">
        <v>2987</v>
      </c>
    </row>
    <row r="372" spans="1:5" x14ac:dyDescent="0.2">
      <c r="A372" t="s">
        <v>2488</v>
      </c>
      <c r="B372" t="s">
        <v>832</v>
      </c>
      <c r="C372" t="s">
        <v>0</v>
      </c>
      <c r="D372" s="1">
        <v>1</v>
      </c>
      <c r="E372" t="s">
        <v>2987</v>
      </c>
    </row>
    <row r="373" spans="1:5" x14ac:dyDescent="0.2">
      <c r="A373" t="s">
        <v>2489</v>
      </c>
      <c r="B373" t="s">
        <v>767</v>
      </c>
      <c r="C373" t="s">
        <v>1</v>
      </c>
      <c r="D373" s="1">
        <v>0.53846156597137451</v>
      </c>
      <c r="E373" t="s">
        <v>2987</v>
      </c>
    </row>
    <row r="374" spans="1:5" x14ac:dyDescent="0.2">
      <c r="A374" t="s">
        <v>2490</v>
      </c>
      <c r="B374" t="s">
        <v>2988</v>
      </c>
      <c r="C374" t="s">
        <v>2988</v>
      </c>
      <c r="D374" s="1">
        <v>0</v>
      </c>
      <c r="E374" t="s">
        <v>2987</v>
      </c>
    </row>
    <row r="375" spans="1:5" x14ac:dyDescent="0.2">
      <c r="A375" t="s">
        <v>2491</v>
      </c>
      <c r="B375" t="s">
        <v>2988</v>
      </c>
      <c r="C375" t="s">
        <v>2988</v>
      </c>
      <c r="D375" s="1">
        <v>0</v>
      </c>
      <c r="E375" t="s">
        <v>2987</v>
      </c>
    </row>
    <row r="376" spans="1:5" x14ac:dyDescent="0.2">
      <c r="A376" t="s">
        <v>2492</v>
      </c>
      <c r="B376" t="s">
        <v>2988</v>
      </c>
      <c r="C376" t="s">
        <v>2988</v>
      </c>
      <c r="D376" s="1">
        <v>0</v>
      </c>
      <c r="E376" t="s">
        <v>2987</v>
      </c>
    </row>
    <row r="377" spans="1:5" x14ac:dyDescent="0.2">
      <c r="A377" t="s">
        <v>2493</v>
      </c>
      <c r="B377" t="s">
        <v>2988</v>
      </c>
      <c r="C377" t="s">
        <v>2988</v>
      </c>
      <c r="D377" s="1">
        <v>0</v>
      </c>
      <c r="E377" t="s">
        <v>2987</v>
      </c>
    </row>
    <row r="378" spans="1:5" x14ac:dyDescent="0.2">
      <c r="A378" t="s">
        <v>2494</v>
      </c>
      <c r="B378" t="s">
        <v>2988</v>
      </c>
      <c r="C378" t="s">
        <v>2988</v>
      </c>
      <c r="D378" s="1">
        <v>0</v>
      </c>
      <c r="E378" t="s">
        <v>2987</v>
      </c>
    </row>
    <row r="379" spans="1:5" x14ac:dyDescent="0.2">
      <c r="A379" t="s">
        <v>2495</v>
      </c>
      <c r="B379" t="s">
        <v>427</v>
      </c>
      <c r="C379" t="s">
        <v>1</v>
      </c>
      <c r="D379" s="1">
        <v>0.55882352590560913</v>
      </c>
      <c r="E379" t="s">
        <v>2987</v>
      </c>
    </row>
    <row r="380" spans="1:5" x14ac:dyDescent="0.2">
      <c r="A380" t="s">
        <v>2496</v>
      </c>
      <c r="B380" t="s">
        <v>427</v>
      </c>
      <c r="C380" t="s">
        <v>1</v>
      </c>
      <c r="D380" s="1">
        <v>0.54054051637649536</v>
      </c>
      <c r="E380" t="s">
        <v>2987</v>
      </c>
    </row>
    <row r="381" spans="1:5" x14ac:dyDescent="0.2">
      <c r="A381" t="s">
        <v>2497</v>
      </c>
      <c r="B381" t="s">
        <v>216</v>
      </c>
      <c r="C381" t="s">
        <v>0</v>
      </c>
      <c r="D381" s="1">
        <v>1</v>
      </c>
      <c r="E381" t="s">
        <v>2987</v>
      </c>
    </row>
    <row r="382" spans="1:5" x14ac:dyDescent="0.2">
      <c r="A382" t="s">
        <v>2498</v>
      </c>
      <c r="B382" t="s">
        <v>1560</v>
      </c>
      <c r="C382" t="s">
        <v>1</v>
      </c>
      <c r="D382" s="1">
        <v>0.8888888955116272</v>
      </c>
      <c r="E382" t="s">
        <v>2987</v>
      </c>
    </row>
    <row r="383" spans="1:5" x14ac:dyDescent="0.2">
      <c r="A383" t="s">
        <v>2499</v>
      </c>
      <c r="B383" t="s">
        <v>1598</v>
      </c>
      <c r="C383" t="s">
        <v>1</v>
      </c>
      <c r="D383" s="1">
        <v>0.39534884691238403</v>
      </c>
      <c r="E383" t="s">
        <v>2989</v>
      </c>
    </row>
    <row r="384" spans="1:5" x14ac:dyDescent="0.2">
      <c r="A384" t="s">
        <v>2500</v>
      </c>
      <c r="B384" t="s">
        <v>985</v>
      </c>
      <c r="C384" t="s">
        <v>0</v>
      </c>
      <c r="D384" s="1">
        <v>0.47499999403953552</v>
      </c>
      <c r="E384" t="s">
        <v>2987</v>
      </c>
    </row>
    <row r="385" spans="1:5" x14ac:dyDescent="0.2">
      <c r="A385" t="s">
        <v>2501</v>
      </c>
      <c r="B385" t="s">
        <v>1915</v>
      </c>
      <c r="C385" t="s">
        <v>1</v>
      </c>
      <c r="D385" s="1">
        <v>0.45454546809196472</v>
      </c>
      <c r="E385" t="s">
        <v>2987</v>
      </c>
    </row>
    <row r="386" spans="1:5" x14ac:dyDescent="0.2">
      <c r="A386" t="s">
        <v>2502</v>
      </c>
      <c r="B386" t="s">
        <v>1891</v>
      </c>
      <c r="C386" t="s">
        <v>1</v>
      </c>
      <c r="D386" s="1">
        <v>0.5625</v>
      </c>
      <c r="E386" t="s">
        <v>2987</v>
      </c>
    </row>
    <row r="387" spans="1:5" x14ac:dyDescent="0.2">
      <c r="A387" t="s">
        <v>2503</v>
      </c>
      <c r="B387" t="s">
        <v>978</v>
      </c>
      <c r="C387" t="s">
        <v>1</v>
      </c>
      <c r="D387" s="1">
        <v>0.47999998927116394</v>
      </c>
      <c r="E387" t="s">
        <v>2987</v>
      </c>
    </row>
    <row r="388" spans="1:5" x14ac:dyDescent="0.2">
      <c r="A388" t="s">
        <v>2504</v>
      </c>
      <c r="B388" t="s">
        <v>1608</v>
      </c>
      <c r="C388" t="s">
        <v>1</v>
      </c>
      <c r="D388" s="1">
        <v>0.66666668653488159</v>
      </c>
      <c r="E388" t="s">
        <v>2987</v>
      </c>
    </row>
    <row r="389" spans="1:5" x14ac:dyDescent="0.2">
      <c r="A389" t="s">
        <v>2505</v>
      </c>
      <c r="B389" t="s">
        <v>1381</v>
      </c>
      <c r="C389" t="s">
        <v>0</v>
      </c>
      <c r="D389" s="1">
        <v>0.53333336114883423</v>
      </c>
      <c r="E389" t="s">
        <v>2987</v>
      </c>
    </row>
    <row r="390" spans="1:5" x14ac:dyDescent="0.2">
      <c r="A390" t="s">
        <v>2506</v>
      </c>
      <c r="B390" t="s">
        <v>1259</v>
      </c>
      <c r="C390" t="s">
        <v>1</v>
      </c>
      <c r="D390" s="1">
        <v>0.28571429848670959</v>
      </c>
      <c r="E390" t="s">
        <v>2989</v>
      </c>
    </row>
    <row r="391" spans="1:5" x14ac:dyDescent="0.2">
      <c r="A391" t="s">
        <v>2507</v>
      </c>
      <c r="B391" t="s">
        <v>1667</v>
      </c>
      <c r="C391" t="s">
        <v>1</v>
      </c>
      <c r="D391" s="1">
        <v>0.51351350545883179</v>
      </c>
      <c r="E391" t="s">
        <v>2987</v>
      </c>
    </row>
    <row r="392" spans="1:5" x14ac:dyDescent="0.2">
      <c r="A392" t="s">
        <v>2508</v>
      </c>
      <c r="B392" t="s">
        <v>1667</v>
      </c>
      <c r="C392" t="s">
        <v>1</v>
      </c>
      <c r="D392" s="1">
        <v>0.4047619104385376</v>
      </c>
      <c r="E392" t="s">
        <v>2987</v>
      </c>
    </row>
    <row r="393" spans="1:5" x14ac:dyDescent="0.2">
      <c r="A393" t="s">
        <v>2509</v>
      </c>
      <c r="B393" t="s">
        <v>485</v>
      </c>
      <c r="C393" t="s">
        <v>1</v>
      </c>
      <c r="D393" s="1">
        <v>0.52380955219268799</v>
      </c>
      <c r="E393" t="s">
        <v>2987</v>
      </c>
    </row>
    <row r="394" spans="1:5" x14ac:dyDescent="0.2">
      <c r="A394" t="s">
        <v>2510</v>
      </c>
      <c r="B394" t="s">
        <v>2988</v>
      </c>
      <c r="C394" t="s">
        <v>2988</v>
      </c>
      <c r="D394" s="1">
        <v>0</v>
      </c>
      <c r="E394" t="s">
        <v>2987</v>
      </c>
    </row>
    <row r="395" spans="1:5" x14ac:dyDescent="0.2">
      <c r="A395" t="s">
        <v>2511</v>
      </c>
      <c r="B395" t="s">
        <v>2988</v>
      </c>
      <c r="C395" t="s">
        <v>2988</v>
      </c>
      <c r="D395" s="1">
        <v>0</v>
      </c>
      <c r="E395" t="s">
        <v>2987</v>
      </c>
    </row>
    <row r="396" spans="1:5" x14ac:dyDescent="0.2">
      <c r="A396" t="s">
        <v>2512</v>
      </c>
      <c r="B396" t="s">
        <v>2988</v>
      </c>
      <c r="C396" t="s">
        <v>2988</v>
      </c>
      <c r="D396" s="1">
        <v>0.1428571492433548</v>
      </c>
      <c r="E396" t="s">
        <v>2987</v>
      </c>
    </row>
    <row r="397" spans="1:5" x14ac:dyDescent="0.2">
      <c r="A397" t="s">
        <v>2513</v>
      </c>
      <c r="B397" t="s">
        <v>2988</v>
      </c>
      <c r="C397" t="s">
        <v>2988</v>
      </c>
      <c r="D397" s="1">
        <v>7.1428574621677399E-2</v>
      </c>
      <c r="E397" t="s">
        <v>2987</v>
      </c>
    </row>
    <row r="398" spans="1:5" x14ac:dyDescent="0.2">
      <c r="A398" t="s">
        <v>2514</v>
      </c>
      <c r="B398" t="s">
        <v>1940</v>
      </c>
      <c r="C398" t="s">
        <v>1</v>
      </c>
      <c r="D398" s="1">
        <v>0.47999998927116394</v>
      </c>
      <c r="E398" t="s">
        <v>2987</v>
      </c>
    </row>
    <row r="399" spans="1:5" x14ac:dyDescent="0.2">
      <c r="A399" t="s">
        <v>2515</v>
      </c>
      <c r="B399" t="s">
        <v>96</v>
      </c>
      <c r="C399" t="s">
        <v>0</v>
      </c>
      <c r="D399" s="1">
        <v>1</v>
      </c>
      <c r="E399" t="s">
        <v>2987</v>
      </c>
    </row>
    <row r="400" spans="1:5" x14ac:dyDescent="0.2">
      <c r="A400" t="s">
        <v>2516</v>
      </c>
      <c r="B400" t="s">
        <v>1407</v>
      </c>
      <c r="C400" t="s">
        <v>1</v>
      </c>
      <c r="D400" s="1">
        <v>0.48275861144065857</v>
      </c>
      <c r="E400" t="s">
        <v>2987</v>
      </c>
    </row>
    <row r="401" spans="1:5" x14ac:dyDescent="0.2">
      <c r="A401" t="s">
        <v>2517</v>
      </c>
      <c r="B401" t="s">
        <v>1152</v>
      </c>
      <c r="C401" t="s">
        <v>1</v>
      </c>
      <c r="D401" s="1">
        <v>0.53333336114883423</v>
      </c>
      <c r="E401" t="s">
        <v>2987</v>
      </c>
    </row>
    <row r="402" spans="1:5" x14ac:dyDescent="0.2">
      <c r="A402" t="s">
        <v>2518</v>
      </c>
      <c r="B402" t="s">
        <v>2988</v>
      </c>
      <c r="C402" t="s">
        <v>2988</v>
      </c>
      <c r="D402" s="1">
        <v>0.28571429848670959</v>
      </c>
      <c r="E402" t="s">
        <v>2987</v>
      </c>
    </row>
    <row r="403" spans="1:5" x14ac:dyDescent="0.2">
      <c r="A403" t="s">
        <v>2519</v>
      </c>
      <c r="B403" t="s">
        <v>1420</v>
      </c>
      <c r="C403" t="s">
        <v>0</v>
      </c>
      <c r="D403" s="1">
        <v>0.41791045665740967</v>
      </c>
      <c r="E403" t="s">
        <v>2987</v>
      </c>
    </row>
    <row r="404" spans="1:5" x14ac:dyDescent="0.2">
      <c r="A404" t="s">
        <v>2520</v>
      </c>
      <c r="B404" t="s">
        <v>2988</v>
      </c>
      <c r="C404" t="s">
        <v>2988</v>
      </c>
      <c r="D404" s="1">
        <v>0.125</v>
      </c>
      <c r="E404" t="s">
        <v>2987</v>
      </c>
    </row>
    <row r="405" spans="1:5" x14ac:dyDescent="0.2">
      <c r="A405" t="s">
        <v>2521</v>
      </c>
      <c r="B405" t="s">
        <v>2011</v>
      </c>
      <c r="C405" t="s">
        <v>1</v>
      </c>
      <c r="D405" s="1">
        <v>0.46666666865348816</v>
      </c>
      <c r="E405" t="s">
        <v>2987</v>
      </c>
    </row>
    <row r="406" spans="1:5" x14ac:dyDescent="0.2">
      <c r="A406" t="s">
        <v>2522</v>
      </c>
      <c r="B406" t="s">
        <v>122</v>
      </c>
      <c r="C406" t="s">
        <v>0</v>
      </c>
      <c r="D406" s="1">
        <v>1</v>
      </c>
      <c r="E406" t="s">
        <v>2987</v>
      </c>
    </row>
    <row r="407" spans="1:5" x14ac:dyDescent="0.2">
      <c r="A407" t="s">
        <v>2523</v>
      </c>
      <c r="B407" t="s">
        <v>1897</v>
      </c>
      <c r="C407" t="s">
        <v>1</v>
      </c>
      <c r="D407" s="1">
        <v>0.5517241358757019</v>
      </c>
      <c r="E407" t="s">
        <v>2987</v>
      </c>
    </row>
    <row r="408" spans="1:5" x14ac:dyDescent="0.2">
      <c r="A408" t="s">
        <v>2524</v>
      </c>
      <c r="B408" t="s">
        <v>2988</v>
      </c>
      <c r="C408" t="s">
        <v>2988</v>
      </c>
      <c r="D408" s="1">
        <v>0</v>
      </c>
      <c r="E408" t="s">
        <v>2987</v>
      </c>
    </row>
    <row r="409" spans="1:5" x14ac:dyDescent="0.2">
      <c r="A409" t="s">
        <v>2525</v>
      </c>
      <c r="B409" t="s">
        <v>777</v>
      </c>
      <c r="C409" t="s">
        <v>1</v>
      </c>
      <c r="D409" s="1">
        <v>0.57142859697341919</v>
      </c>
      <c r="E409" t="s">
        <v>2987</v>
      </c>
    </row>
    <row r="410" spans="1:5" x14ac:dyDescent="0.2">
      <c r="A410" t="s">
        <v>2526</v>
      </c>
      <c r="B410" t="s">
        <v>1879</v>
      </c>
      <c r="C410" t="s">
        <v>1</v>
      </c>
      <c r="D410" s="1">
        <v>0.48571428656578064</v>
      </c>
      <c r="E410" t="s">
        <v>2987</v>
      </c>
    </row>
    <row r="411" spans="1:5" x14ac:dyDescent="0.2">
      <c r="A411" t="s">
        <v>2527</v>
      </c>
      <c r="B411" t="s">
        <v>1879</v>
      </c>
      <c r="C411" t="s">
        <v>1</v>
      </c>
      <c r="D411" s="1">
        <v>0.5151515007019043</v>
      </c>
      <c r="E411" t="s">
        <v>2987</v>
      </c>
    </row>
    <row r="412" spans="1:5" x14ac:dyDescent="0.2">
      <c r="A412" t="s">
        <v>2528</v>
      </c>
      <c r="B412" t="s">
        <v>1879</v>
      </c>
      <c r="C412" t="s">
        <v>1</v>
      </c>
      <c r="D412" s="1">
        <v>0.48571428656578064</v>
      </c>
      <c r="E412" t="s">
        <v>2987</v>
      </c>
    </row>
    <row r="413" spans="1:5" x14ac:dyDescent="0.2">
      <c r="A413" t="s">
        <v>2529</v>
      </c>
      <c r="B413" t="s">
        <v>2988</v>
      </c>
      <c r="C413" t="s">
        <v>2988</v>
      </c>
      <c r="D413" s="1">
        <v>0</v>
      </c>
      <c r="E413" t="s">
        <v>2987</v>
      </c>
    </row>
    <row r="414" spans="1:5" x14ac:dyDescent="0.2">
      <c r="A414" t="s">
        <v>2530</v>
      </c>
      <c r="B414" t="s">
        <v>2988</v>
      </c>
      <c r="C414" t="s">
        <v>2988</v>
      </c>
      <c r="D414" s="1">
        <v>0</v>
      </c>
      <c r="E414" t="s">
        <v>2987</v>
      </c>
    </row>
    <row r="415" spans="1:5" x14ac:dyDescent="0.2">
      <c r="A415" t="s">
        <v>2531</v>
      </c>
      <c r="B415" t="s">
        <v>2988</v>
      </c>
      <c r="C415" t="s">
        <v>2988</v>
      </c>
      <c r="D415" s="1">
        <v>0.125</v>
      </c>
      <c r="E415" t="s">
        <v>2987</v>
      </c>
    </row>
    <row r="416" spans="1:5" x14ac:dyDescent="0.2">
      <c r="A416" t="s">
        <v>2532</v>
      </c>
      <c r="B416" t="s">
        <v>2988</v>
      </c>
      <c r="C416" t="s">
        <v>2988</v>
      </c>
      <c r="D416" s="1">
        <v>4.1666667908430099E-2</v>
      </c>
      <c r="E416" t="s">
        <v>2987</v>
      </c>
    </row>
    <row r="417" spans="1:5" x14ac:dyDescent="0.2">
      <c r="A417" t="s">
        <v>2533</v>
      </c>
      <c r="B417" t="s">
        <v>2988</v>
      </c>
      <c r="C417" t="s">
        <v>2988</v>
      </c>
      <c r="D417" s="1">
        <v>4.1666667908430099E-2</v>
      </c>
      <c r="E417" t="s">
        <v>2987</v>
      </c>
    </row>
    <row r="418" spans="1:5" x14ac:dyDescent="0.2">
      <c r="A418" t="s">
        <v>2534</v>
      </c>
      <c r="B418" t="s">
        <v>980</v>
      </c>
      <c r="C418" t="s">
        <v>1</v>
      </c>
      <c r="D418" s="1">
        <v>1</v>
      </c>
      <c r="E418" t="s">
        <v>2987</v>
      </c>
    </row>
    <row r="419" spans="1:5" x14ac:dyDescent="0.2">
      <c r="A419" t="s">
        <v>2535</v>
      </c>
      <c r="B419" t="s">
        <v>2988</v>
      </c>
      <c r="C419" t="s">
        <v>2988</v>
      </c>
      <c r="D419" s="1">
        <v>0</v>
      </c>
      <c r="E419" t="s">
        <v>2987</v>
      </c>
    </row>
    <row r="420" spans="1:5" x14ac:dyDescent="0.2">
      <c r="A420" t="s">
        <v>2536</v>
      </c>
      <c r="B420" t="s">
        <v>982</v>
      </c>
      <c r="C420" t="s">
        <v>1</v>
      </c>
      <c r="D420" s="1">
        <v>0.35897436738014221</v>
      </c>
      <c r="E420" t="s">
        <v>2989</v>
      </c>
    </row>
    <row r="421" spans="1:5" x14ac:dyDescent="0.2">
      <c r="A421" t="s">
        <v>2537</v>
      </c>
      <c r="B421" t="s">
        <v>779</v>
      </c>
      <c r="C421" t="s">
        <v>1</v>
      </c>
      <c r="D421" s="1">
        <v>0.59259259700775146</v>
      </c>
      <c r="E421" t="s">
        <v>2987</v>
      </c>
    </row>
    <row r="422" spans="1:5" x14ac:dyDescent="0.2">
      <c r="A422" t="s">
        <v>2538</v>
      </c>
      <c r="B422" t="s">
        <v>1371</v>
      </c>
      <c r="C422" t="s">
        <v>0</v>
      </c>
      <c r="D422" s="1">
        <v>0.38461539149284363</v>
      </c>
      <c r="E422" t="s">
        <v>2989</v>
      </c>
    </row>
    <row r="423" spans="1:5" x14ac:dyDescent="0.2">
      <c r="A423" t="s">
        <v>2539</v>
      </c>
      <c r="B423" t="s">
        <v>1668</v>
      </c>
      <c r="C423" t="s">
        <v>1</v>
      </c>
      <c r="D423" s="1">
        <v>0.46341463923454285</v>
      </c>
      <c r="E423" t="s">
        <v>2987</v>
      </c>
    </row>
    <row r="424" spans="1:5" x14ac:dyDescent="0.2">
      <c r="A424" t="s">
        <v>2540</v>
      </c>
      <c r="B424" t="s">
        <v>1668</v>
      </c>
      <c r="C424" t="s">
        <v>1</v>
      </c>
      <c r="D424" s="1">
        <v>0.39215686917304993</v>
      </c>
      <c r="E424" t="s">
        <v>2989</v>
      </c>
    </row>
    <row r="425" spans="1:5" x14ac:dyDescent="0.2">
      <c r="A425" t="s">
        <v>2541</v>
      </c>
      <c r="B425" t="s">
        <v>1668</v>
      </c>
      <c r="C425" t="s">
        <v>1</v>
      </c>
      <c r="D425" s="1">
        <v>0.39215686917304993</v>
      </c>
      <c r="E425" t="s">
        <v>2989</v>
      </c>
    </row>
    <row r="426" spans="1:5" x14ac:dyDescent="0.2">
      <c r="A426" t="s">
        <v>2542</v>
      </c>
      <c r="B426" t="s">
        <v>2988</v>
      </c>
      <c r="C426" t="s">
        <v>2988</v>
      </c>
      <c r="D426" s="1">
        <v>0</v>
      </c>
      <c r="E426" t="s">
        <v>2987</v>
      </c>
    </row>
    <row r="427" spans="1:5" x14ac:dyDescent="0.2">
      <c r="A427" t="s">
        <v>2543</v>
      </c>
      <c r="B427" t="s">
        <v>543</v>
      </c>
      <c r="C427" t="s">
        <v>1</v>
      </c>
      <c r="D427" s="1">
        <v>0.37288135290145874</v>
      </c>
      <c r="E427" t="s">
        <v>2989</v>
      </c>
    </row>
    <row r="428" spans="1:5" x14ac:dyDescent="0.2">
      <c r="A428" t="s">
        <v>2544</v>
      </c>
      <c r="B428" t="s">
        <v>927</v>
      </c>
      <c r="C428" t="s">
        <v>1</v>
      </c>
      <c r="D428" s="1">
        <v>0.3214285671710968</v>
      </c>
      <c r="E428" t="s">
        <v>2989</v>
      </c>
    </row>
    <row r="429" spans="1:5" x14ac:dyDescent="0.2">
      <c r="A429" t="s">
        <v>2545</v>
      </c>
      <c r="B429" t="s">
        <v>481</v>
      </c>
      <c r="C429" t="s">
        <v>1</v>
      </c>
      <c r="D429" s="1">
        <v>0.33870968222618103</v>
      </c>
      <c r="E429" t="s">
        <v>2989</v>
      </c>
    </row>
    <row r="430" spans="1:5" x14ac:dyDescent="0.2">
      <c r="A430" t="s">
        <v>2546</v>
      </c>
      <c r="B430" t="s">
        <v>111</v>
      </c>
      <c r="C430" t="s">
        <v>1</v>
      </c>
      <c r="D430" s="1">
        <v>0.47826087474822998</v>
      </c>
      <c r="E430" t="s">
        <v>2987</v>
      </c>
    </row>
    <row r="431" spans="1:5" x14ac:dyDescent="0.2">
      <c r="A431" t="s">
        <v>2547</v>
      </c>
      <c r="B431" t="s">
        <v>111</v>
      </c>
      <c r="C431" t="s">
        <v>1</v>
      </c>
      <c r="D431" s="1">
        <v>0.625</v>
      </c>
      <c r="E431" t="s">
        <v>2987</v>
      </c>
    </row>
    <row r="432" spans="1:5" x14ac:dyDescent="0.2">
      <c r="A432" t="s">
        <v>2548</v>
      </c>
      <c r="B432" t="s">
        <v>111</v>
      </c>
      <c r="C432" t="s">
        <v>1</v>
      </c>
      <c r="D432" s="1">
        <v>0.91666668653488159</v>
      </c>
      <c r="E432" t="s">
        <v>2987</v>
      </c>
    </row>
    <row r="433" spans="1:5" x14ac:dyDescent="0.2">
      <c r="A433" t="s">
        <v>2549</v>
      </c>
      <c r="B433" t="s">
        <v>2988</v>
      </c>
      <c r="C433" t="s">
        <v>2988</v>
      </c>
      <c r="D433" s="1">
        <v>0.125</v>
      </c>
      <c r="E433" t="s">
        <v>2987</v>
      </c>
    </row>
    <row r="434" spans="1:5" x14ac:dyDescent="0.2">
      <c r="A434" t="s">
        <v>2550</v>
      </c>
      <c r="B434" t="s">
        <v>2013</v>
      </c>
      <c r="C434" t="s">
        <v>1</v>
      </c>
      <c r="D434" s="1">
        <v>1</v>
      </c>
      <c r="E434" t="s">
        <v>2987</v>
      </c>
    </row>
    <row r="435" spans="1:5" x14ac:dyDescent="0.2">
      <c r="A435" t="s">
        <v>2551</v>
      </c>
      <c r="B435" t="s">
        <v>634</v>
      </c>
      <c r="C435" t="s">
        <v>0</v>
      </c>
      <c r="D435" s="1">
        <v>0.66666668653488159</v>
      </c>
      <c r="E435" t="s">
        <v>2987</v>
      </c>
    </row>
    <row r="436" spans="1:5" x14ac:dyDescent="0.2">
      <c r="A436" t="s">
        <v>2552</v>
      </c>
      <c r="B436" t="s">
        <v>1954</v>
      </c>
      <c r="C436" t="s">
        <v>1</v>
      </c>
      <c r="D436" s="1">
        <v>0.47368422150611877</v>
      </c>
      <c r="E436" t="s">
        <v>2987</v>
      </c>
    </row>
    <row r="437" spans="1:5" x14ac:dyDescent="0.2">
      <c r="A437" t="s">
        <v>2553</v>
      </c>
      <c r="B437" t="s">
        <v>150</v>
      </c>
      <c r="C437" t="s">
        <v>0</v>
      </c>
      <c r="D437" s="1">
        <v>0.6086956262588501</v>
      </c>
      <c r="E437" t="s">
        <v>2987</v>
      </c>
    </row>
    <row r="438" spans="1:5" x14ac:dyDescent="0.2">
      <c r="A438" t="s">
        <v>2554</v>
      </c>
      <c r="B438" t="s">
        <v>1020</v>
      </c>
      <c r="C438" t="s">
        <v>0</v>
      </c>
      <c r="D438" s="1">
        <v>0.40000000596046448</v>
      </c>
      <c r="E438" t="s">
        <v>2987</v>
      </c>
    </row>
    <row r="439" spans="1:5" x14ac:dyDescent="0.2">
      <c r="A439" t="s">
        <v>2555</v>
      </c>
      <c r="B439" t="s">
        <v>2988</v>
      </c>
      <c r="C439" t="s">
        <v>2988</v>
      </c>
      <c r="D439" s="1">
        <v>6.6666670143604279E-2</v>
      </c>
      <c r="E439" t="s">
        <v>2987</v>
      </c>
    </row>
    <row r="440" spans="1:5" x14ac:dyDescent="0.2">
      <c r="A440" t="s">
        <v>2556</v>
      </c>
      <c r="B440" t="s">
        <v>2988</v>
      </c>
      <c r="C440" t="s">
        <v>2988</v>
      </c>
      <c r="D440" s="1">
        <v>7.6923079788684845E-2</v>
      </c>
      <c r="E440" t="s">
        <v>2987</v>
      </c>
    </row>
    <row r="441" spans="1:5" x14ac:dyDescent="0.2">
      <c r="A441" t="s">
        <v>255</v>
      </c>
      <c r="B441" t="s">
        <v>255</v>
      </c>
      <c r="C441" t="s">
        <v>1</v>
      </c>
      <c r="D441" s="1">
        <v>1</v>
      </c>
      <c r="E441" t="s">
        <v>2987</v>
      </c>
    </row>
    <row r="442" spans="1:5" x14ac:dyDescent="0.2">
      <c r="A442" t="s">
        <v>2557</v>
      </c>
      <c r="B442" t="s">
        <v>1649</v>
      </c>
      <c r="C442" t="s">
        <v>1</v>
      </c>
      <c r="D442" s="1">
        <v>0.53333336114883423</v>
      </c>
      <c r="E442" t="s">
        <v>2987</v>
      </c>
    </row>
    <row r="443" spans="1:5" x14ac:dyDescent="0.2">
      <c r="A443" t="s">
        <v>2558</v>
      </c>
      <c r="B443" t="s">
        <v>2988</v>
      </c>
      <c r="C443" t="s">
        <v>2988</v>
      </c>
      <c r="D443" s="1">
        <v>0.28571429848670959</v>
      </c>
      <c r="E443" t="s">
        <v>2987</v>
      </c>
    </row>
    <row r="444" spans="1:5" x14ac:dyDescent="0.2">
      <c r="A444" t="s">
        <v>2559</v>
      </c>
      <c r="B444" t="s">
        <v>1301</v>
      </c>
      <c r="C444" t="s">
        <v>0</v>
      </c>
      <c r="D444" s="1">
        <v>0.4444444477558136</v>
      </c>
      <c r="E444" t="s">
        <v>2987</v>
      </c>
    </row>
    <row r="445" spans="1:5" x14ac:dyDescent="0.2">
      <c r="A445" t="s">
        <v>2560</v>
      </c>
      <c r="B445" t="s">
        <v>2024</v>
      </c>
      <c r="C445" t="s">
        <v>1</v>
      </c>
      <c r="D445" s="1">
        <v>0.30000001192092896</v>
      </c>
      <c r="E445" t="s">
        <v>2989</v>
      </c>
    </row>
    <row r="446" spans="1:5" x14ac:dyDescent="0.2">
      <c r="A446" t="s">
        <v>2561</v>
      </c>
      <c r="B446" t="s">
        <v>1301</v>
      </c>
      <c r="C446" t="s">
        <v>0</v>
      </c>
      <c r="D446" s="1">
        <v>0.61538463830947876</v>
      </c>
      <c r="E446" t="s">
        <v>2987</v>
      </c>
    </row>
    <row r="447" spans="1:5" x14ac:dyDescent="0.2">
      <c r="A447" t="s">
        <v>2562</v>
      </c>
      <c r="B447" t="s">
        <v>113</v>
      </c>
      <c r="C447" t="s">
        <v>1</v>
      </c>
      <c r="D447" s="1">
        <v>0.53846156597137451</v>
      </c>
      <c r="E447" t="s">
        <v>2987</v>
      </c>
    </row>
    <row r="448" spans="1:5" x14ac:dyDescent="0.2">
      <c r="A448" t="s">
        <v>2563</v>
      </c>
      <c r="B448" t="s">
        <v>115</v>
      </c>
      <c r="C448" t="s">
        <v>1</v>
      </c>
      <c r="D448" s="1">
        <v>0.625</v>
      </c>
      <c r="E448" t="s">
        <v>2987</v>
      </c>
    </row>
    <row r="449" spans="1:5" x14ac:dyDescent="0.2">
      <c r="A449" t="s">
        <v>2564</v>
      </c>
      <c r="B449" t="s">
        <v>117</v>
      </c>
      <c r="C449" t="s">
        <v>1</v>
      </c>
      <c r="D449" s="1">
        <v>0.42105263471603394</v>
      </c>
      <c r="E449" t="s">
        <v>2987</v>
      </c>
    </row>
    <row r="450" spans="1:5" x14ac:dyDescent="0.2">
      <c r="A450" t="s">
        <v>2565</v>
      </c>
      <c r="B450" t="s">
        <v>1303</v>
      </c>
      <c r="C450" t="s">
        <v>0</v>
      </c>
      <c r="D450" s="1">
        <v>0.52173912525177002</v>
      </c>
      <c r="E450" t="s">
        <v>2987</v>
      </c>
    </row>
    <row r="451" spans="1:5" x14ac:dyDescent="0.2">
      <c r="A451" t="s">
        <v>2566</v>
      </c>
      <c r="B451" t="s">
        <v>1839</v>
      </c>
      <c r="C451" t="s">
        <v>1</v>
      </c>
      <c r="D451" s="1">
        <v>0.43902438879013062</v>
      </c>
      <c r="E451" t="s">
        <v>2987</v>
      </c>
    </row>
    <row r="452" spans="1:5" x14ac:dyDescent="0.2">
      <c r="A452" t="s">
        <v>2567</v>
      </c>
      <c r="B452" t="s">
        <v>2988</v>
      </c>
      <c r="C452" t="s">
        <v>2988</v>
      </c>
      <c r="D452" s="1">
        <v>0.1428571492433548</v>
      </c>
      <c r="E452" t="s">
        <v>2987</v>
      </c>
    </row>
    <row r="453" spans="1:5" x14ac:dyDescent="0.2">
      <c r="A453" t="s">
        <v>2568</v>
      </c>
      <c r="B453" t="s">
        <v>254</v>
      </c>
      <c r="C453" t="s">
        <v>0</v>
      </c>
      <c r="D453" s="1">
        <v>0.57142859697341919</v>
      </c>
      <c r="E453" t="s">
        <v>2987</v>
      </c>
    </row>
    <row r="454" spans="1:5" x14ac:dyDescent="0.2">
      <c r="A454" t="s">
        <v>2569</v>
      </c>
      <c r="B454" t="s">
        <v>1133</v>
      </c>
      <c r="C454" t="s">
        <v>0</v>
      </c>
      <c r="D454" s="1">
        <v>0.42105263471603394</v>
      </c>
      <c r="E454" t="s">
        <v>2987</v>
      </c>
    </row>
    <row r="455" spans="1:5" x14ac:dyDescent="0.2">
      <c r="A455" t="s">
        <v>2570</v>
      </c>
      <c r="B455" t="s">
        <v>1320</v>
      </c>
      <c r="C455" t="s">
        <v>1</v>
      </c>
      <c r="D455" s="1">
        <v>0.3333333432674408</v>
      </c>
      <c r="E455" t="s">
        <v>2989</v>
      </c>
    </row>
    <row r="456" spans="1:5" x14ac:dyDescent="0.2">
      <c r="A456" t="s">
        <v>2571</v>
      </c>
      <c r="B456" t="s">
        <v>543</v>
      </c>
      <c r="C456" t="s">
        <v>1</v>
      </c>
      <c r="D456" s="1">
        <v>0.32203391194343567</v>
      </c>
      <c r="E456" t="s">
        <v>2989</v>
      </c>
    </row>
    <row r="457" spans="1:5" x14ac:dyDescent="0.2">
      <c r="A457" t="s">
        <v>2572</v>
      </c>
      <c r="B457" t="s">
        <v>400</v>
      </c>
      <c r="C457" t="s">
        <v>0</v>
      </c>
      <c r="D457" s="1">
        <v>0.53846156597137451</v>
      </c>
      <c r="E457" t="s">
        <v>2987</v>
      </c>
    </row>
    <row r="458" spans="1:5" x14ac:dyDescent="0.2">
      <c r="A458" t="s">
        <v>2573</v>
      </c>
      <c r="B458" t="s">
        <v>537</v>
      </c>
      <c r="C458" t="s">
        <v>1</v>
      </c>
      <c r="D458" s="1">
        <v>0.3684210479259491</v>
      </c>
      <c r="E458" t="s">
        <v>2989</v>
      </c>
    </row>
    <row r="459" spans="1:5" x14ac:dyDescent="0.2">
      <c r="A459" t="s">
        <v>2574</v>
      </c>
      <c r="B459" t="s">
        <v>886</v>
      </c>
      <c r="C459" t="s">
        <v>0</v>
      </c>
      <c r="D459" s="1">
        <v>0.3055555522441864</v>
      </c>
      <c r="E459" t="s">
        <v>2989</v>
      </c>
    </row>
    <row r="460" spans="1:5" x14ac:dyDescent="0.2">
      <c r="A460" t="s">
        <v>2575</v>
      </c>
      <c r="B460" t="s">
        <v>1430</v>
      </c>
      <c r="C460" t="s">
        <v>0</v>
      </c>
      <c r="D460" s="1">
        <v>0.47826087474822998</v>
      </c>
      <c r="E460" t="s">
        <v>2987</v>
      </c>
    </row>
    <row r="461" spans="1:5" x14ac:dyDescent="0.2">
      <c r="A461" t="s">
        <v>2576</v>
      </c>
      <c r="B461" t="s">
        <v>2988</v>
      </c>
      <c r="C461" t="s">
        <v>2988</v>
      </c>
      <c r="D461" s="1">
        <v>0.10000000149011612</v>
      </c>
      <c r="E461" t="s">
        <v>2987</v>
      </c>
    </row>
    <row r="462" spans="1:5" x14ac:dyDescent="0.2">
      <c r="A462" t="s">
        <v>2577</v>
      </c>
      <c r="B462" t="s">
        <v>1591</v>
      </c>
      <c r="C462" t="s">
        <v>1</v>
      </c>
      <c r="D462" s="1">
        <v>0.40000000596046448</v>
      </c>
      <c r="E462" t="s">
        <v>2987</v>
      </c>
    </row>
    <row r="463" spans="1:5" x14ac:dyDescent="0.2">
      <c r="A463" t="s">
        <v>2578</v>
      </c>
      <c r="B463" t="s">
        <v>2988</v>
      </c>
      <c r="C463" t="s">
        <v>2988</v>
      </c>
      <c r="D463" s="1">
        <v>0.2222222238779068</v>
      </c>
      <c r="E463" t="s">
        <v>2987</v>
      </c>
    </row>
    <row r="464" spans="1:5" x14ac:dyDescent="0.2">
      <c r="A464" t="s">
        <v>2579</v>
      </c>
      <c r="B464" t="s">
        <v>2988</v>
      </c>
      <c r="C464" t="s">
        <v>2988</v>
      </c>
      <c r="D464" s="1">
        <v>0.4285714328289032</v>
      </c>
      <c r="E464" t="s">
        <v>2987</v>
      </c>
    </row>
    <row r="465" spans="1:5" x14ac:dyDescent="0.2">
      <c r="A465" t="s">
        <v>2580</v>
      </c>
      <c r="B465" t="s">
        <v>914</v>
      </c>
      <c r="C465" t="s">
        <v>0</v>
      </c>
      <c r="D465" s="1">
        <v>0.5116279125213623</v>
      </c>
      <c r="E465" t="s">
        <v>2987</v>
      </c>
    </row>
    <row r="466" spans="1:5" x14ac:dyDescent="0.2">
      <c r="A466" t="s">
        <v>2581</v>
      </c>
      <c r="B466" t="s">
        <v>2015</v>
      </c>
      <c r="C466" t="s">
        <v>1</v>
      </c>
      <c r="D466" s="1">
        <v>0.46666666865348816</v>
      </c>
      <c r="E466" t="s">
        <v>2987</v>
      </c>
    </row>
    <row r="467" spans="1:5" x14ac:dyDescent="0.2">
      <c r="A467" t="s">
        <v>2582</v>
      </c>
      <c r="B467" t="s">
        <v>834</v>
      </c>
      <c r="C467" t="s">
        <v>0</v>
      </c>
      <c r="D467" s="1">
        <v>1</v>
      </c>
      <c r="E467" t="s">
        <v>2987</v>
      </c>
    </row>
    <row r="468" spans="1:5" x14ac:dyDescent="0.2">
      <c r="A468" t="s">
        <v>2583</v>
      </c>
      <c r="B468" t="s">
        <v>1669</v>
      </c>
      <c r="C468" t="s">
        <v>1</v>
      </c>
      <c r="D468" s="1">
        <v>0.54166668653488159</v>
      </c>
      <c r="E468" t="s">
        <v>2987</v>
      </c>
    </row>
    <row r="469" spans="1:5" x14ac:dyDescent="0.2">
      <c r="A469" t="s">
        <v>2584</v>
      </c>
      <c r="B469" t="s">
        <v>1669</v>
      </c>
      <c r="C469" t="s">
        <v>1</v>
      </c>
      <c r="D469" s="1">
        <v>0.5</v>
      </c>
      <c r="E469" t="s">
        <v>2987</v>
      </c>
    </row>
    <row r="470" spans="1:5" x14ac:dyDescent="0.2">
      <c r="A470" t="s">
        <v>2585</v>
      </c>
      <c r="B470" t="s">
        <v>834</v>
      </c>
      <c r="C470" t="s">
        <v>0</v>
      </c>
      <c r="D470" s="1">
        <v>0.55555558204650879</v>
      </c>
      <c r="E470" t="s">
        <v>2987</v>
      </c>
    </row>
    <row r="471" spans="1:5" x14ac:dyDescent="0.2">
      <c r="A471" t="s">
        <v>2586</v>
      </c>
      <c r="B471" t="s">
        <v>834</v>
      </c>
      <c r="C471" t="s">
        <v>0</v>
      </c>
      <c r="D471" s="1">
        <v>0.55555558204650879</v>
      </c>
      <c r="E471" t="s">
        <v>2987</v>
      </c>
    </row>
    <row r="472" spans="1:5" x14ac:dyDescent="0.2">
      <c r="A472" t="s">
        <v>2587</v>
      </c>
      <c r="B472" t="s">
        <v>834</v>
      </c>
      <c r="C472" t="s">
        <v>0</v>
      </c>
      <c r="D472" s="1">
        <v>0.625</v>
      </c>
      <c r="E472" t="s">
        <v>2987</v>
      </c>
    </row>
    <row r="473" spans="1:5" x14ac:dyDescent="0.2">
      <c r="A473" t="s">
        <v>2588</v>
      </c>
      <c r="B473" t="s">
        <v>1671</v>
      </c>
      <c r="C473" t="s">
        <v>1</v>
      </c>
      <c r="D473" s="1">
        <v>0.41463413834571838</v>
      </c>
      <c r="E473" t="s">
        <v>2987</v>
      </c>
    </row>
    <row r="474" spans="1:5" x14ac:dyDescent="0.2">
      <c r="A474" t="s">
        <v>2589</v>
      </c>
      <c r="B474" t="s">
        <v>1671</v>
      </c>
      <c r="C474" t="s">
        <v>1</v>
      </c>
      <c r="D474" s="1">
        <v>0.43589743971824646</v>
      </c>
      <c r="E474" t="s">
        <v>2987</v>
      </c>
    </row>
    <row r="475" spans="1:5" x14ac:dyDescent="0.2">
      <c r="A475" t="s">
        <v>2590</v>
      </c>
      <c r="B475" t="s">
        <v>1671</v>
      </c>
      <c r="C475" t="s">
        <v>1</v>
      </c>
      <c r="D475" s="1">
        <v>0.43243244290351868</v>
      </c>
      <c r="E475" t="s">
        <v>2987</v>
      </c>
    </row>
    <row r="476" spans="1:5" x14ac:dyDescent="0.2">
      <c r="A476" t="s">
        <v>2591</v>
      </c>
      <c r="B476" t="s">
        <v>1671</v>
      </c>
      <c r="C476" t="s">
        <v>1</v>
      </c>
      <c r="D476" s="1">
        <v>0.42222222685813904</v>
      </c>
      <c r="E476" t="s">
        <v>2987</v>
      </c>
    </row>
    <row r="477" spans="1:5" x14ac:dyDescent="0.2">
      <c r="A477" t="s">
        <v>2592</v>
      </c>
      <c r="B477" t="s">
        <v>1490</v>
      </c>
      <c r="C477" t="s">
        <v>1</v>
      </c>
      <c r="D477" s="1">
        <v>0.64864861965179443</v>
      </c>
      <c r="E477" t="s">
        <v>2987</v>
      </c>
    </row>
    <row r="478" spans="1:5" x14ac:dyDescent="0.2">
      <c r="A478" t="s">
        <v>2593</v>
      </c>
      <c r="B478" t="s">
        <v>234</v>
      </c>
      <c r="C478" t="s">
        <v>0</v>
      </c>
      <c r="D478" s="1">
        <v>0.26086956262588501</v>
      </c>
      <c r="E478" t="s">
        <v>2989</v>
      </c>
    </row>
    <row r="479" spans="1:5" x14ac:dyDescent="0.2">
      <c r="A479" t="s">
        <v>2594</v>
      </c>
      <c r="B479" t="s">
        <v>787</v>
      </c>
      <c r="C479" t="s">
        <v>1</v>
      </c>
      <c r="D479" s="1">
        <v>0.4444444477558136</v>
      </c>
      <c r="E479" t="s">
        <v>2987</v>
      </c>
    </row>
    <row r="480" spans="1:5" x14ac:dyDescent="0.2">
      <c r="A480" t="s">
        <v>2595</v>
      </c>
      <c r="B480" t="s">
        <v>756</v>
      </c>
      <c r="C480" t="s">
        <v>0</v>
      </c>
      <c r="D480" s="1">
        <v>0.66666668653488159</v>
      </c>
      <c r="E480" t="s">
        <v>2987</v>
      </c>
    </row>
    <row r="481" spans="1:5" x14ac:dyDescent="0.2">
      <c r="A481" t="s">
        <v>2596</v>
      </c>
      <c r="B481" t="s">
        <v>984</v>
      </c>
      <c r="C481" t="s">
        <v>1</v>
      </c>
      <c r="D481" s="1">
        <v>0.5161290168762207</v>
      </c>
      <c r="E481" t="s">
        <v>2987</v>
      </c>
    </row>
    <row r="482" spans="1:5" x14ac:dyDescent="0.2">
      <c r="A482" t="s">
        <v>2597</v>
      </c>
      <c r="B482" t="s">
        <v>350</v>
      </c>
      <c r="C482" t="s">
        <v>0</v>
      </c>
      <c r="D482" s="1">
        <v>0.60606062412261963</v>
      </c>
      <c r="E482" t="s">
        <v>2987</v>
      </c>
    </row>
    <row r="483" spans="1:5" x14ac:dyDescent="0.2">
      <c r="A483" t="s">
        <v>2598</v>
      </c>
      <c r="B483" t="s">
        <v>2988</v>
      </c>
      <c r="C483" t="s">
        <v>2988</v>
      </c>
      <c r="D483" s="1">
        <v>9.0909093618392944E-2</v>
      </c>
      <c r="E483" t="s">
        <v>2987</v>
      </c>
    </row>
    <row r="484" spans="1:5" x14ac:dyDescent="0.2">
      <c r="A484" t="s">
        <v>2599</v>
      </c>
      <c r="B484" t="s">
        <v>2988</v>
      </c>
      <c r="C484" t="s">
        <v>2988</v>
      </c>
      <c r="D484" s="1">
        <v>0.125</v>
      </c>
      <c r="E484" t="s">
        <v>2987</v>
      </c>
    </row>
    <row r="485" spans="1:5" x14ac:dyDescent="0.2">
      <c r="A485" t="s">
        <v>2600</v>
      </c>
      <c r="B485" t="s">
        <v>190</v>
      </c>
      <c r="C485" t="s">
        <v>0</v>
      </c>
      <c r="D485" s="1">
        <v>0.46666666865348816</v>
      </c>
      <c r="E485" t="s">
        <v>2987</v>
      </c>
    </row>
    <row r="486" spans="1:5" x14ac:dyDescent="0.2">
      <c r="A486" t="s">
        <v>2601</v>
      </c>
      <c r="B486" t="s">
        <v>836</v>
      </c>
      <c r="C486" t="s">
        <v>0</v>
      </c>
      <c r="D486" s="1">
        <v>1</v>
      </c>
      <c r="E486" t="s">
        <v>2987</v>
      </c>
    </row>
    <row r="487" spans="1:5" x14ac:dyDescent="0.2">
      <c r="A487" t="s">
        <v>2602</v>
      </c>
      <c r="B487" t="s">
        <v>1324</v>
      </c>
      <c r="C487" t="s">
        <v>1</v>
      </c>
      <c r="D487" s="1">
        <v>0.43243244290351868</v>
      </c>
      <c r="E487" t="s">
        <v>2987</v>
      </c>
    </row>
    <row r="488" spans="1:5" x14ac:dyDescent="0.2">
      <c r="A488" t="s">
        <v>2603</v>
      </c>
      <c r="B488" t="s">
        <v>1794</v>
      </c>
      <c r="C488" t="s">
        <v>1</v>
      </c>
      <c r="D488" s="1">
        <v>0.5</v>
      </c>
      <c r="E488" t="s">
        <v>2987</v>
      </c>
    </row>
    <row r="489" spans="1:5" x14ac:dyDescent="0.2">
      <c r="A489" t="s">
        <v>2604</v>
      </c>
      <c r="B489" t="s">
        <v>1795</v>
      </c>
      <c r="C489" t="s">
        <v>1</v>
      </c>
      <c r="D489" s="1">
        <v>0.47297295928001404</v>
      </c>
      <c r="E489" t="s">
        <v>2987</v>
      </c>
    </row>
    <row r="490" spans="1:5" x14ac:dyDescent="0.2">
      <c r="A490" t="s">
        <v>2605</v>
      </c>
      <c r="B490" t="s">
        <v>2988</v>
      </c>
      <c r="C490" t="s">
        <v>2988</v>
      </c>
      <c r="D490" s="1">
        <v>0.28571429848670959</v>
      </c>
      <c r="E490" t="s">
        <v>2987</v>
      </c>
    </row>
    <row r="491" spans="1:5" x14ac:dyDescent="0.2">
      <c r="A491" t="s">
        <v>2606</v>
      </c>
      <c r="B491" t="s">
        <v>48</v>
      </c>
      <c r="C491" t="s">
        <v>0</v>
      </c>
      <c r="D491" s="1">
        <v>0.57142859697341919</v>
      </c>
      <c r="E491" t="s">
        <v>2987</v>
      </c>
    </row>
    <row r="492" spans="1:5" x14ac:dyDescent="0.2">
      <c r="A492" t="s">
        <v>2607</v>
      </c>
      <c r="B492" t="s">
        <v>2988</v>
      </c>
      <c r="C492" t="s">
        <v>2988</v>
      </c>
      <c r="D492" s="1">
        <v>9.0909093618392944E-2</v>
      </c>
      <c r="E492" t="s">
        <v>2987</v>
      </c>
    </row>
    <row r="493" spans="1:5" x14ac:dyDescent="0.2">
      <c r="A493" t="s">
        <v>2608</v>
      </c>
      <c r="B493" t="s">
        <v>791</v>
      </c>
      <c r="C493" t="s">
        <v>1</v>
      </c>
      <c r="D493" s="1">
        <v>0.48275861144065857</v>
      </c>
      <c r="E493" t="s">
        <v>2987</v>
      </c>
    </row>
    <row r="494" spans="1:5" x14ac:dyDescent="0.2">
      <c r="A494" t="s">
        <v>2609</v>
      </c>
      <c r="B494" t="s">
        <v>793</v>
      </c>
      <c r="C494" t="s">
        <v>1</v>
      </c>
      <c r="D494" s="1">
        <v>0.46153846383094788</v>
      </c>
      <c r="E494" t="s">
        <v>2987</v>
      </c>
    </row>
    <row r="495" spans="1:5" x14ac:dyDescent="0.2">
      <c r="A495" t="s">
        <v>2610</v>
      </c>
      <c r="B495" t="s">
        <v>500</v>
      </c>
      <c r="C495" t="s">
        <v>0</v>
      </c>
      <c r="D495" s="1">
        <v>0.71428573131561279</v>
      </c>
      <c r="E495" t="s">
        <v>2987</v>
      </c>
    </row>
    <row r="496" spans="1:5" x14ac:dyDescent="0.2">
      <c r="A496" t="s">
        <v>2611</v>
      </c>
      <c r="B496" t="s">
        <v>500</v>
      </c>
      <c r="C496" t="s">
        <v>0</v>
      </c>
      <c r="D496" s="1">
        <v>0.58823531866073608</v>
      </c>
      <c r="E496" t="s">
        <v>2987</v>
      </c>
    </row>
    <row r="497" spans="1:5" x14ac:dyDescent="0.2">
      <c r="A497" t="s">
        <v>2612</v>
      </c>
      <c r="B497" t="s">
        <v>500</v>
      </c>
      <c r="C497" t="s">
        <v>0</v>
      </c>
      <c r="D497" s="1">
        <v>0.66666668653488159</v>
      </c>
      <c r="E497" t="s">
        <v>2987</v>
      </c>
    </row>
    <row r="498" spans="1:5" x14ac:dyDescent="0.2">
      <c r="A498" t="s">
        <v>2613</v>
      </c>
      <c r="B498" t="s">
        <v>986</v>
      </c>
      <c r="C498" t="s">
        <v>1</v>
      </c>
      <c r="D498" s="1">
        <v>0.43999999761581421</v>
      </c>
      <c r="E498" t="s">
        <v>2987</v>
      </c>
    </row>
    <row r="499" spans="1:5" x14ac:dyDescent="0.2">
      <c r="A499" t="s">
        <v>2614</v>
      </c>
      <c r="B499" t="s">
        <v>124</v>
      </c>
      <c r="C499" t="s">
        <v>0</v>
      </c>
      <c r="D499" s="1">
        <v>1</v>
      </c>
      <c r="E499" t="s">
        <v>2987</v>
      </c>
    </row>
    <row r="500" spans="1:5" x14ac:dyDescent="0.2">
      <c r="A500" t="s">
        <v>2615</v>
      </c>
      <c r="B500" t="s">
        <v>1141</v>
      </c>
      <c r="C500" t="s">
        <v>0</v>
      </c>
      <c r="D500" s="1">
        <v>0.47058823704719543</v>
      </c>
      <c r="E500" t="s">
        <v>2987</v>
      </c>
    </row>
    <row r="501" spans="1:5" x14ac:dyDescent="0.2">
      <c r="A501" t="s">
        <v>2616</v>
      </c>
      <c r="B501" t="s">
        <v>794</v>
      </c>
      <c r="C501" t="s">
        <v>0</v>
      </c>
      <c r="D501" s="1">
        <v>0.53333336114883423</v>
      </c>
      <c r="E501" t="s">
        <v>2987</v>
      </c>
    </row>
    <row r="502" spans="1:5" x14ac:dyDescent="0.2">
      <c r="A502" t="s">
        <v>2617</v>
      </c>
      <c r="B502" t="s">
        <v>2988</v>
      </c>
      <c r="C502" t="s">
        <v>2988</v>
      </c>
      <c r="D502" s="1">
        <v>0.15384615957736969</v>
      </c>
      <c r="E502" t="s">
        <v>2987</v>
      </c>
    </row>
    <row r="503" spans="1:5" x14ac:dyDescent="0.2">
      <c r="A503" t="s">
        <v>2618</v>
      </c>
      <c r="B503" t="s">
        <v>335</v>
      </c>
      <c r="C503" t="s">
        <v>1</v>
      </c>
      <c r="D503" s="1">
        <v>0.5128205418586731</v>
      </c>
      <c r="E503" t="s">
        <v>2987</v>
      </c>
    </row>
    <row r="504" spans="1:5" x14ac:dyDescent="0.2">
      <c r="A504" t="s">
        <v>2619</v>
      </c>
      <c r="B504" t="s">
        <v>888</v>
      </c>
      <c r="C504" t="s">
        <v>0</v>
      </c>
      <c r="D504" s="1">
        <v>0.58823531866073608</v>
      </c>
      <c r="E504" t="s">
        <v>2987</v>
      </c>
    </row>
    <row r="505" spans="1:5" x14ac:dyDescent="0.2">
      <c r="A505" t="s">
        <v>2620</v>
      </c>
      <c r="B505" t="s">
        <v>2988</v>
      </c>
      <c r="C505" t="s">
        <v>2988</v>
      </c>
      <c r="D505" s="1">
        <v>0.1428571492433548</v>
      </c>
      <c r="E505" t="s">
        <v>2987</v>
      </c>
    </row>
    <row r="506" spans="1:5" x14ac:dyDescent="0.2">
      <c r="A506" t="s">
        <v>2621</v>
      </c>
      <c r="B506" t="s">
        <v>1592</v>
      </c>
      <c r="C506" t="s">
        <v>1</v>
      </c>
      <c r="D506" s="1">
        <v>0.58064514398574829</v>
      </c>
      <c r="E506" t="s">
        <v>2987</v>
      </c>
    </row>
    <row r="507" spans="1:5" x14ac:dyDescent="0.2">
      <c r="A507" t="s">
        <v>2622</v>
      </c>
      <c r="B507" t="s">
        <v>1306</v>
      </c>
      <c r="C507" t="s">
        <v>1</v>
      </c>
      <c r="D507" s="1">
        <v>0.30000001192092896</v>
      </c>
      <c r="E507" t="s">
        <v>2989</v>
      </c>
    </row>
    <row r="508" spans="1:5" x14ac:dyDescent="0.2">
      <c r="A508" t="s">
        <v>2623</v>
      </c>
      <c r="B508" t="s">
        <v>1400</v>
      </c>
      <c r="C508" t="s">
        <v>0</v>
      </c>
      <c r="D508" s="1">
        <v>0.38461539149284363</v>
      </c>
      <c r="E508" t="s">
        <v>2989</v>
      </c>
    </row>
    <row r="509" spans="1:5" x14ac:dyDescent="0.2">
      <c r="A509" t="s">
        <v>2624</v>
      </c>
      <c r="B509" t="s">
        <v>2988</v>
      </c>
      <c r="C509" t="s">
        <v>2988</v>
      </c>
      <c r="D509" s="1">
        <v>0.23076923191547394</v>
      </c>
      <c r="E509" t="s">
        <v>2987</v>
      </c>
    </row>
    <row r="510" spans="1:5" x14ac:dyDescent="0.2">
      <c r="A510" t="s">
        <v>2625</v>
      </c>
      <c r="B510" t="s">
        <v>2988</v>
      </c>
      <c r="C510" t="s">
        <v>2988</v>
      </c>
      <c r="D510" s="1">
        <v>7.3170728981494904E-2</v>
      </c>
      <c r="E510" t="s">
        <v>2987</v>
      </c>
    </row>
    <row r="511" spans="1:5" x14ac:dyDescent="0.2">
      <c r="A511" t="s">
        <v>2626</v>
      </c>
      <c r="B511" t="s">
        <v>1935</v>
      </c>
      <c r="C511" t="s">
        <v>1</v>
      </c>
      <c r="D511" s="1">
        <v>0.51851850748062134</v>
      </c>
      <c r="E511" t="s">
        <v>2987</v>
      </c>
    </row>
    <row r="512" spans="1:5" x14ac:dyDescent="0.2">
      <c r="A512" t="s">
        <v>2627</v>
      </c>
      <c r="B512" t="s">
        <v>1934</v>
      </c>
      <c r="C512" t="s">
        <v>1</v>
      </c>
      <c r="D512" s="1">
        <v>0.45454546809196472</v>
      </c>
      <c r="E512" t="s">
        <v>2987</v>
      </c>
    </row>
    <row r="513" spans="1:5" x14ac:dyDescent="0.2">
      <c r="A513" t="s">
        <v>2628</v>
      </c>
      <c r="B513" t="s">
        <v>1305</v>
      </c>
      <c r="C513" t="s">
        <v>0</v>
      </c>
      <c r="D513" s="1">
        <v>1</v>
      </c>
      <c r="E513" t="s">
        <v>2987</v>
      </c>
    </row>
    <row r="514" spans="1:5" x14ac:dyDescent="0.2">
      <c r="A514" t="s">
        <v>2629</v>
      </c>
      <c r="B514" t="s">
        <v>1764</v>
      </c>
      <c r="C514" t="s">
        <v>1</v>
      </c>
      <c r="D514" s="1">
        <v>1</v>
      </c>
      <c r="E514" t="s">
        <v>2987</v>
      </c>
    </row>
    <row r="515" spans="1:5" x14ac:dyDescent="0.2">
      <c r="A515" t="s">
        <v>2630</v>
      </c>
      <c r="B515" t="s">
        <v>1413</v>
      </c>
      <c r="C515" t="s">
        <v>1</v>
      </c>
      <c r="D515" s="1">
        <v>0.58064514398574829</v>
      </c>
      <c r="E515" t="s">
        <v>2987</v>
      </c>
    </row>
    <row r="516" spans="1:5" x14ac:dyDescent="0.2">
      <c r="A516" t="s">
        <v>2631</v>
      </c>
      <c r="B516" t="s">
        <v>1413</v>
      </c>
      <c r="C516" t="s">
        <v>1</v>
      </c>
      <c r="D516" s="1">
        <v>0.36000001430511475</v>
      </c>
      <c r="E516" t="s">
        <v>2989</v>
      </c>
    </row>
    <row r="517" spans="1:5" x14ac:dyDescent="0.2">
      <c r="A517" t="s">
        <v>2632</v>
      </c>
      <c r="B517" t="s">
        <v>1942</v>
      </c>
      <c r="C517" t="s">
        <v>1</v>
      </c>
      <c r="D517" s="1">
        <v>0.61538463830947876</v>
      </c>
      <c r="E517" t="s">
        <v>2987</v>
      </c>
    </row>
    <row r="518" spans="1:5" x14ac:dyDescent="0.2">
      <c r="A518" t="s">
        <v>2633</v>
      </c>
      <c r="B518" t="s">
        <v>2988</v>
      </c>
      <c r="C518" t="s">
        <v>2988</v>
      </c>
      <c r="D518" s="1">
        <v>0.1428571492433548</v>
      </c>
      <c r="E518" t="s">
        <v>2987</v>
      </c>
    </row>
    <row r="519" spans="1:5" x14ac:dyDescent="0.2">
      <c r="A519" t="s">
        <v>2634</v>
      </c>
      <c r="B519" t="s">
        <v>2988</v>
      </c>
      <c r="C519" t="s">
        <v>2988</v>
      </c>
      <c r="D519" s="1">
        <v>0.25</v>
      </c>
      <c r="E519" t="s">
        <v>2987</v>
      </c>
    </row>
    <row r="520" spans="1:5" x14ac:dyDescent="0.2">
      <c r="A520" t="s">
        <v>2635</v>
      </c>
      <c r="B520" t="s">
        <v>1616</v>
      </c>
      <c r="C520" t="s">
        <v>1</v>
      </c>
      <c r="D520" s="1">
        <v>0.5161290168762207</v>
      </c>
      <c r="E520" t="s">
        <v>2987</v>
      </c>
    </row>
    <row r="521" spans="1:5" x14ac:dyDescent="0.2">
      <c r="A521" t="s">
        <v>2636</v>
      </c>
      <c r="B521" t="s">
        <v>2016</v>
      </c>
      <c r="C521" t="s">
        <v>1</v>
      </c>
      <c r="D521" s="1">
        <v>0.80000001192092896</v>
      </c>
      <c r="E521" t="s">
        <v>2987</v>
      </c>
    </row>
    <row r="522" spans="1:5" x14ac:dyDescent="0.2">
      <c r="A522" t="s">
        <v>2637</v>
      </c>
      <c r="B522" t="s">
        <v>1087</v>
      </c>
      <c r="C522" t="s">
        <v>1</v>
      </c>
      <c r="D522" s="1">
        <v>3.125E-2</v>
      </c>
      <c r="E522" t="s">
        <v>2989</v>
      </c>
    </row>
    <row r="523" spans="1:5" x14ac:dyDescent="0.2">
      <c r="A523" t="s">
        <v>2638</v>
      </c>
      <c r="B523" t="s">
        <v>796</v>
      </c>
      <c r="C523" t="s">
        <v>0</v>
      </c>
      <c r="D523" s="1">
        <v>0.47999998927116394</v>
      </c>
      <c r="E523" t="s">
        <v>2987</v>
      </c>
    </row>
    <row r="524" spans="1:5" x14ac:dyDescent="0.2">
      <c r="A524" t="s">
        <v>2639</v>
      </c>
      <c r="B524" t="s">
        <v>2988</v>
      </c>
      <c r="C524" t="s">
        <v>2988</v>
      </c>
      <c r="D524" s="1">
        <v>0.1428571492433548</v>
      </c>
      <c r="E524" t="s">
        <v>2987</v>
      </c>
    </row>
    <row r="525" spans="1:5" x14ac:dyDescent="0.2">
      <c r="A525" t="s">
        <v>2640</v>
      </c>
      <c r="B525" t="s">
        <v>1650</v>
      </c>
      <c r="C525" t="s">
        <v>1</v>
      </c>
      <c r="D525" s="1">
        <v>0.5</v>
      </c>
      <c r="E525" t="s">
        <v>2987</v>
      </c>
    </row>
    <row r="526" spans="1:5" x14ac:dyDescent="0.2">
      <c r="A526" t="s">
        <v>2641</v>
      </c>
      <c r="B526" t="s">
        <v>2988</v>
      </c>
      <c r="C526" t="s">
        <v>2988</v>
      </c>
      <c r="D526" s="1">
        <v>0.15384615957736969</v>
      </c>
      <c r="E526" t="s">
        <v>2987</v>
      </c>
    </row>
    <row r="527" spans="1:5" x14ac:dyDescent="0.2">
      <c r="A527" t="s">
        <v>2642</v>
      </c>
      <c r="B527" t="s">
        <v>2988</v>
      </c>
      <c r="C527" t="s">
        <v>2988</v>
      </c>
      <c r="D527" s="1">
        <v>0.28571429848670959</v>
      </c>
      <c r="E527" t="s">
        <v>2987</v>
      </c>
    </row>
    <row r="528" spans="1:5" x14ac:dyDescent="0.2">
      <c r="A528" t="s">
        <v>2643</v>
      </c>
      <c r="B528" t="s">
        <v>990</v>
      </c>
      <c r="C528" t="s">
        <v>1</v>
      </c>
      <c r="D528" s="1">
        <v>1</v>
      </c>
      <c r="E528" t="s">
        <v>2987</v>
      </c>
    </row>
    <row r="529" spans="1:5" x14ac:dyDescent="0.2">
      <c r="A529" t="s">
        <v>2644</v>
      </c>
      <c r="B529" t="s">
        <v>890</v>
      </c>
      <c r="C529" t="s">
        <v>0</v>
      </c>
      <c r="D529" s="1">
        <v>0.28571429848670959</v>
      </c>
      <c r="E529" t="s">
        <v>2989</v>
      </c>
    </row>
    <row r="530" spans="1:5" x14ac:dyDescent="0.2">
      <c r="A530" t="s">
        <v>2645</v>
      </c>
      <c r="B530" t="s">
        <v>890</v>
      </c>
      <c r="C530" t="s">
        <v>0</v>
      </c>
      <c r="D530" s="1">
        <v>0.63157892227172852</v>
      </c>
      <c r="E530" t="s">
        <v>2987</v>
      </c>
    </row>
    <row r="531" spans="1:5" x14ac:dyDescent="0.2">
      <c r="A531" t="s">
        <v>2646</v>
      </c>
      <c r="B531" t="s">
        <v>2988</v>
      </c>
      <c r="C531" t="s">
        <v>2988</v>
      </c>
      <c r="D531" s="1">
        <v>2.7027027681469917E-2</v>
      </c>
      <c r="E531" t="s">
        <v>2987</v>
      </c>
    </row>
    <row r="532" spans="1:5" x14ac:dyDescent="0.2">
      <c r="A532" t="s">
        <v>2647</v>
      </c>
      <c r="B532" t="s">
        <v>2988</v>
      </c>
      <c r="C532" t="s">
        <v>2988</v>
      </c>
      <c r="D532" s="1">
        <v>3.5714287310838699E-2</v>
      </c>
      <c r="E532" t="s">
        <v>2987</v>
      </c>
    </row>
    <row r="533" spans="1:5" x14ac:dyDescent="0.2">
      <c r="A533" t="s">
        <v>257</v>
      </c>
      <c r="B533" t="s">
        <v>257</v>
      </c>
      <c r="C533" t="s">
        <v>1</v>
      </c>
      <c r="D533" s="1">
        <v>1</v>
      </c>
      <c r="E533" t="s">
        <v>2987</v>
      </c>
    </row>
    <row r="534" spans="1:5" x14ac:dyDescent="0.2">
      <c r="A534" t="s">
        <v>2648</v>
      </c>
      <c r="B534" t="s">
        <v>484</v>
      </c>
      <c r="C534" t="s">
        <v>0</v>
      </c>
      <c r="D534" s="1">
        <v>0.53333336114883423</v>
      </c>
      <c r="E534" t="s">
        <v>2987</v>
      </c>
    </row>
    <row r="535" spans="1:5" x14ac:dyDescent="0.2">
      <c r="A535" t="s">
        <v>2649</v>
      </c>
      <c r="B535" t="s">
        <v>2115</v>
      </c>
      <c r="C535" t="s">
        <v>1</v>
      </c>
      <c r="D535" s="1">
        <v>0.4285714328289032</v>
      </c>
      <c r="E535" t="s">
        <v>2987</v>
      </c>
    </row>
    <row r="536" spans="1:5" x14ac:dyDescent="0.2">
      <c r="A536" t="s">
        <v>2650</v>
      </c>
      <c r="B536" t="s">
        <v>248</v>
      </c>
      <c r="C536" t="s">
        <v>0</v>
      </c>
      <c r="D536" s="1">
        <v>0.46666666865348816</v>
      </c>
      <c r="E536" t="s">
        <v>2987</v>
      </c>
    </row>
    <row r="537" spans="1:5" x14ac:dyDescent="0.2">
      <c r="A537" t="s">
        <v>2651</v>
      </c>
      <c r="B537" t="s">
        <v>2988</v>
      </c>
      <c r="C537" t="s">
        <v>2988</v>
      </c>
      <c r="D537" s="1">
        <v>0.15384615957736969</v>
      </c>
      <c r="E537" t="s">
        <v>2987</v>
      </c>
    </row>
    <row r="538" spans="1:5" x14ac:dyDescent="0.2">
      <c r="A538" t="s">
        <v>2652</v>
      </c>
      <c r="B538" t="s">
        <v>2988</v>
      </c>
      <c r="C538" t="s">
        <v>2988</v>
      </c>
      <c r="D538" s="1">
        <v>0.2222222238779068</v>
      </c>
      <c r="E538" t="s">
        <v>2987</v>
      </c>
    </row>
    <row r="539" spans="1:5" x14ac:dyDescent="0.2">
      <c r="A539" t="s">
        <v>2653</v>
      </c>
      <c r="B539" t="s">
        <v>1129</v>
      </c>
      <c r="C539" t="s">
        <v>0</v>
      </c>
      <c r="D539" s="1">
        <v>0.5</v>
      </c>
      <c r="E539" t="s">
        <v>2987</v>
      </c>
    </row>
    <row r="540" spans="1:5" x14ac:dyDescent="0.2">
      <c r="A540" t="s">
        <v>2654</v>
      </c>
      <c r="B540" t="s">
        <v>391</v>
      </c>
      <c r="C540" t="s">
        <v>1</v>
      </c>
      <c r="D540" s="1">
        <v>0.39130434393882751</v>
      </c>
      <c r="E540" t="s">
        <v>2989</v>
      </c>
    </row>
    <row r="541" spans="1:5" x14ac:dyDescent="0.2">
      <c r="A541" t="s">
        <v>2655</v>
      </c>
      <c r="B541" t="s">
        <v>1123</v>
      </c>
      <c r="C541" t="s">
        <v>0</v>
      </c>
      <c r="D541" s="1">
        <v>0.5517241358757019</v>
      </c>
      <c r="E541" t="s">
        <v>2987</v>
      </c>
    </row>
    <row r="542" spans="1:5" x14ac:dyDescent="0.2">
      <c r="A542" t="s">
        <v>2656</v>
      </c>
      <c r="B542" t="s">
        <v>1226</v>
      </c>
      <c r="C542" t="s">
        <v>0</v>
      </c>
      <c r="D542" s="1">
        <v>0.30612245202064514</v>
      </c>
      <c r="E542" t="s">
        <v>2989</v>
      </c>
    </row>
    <row r="543" spans="1:5" x14ac:dyDescent="0.2">
      <c r="A543" t="s">
        <v>2657</v>
      </c>
      <c r="B543" t="s">
        <v>1566</v>
      </c>
      <c r="C543" t="s">
        <v>1</v>
      </c>
      <c r="D543" s="1">
        <v>0.56410259008407593</v>
      </c>
      <c r="E543" t="s">
        <v>2987</v>
      </c>
    </row>
    <row r="544" spans="1:5" x14ac:dyDescent="0.2">
      <c r="A544" t="s">
        <v>2658</v>
      </c>
      <c r="B544" t="s">
        <v>1566</v>
      </c>
      <c r="C544" t="s">
        <v>1</v>
      </c>
      <c r="D544" s="1">
        <v>0.53846156597137451</v>
      </c>
      <c r="E544" t="s">
        <v>2987</v>
      </c>
    </row>
    <row r="545" spans="1:5" x14ac:dyDescent="0.2">
      <c r="A545" t="s">
        <v>2659</v>
      </c>
      <c r="B545" t="s">
        <v>2988</v>
      </c>
      <c r="C545" t="s">
        <v>2988</v>
      </c>
      <c r="D545" s="1">
        <v>0.1428571492433548</v>
      </c>
      <c r="E545" t="s">
        <v>2987</v>
      </c>
    </row>
    <row r="546" spans="1:5" x14ac:dyDescent="0.2">
      <c r="A546" t="s">
        <v>2660</v>
      </c>
      <c r="B546" t="s">
        <v>1568</v>
      </c>
      <c r="C546" t="s">
        <v>1</v>
      </c>
      <c r="D546" s="1">
        <v>0.42553192377090454</v>
      </c>
      <c r="E546" t="s">
        <v>2987</v>
      </c>
    </row>
    <row r="547" spans="1:5" x14ac:dyDescent="0.2">
      <c r="A547" t="s">
        <v>2661</v>
      </c>
      <c r="B547" t="s">
        <v>1568</v>
      </c>
      <c r="C547" t="s">
        <v>1</v>
      </c>
      <c r="D547" s="1">
        <v>0.34210526943206787</v>
      </c>
      <c r="E547" t="s">
        <v>2989</v>
      </c>
    </row>
    <row r="548" spans="1:5" x14ac:dyDescent="0.2">
      <c r="A548" t="s">
        <v>2662</v>
      </c>
      <c r="B548" t="s">
        <v>1261</v>
      </c>
      <c r="C548" t="s">
        <v>1</v>
      </c>
      <c r="D548" s="1">
        <v>0.72727274894714355</v>
      </c>
      <c r="E548" t="s">
        <v>2987</v>
      </c>
    </row>
    <row r="549" spans="1:5" x14ac:dyDescent="0.2">
      <c r="A549" t="s">
        <v>2663</v>
      </c>
      <c r="B549" t="s">
        <v>1261</v>
      </c>
      <c r="C549" t="s">
        <v>1</v>
      </c>
      <c r="D549" s="1">
        <v>0.39473685622215271</v>
      </c>
      <c r="E549" t="s">
        <v>2989</v>
      </c>
    </row>
    <row r="550" spans="1:5" x14ac:dyDescent="0.2">
      <c r="A550" t="s">
        <v>2664</v>
      </c>
      <c r="B550" t="s">
        <v>1261</v>
      </c>
      <c r="C550" t="s">
        <v>1</v>
      </c>
      <c r="D550" s="1">
        <v>0.37777778506278992</v>
      </c>
      <c r="E550" t="s">
        <v>2989</v>
      </c>
    </row>
    <row r="551" spans="1:5" x14ac:dyDescent="0.2">
      <c r="A551" t="s">
        <v>2665</v>
      </c>
      <c r="B551" t="s">
        <v>1518</v>
      </c>
      <c r="C551" t="s">
        <v>1</v>
      </c>
      <c r="D551" s="1">
        <v>0.2916666567325592</v>
      </c>
      <c r="E551" t="s">
        <v>2989</v>
      </c>
    </row>
    <row r="552" spans="1:5" x14ac:dyDescent="0.2">
      <c r="A552" t="s">
        <v>2666</v>
      </c>
      <c r="B552" t="s">
        <v>1345</v>
      </c>
      <c r="C552" t="s">
        <v>0</v>
      </c>
      <c r="D552" s="1">
        <v>0.47727271914482117</v>
      </c>
      <c r="E552" t="s">
        <v>2987</v>
      </c>
    </row>
    <row r="553" spans="1:5" x14ac:dyDescent="0.2">
      <c r="A553" t="s">
        <v>2667</v>
      </c>
      <c r="B553" t="s">
        <v>1570</v>
      </c>
      <c r="C553" t="s">
        <v>1</v>
      </c>
      <c r="D553" s="1">
        <v>0.35294118523597717</v>
      </c>
      <c r="E553" t="s">
        <v>2989</v>
      </c>
    </row>
    <row r="554" spans="1:5" x14ac:dyDescent="0.2">
      <c r="A554" t="s">
        <v>2668</v>
      </c>
      <c r="B554" t="s">
        <v>1570</v>
      </c>
      <c r="C554" t="s">
        <v>1</v>
      </c>
      <c r="D554" s="1">
        <v>0.58536583185195923</v>
      </c>
      <c r="E554" t="s">
        <v>2987</v>
      </c>
    </row>
    <row r="555" spans="1:5" x14ac:dyDescent="0.2">
      <c r="A555" t="s">
        <v>2669</v>
      </c>
      <c r="B555" t="s">
        <v>2988</v>
      </c>
      <c r="C555" t="s">
        <v>2988</v>
      </c>
      <c r="D555" s="1">
        <v>0</v>
      </c>
      <c r="E555" t="s">
        <v>2987</v>
      </c>
    </row>
    <row r="556" spans="1:5" x14ac:dyDescent="0.2">
      <c r="A556" t="s">
        <v>2670</v>
      </c>
      <c r="B556" t="s">
        <v>900</v>
      </c>
      <c r="C556" t="s">
        <v>0</v>
      </c>
      <c r="D556" s="1">
        <v>0.7450980544090271</v>
      </c>
      <c r="E556" t="s">
        <v>2987</v>
      </c>
    </row>
    <row r="557" spans="1:5" x14ac:dyDescent="0.2">
      <c r="A557" t="s">
        <v>2671</v>
      </c>
      <c r="B557" t="s">
        <v>900</v>
      </c>
      <c r="C557" t="s">
        <v>0</v>
      </c>
      <c r="D557" s="1">
        <v>0.45454546809196472</v>
      </c>
      <c r="E557" t="s">
        <v>2987</v>
      </c>
    </row>
    <row r="558" spans="1:5" x14ac:dyDescent="0.2">
      <c r="A558" t="s">
        <v>2672</v>
      </c>
      <c r="B558" t="s">
        <v>900</v>
      </c>
      <c r="C558" t="s">
        <v>0</v>
      </c>
      <c r="D558" s="1">
        <v>0.41379311680793762</v>
      </c>
      <c r="E558" t="s">
        <v>2987</v>
      </c>
    </row>
    <row r="559" spans="1:5" x14ac:dyDescent="0.2">
      <c r="A559" t="s">
        <v>2673</v>
      </c>
      <c r="B559" t="s">
        <v>900</v>
      </c>
      <c r="C559" t="s">
        <v>0</v>
      </c>
      <c r="D559" s="1">
        <v>0.43859648704528809</v>
      </c>
      <c r="E559" t="s">
        <v>2987</v>
      </c>
    </row>
    <row r="560" spans="1:5" x14ac:dyDescent="0.2">
      <c r="A560" t="s">
        <v>2674</v>
      </c>
      <c r="B560" t="s">
        <v>2988</v>
      </c>
      <c r="C560" t="s">
        <v>2988</v>
      </c>
      <c r="D560" s="1">
        <v>0</v>
      </c>
      <c r="E560" t="s">
        <v>2987</v>
      </c>
    </row>
    <row r="561" spans="1:5" x14ac:dyDescent="0.2">
      <c r="A561" t="s">
        <v>2675</v>
      </c>
      <c r="B561" t="s">
        <v>2988</v>
      </c>
      <c r="C561" t="s">
        <v>2988</v>
      </c>
      <c r="D561" s="1">
        <v>0</v>
      </c>
      <c r="E561" t="s">
        <v>2987</v>
      </c>
    </row>
    <row r="562" spans="1:5" x14ac:dyDescent="0.2">
      <c r="A562" t="s">
        <v>2676</v>
      </c>
      <c r="B562" t="s">
        <v>506</v>
      </c>
      <c r="C562" t="s">
        <v>0</v>
      </c>
      <c r="D562" s="1">
        <v>1</v>
      </c>
      <c r="E562" t="s">
        <v>2987</v>
      </c>
    </row>
    <row r="563" spans="1:5" x14ac:dyDescent="0.2">
      <c r="A563" t="s">
        <v>2677</v>
      </c>
      <c r="B563" t="s">
        <v>508</v>
      </c>
      <c r="C563" t="s">
        <v>0</v>
      </c>
      <c r="D563" s="1">
        <v>1</v>
      </c>
      <c r="E563" t="s">
        <v>2987</v>
      </c>
    </row>
    <row r="564" spans="1:5" x14ac:dyDescent="0.2">
      <c r="A564" t="s">
        <v>2678</v>
      </c>
      <c r="B564" t="s">
        <v>1529</v>
      </c>
      <c r="C564" t="s">
        <v>0</v>
      </c>
      <c r="D564" s="1">
        <v>0.54545456171035767</v>
      </c>
      <c r="E564" t="s">
        <v>2987</v>
      </c>
    </row>
    <row r="565" spans="1:5" x14ac:dyDescent="0.2">
      <c r="A565" t="s">
        <v>2679</v>
      </c>
      <c r="B565" t="s">
        <v>1531</v>
      </c>
      <c r="C565" t="s">
        <v>0</v>
      </c>
      <c r="D565" s="1">
        <v>0.59090906381607056</v>
      </c>
      <c r="E565" t="s">
        <v>2987</v>
      </c>
    </row>
    <row r="566" spans="1:5" x14ac:dyDescent="0.2">
      <c r="A566" t="s">
        <v>2680</v>
      </c>
      <c r="B566" t="s">
        <v>98</v>
      </c>
      <c r="C566" t="s">
        <v>0</v>
      </c>
      <c r="D566" s="1">
        <v>1</v>
      </c>
      <c r="E566" t="s">
        <v>2987</v>
      </c>
    </row>
    <row r="567" spans="1:5" x14ac:dyDescent="0.2">
      <c r="A567" t="s">
        <v>2681</v>
      </c>
      <c r="B567" t="s">
        <v>374</v>
      </c>
      <c r="C567" t="s">
        <v>0</v>
      </c>
      <c r="D567" s="1">
        <v>0.53846156597137451</v>
      </c>
      <c r="E567" t="s">
        <v>2987</v>
      </c>
    </row>
    <row r="568" spans="1:5" x14ac:dyDescent="0.2">
      <c r="A568" t="s">
        <v>2682</v>
      </c>
      <c r="B568" t="s">
        <v>1032</v>
      </c>
      <c r="C568" t="s">
        <v>0</v>
      </c>
      <c r="D568" s="1">
        <v>0.30000001192092896</v>
      </c>
      <c r="E568" t="s">
        <v>2989</v>
      </c>
    </row>
    <row r="569" spans="1:5" x14ac:dyDescent="0.2">
      <c r="A569" t="s">
        <v>2683</v>
      </c>
      <c r="B569" t="s">
        <v>1572</v>
      </c>
      <c r="C569" t="s">
        <v>1</v>
      </c>
      <c r="D569" s="1">
        <v>0.3928571343421936</v>
      </c>
      <c r="E569" t="s">
        <v>2989</v>
      </c>
    </row>
    <row r="570" spans="1:5" x14ac:dyDescent="0.2">
      <c r="A570" t="s">
        <v>2684</v>
      </c>
      <c r="B570" t="s">
        <v>1572</v>
      </c>
      <c r="C570" t="s">
        <v>1</v>
      </c>
      <c r="D570" s="1">
        <v>0.6111111044883728</v>
      </c>
      <c r="E570" t="s">
        <v>2987</v>
      </c>
    </row>
    <row r="571" spans="1:5" x14ac:dyDescent="0.2">
      <c r="A571" t="s">
        <v>2685</v>
      </c>
      <c r="B571" t="s">
        <v>1137</v>
      </c>
      <c r="C571" t="s">
        <v>0</v>
      </c>
      <c r="D571" s="1">
        <v>1</v>
      </c>
      <c r="E571" t="s">
        <v>2987</v>
      </c>
    </row>
    <row r="572" spans="1:5" x14ac:dyDescent="0.2">
      <c r="A572" t="s">
        <v>2686</v>
      </c>
      <c r="B572" t="s">
        <v>100</v>
      </c>
      <c r="C572" t="s">
        <v>0</v>
      </c>
      <c r="D572" s="1">
        <v>1</v>
      </c>
      <c r="E572" t="s">
        <v>2987</v>
      </c>
    </row>
    <row r="573" spans="1:5" x14ac:dyDescent="0.2">
      <c r="A573" t="s">
        <v>2687</v>
      </c>
      <c r="B573" t="s">
        <v>2988</v>
      </c>
      <c r="C573" t="s">
        <v>2988</v>
      </c>
      <c r="D573" s="1">
        <v>0.15384615957736969</v>
      </c>
      <c r="E573" t="s">
        <v>2987</v>
      </c>
    </row>
    <row r="574" spans="1:5" x14ac:dyDescent="0.2">
      <c r="A574" t="s">
        <v>2688</v>
      </c>
      <c r="B574" t="s">
        <v>538</v>
      </c>
      <c r="C574" t="s">
        <v>0</v>
      </c>
      <c r="D574" s="1">
        <v>0.4375</v>
      </c>
      <c r="E574" t="s">
        <v>2987</v>
      </c>
    </row>
    <row r="575" spans="1:5" x14ac:dyDescent="0.2">
      <c r="A575" t="s">
        <v>2689</v>
      </c>
      <c r="B575" t="s">
        <v>1169</v>
      </c>
      <c r="C575" t="s">
        <v>0</v>
      </c>
      <c r="D575" s="1">
        <v>0.56818181276321411</v>
      </c>
      <c r="E575" t="s">
        <v>2987</v>
      </c>
    </row>
    <row r="576" spans="1:5" x14ac:dyDescent="0.2">
      <c r="A576" t="s">
        <v>2690</v>
      </c>
      <c r="B576" t="s">
        <v>1483</v>
      </c>
      <c r="C576" t="s">
        <v>1</v>
      </c>
      <c r="D576" s="1">
        <v>1</v>
      </c>
      <c r="E576" t="s">
        <v>2987</v>
      </c>
    </row>
    <row r="577" spans="1:5" x14ac:dyDescent="0.2">
      <c r="A577" t="s">
        <v>2691</v>
      </c>
      <c r="B577" t="s">
        <v>2988</v>
      </c>
      <c r="C577" t="s">
        <v>2988</v>
      </c>
      <c r="D577" s="1">
        <v>3.0303031206130981E-2</v>
      </c>
      <c r="E577" t="s">
        <v>2987</v>
      </c>
    </row>
    <row r="578" spans="1:5" x14ac:dyDescent="0.2">
      <c r="A578" t="s">
        <v>2692</v>
      </c>
      <c r="B578" t="s">
        <v>1483</v>
      </c>
      <c r="C578" t="s">
        <v>1</v>
      </c>
      <c r="D578" s="1">
        <v>0.57142859697341919</v>
      </c>
      <c r="E578" t="s">
        <v>2987</v>
      </c>
    </row>
    <row r="579" spans="1:5" x14ac:dyDescent="0.2">
      <c r="A579" t="s">
        <v>2693</v>
      </c>
      <c r="B579" t="s">
        <v>2988</v>
      </c>
      <c r="C579" t="s">
        <v>2988</v>
      </c>
      <c r="D579" s="1">
        <v>0</v>
      </c>
      <c r="E579" t="s">
        <v>2987</v>
      </c>
    </row>
    <row r="580" spans="1:5" x14ac:dyDescent="0.2">
      <c r="A580" t="s">
        <v>2694</v>
      </c>
      <c r="B580" t="s">
        <v>2988</v>
      </c>
      <c r="C580" t="s">
        <v>2988</v>
      </c>
      <c r="D580" s="1">
        <v>0.28571429848670959</v>
      </c>
      <c r="E580" t="s">
        <v>2987</v>
      </c>
    </row>
    <row r="581" spans="1:5" x14ac:dyDescent="0.2">
      <c r="A581" t="s">
        <v>2695</v>
      </c>
      <c r="B581" t="s">
        <v>1917</v>
      </c>
      <c r="C581" t="s">
        <v>1</v>
      </c>
      <c r="D581" s="1">
        <v>0.53846156597137451</v>
      </c>
      <c r="E581" t="s">
        <v>2987</v>
      </c>
    </row>
    <row r="582" spans="1:5" x14ac:dyDescent="0.2">
      <c r="A582" t="s">
        <v>2696</v>
      </c>
      <c r="B582" t="s">
        <v>2988</v>
      </c>
      <c r="C582" t="s">
        <v>2988</v>
      </c>
      <c r="D582" s="1">
        <v>0.1428571492433548</v>
      </c>
      <c r="E582" t="s">
        <v>2987</v>
      </c>
    </row>
    <row r="583" spans="1:5" x14ac:dyDescent="0.2">
      <c r="A583" t="s">
        <v>2697</v>
      </c>
      <c r="B583" t="s">
        <v>1865</v>
      </c>
      <c r="C583" t="s">
        <v>1</v>
      </c>
      <c r="D583" s="1">
        <v>0.39024388790130615</v>
      </c>
      <c r="E583" t="s">
        <v>2989</v>
      </c>
    </row>
    <row r="584" spans="1:5" x14ac:dyDescent="0.2">
      <c r="A584" t="s">
        <v>2698</v>
      </c>
      <c r="B584" t="s">
        <v>809</v>
      </c>
      <c r="C584" t="s">
        <v>1</v>
      </c>
      <c r="D584" s="1">
        <v>0.46666666865348816</v>
      </c>
      <c r="E584" t="s">
        <v>2987</v>
      </c>
    </row>
    <row r="585" spans="1:5" x14ac:dyDescent="0.2">
      <c r="A585" t="s">
        <v>2699</v>
      </c>
      <c r="B585" t="s">
        <v>1941</v>
      </c>
      <c r="C585" t="s">
        <v>1</v>
      </c>
      <c r="D585" s="1">
        <v>0.39130434393882751</v>
      </c>
      <c r="E585" t="s">
        <v>2989</v>
      </c>
    </row>
    <row r="586" spans="1:5" x14ac:dyDescent="0.2">
      <c r="A586" t="s">
        <v>2700</v>
      </c>
      <c r="B586" t="s">
        <v>1941</v>
      </c>
      <c r="C586" t="s">
        <v>1</v>
      </c>
      <c r="D586" s="1">
        <v>0.55882352590560913</v>
      </c>
      <c r="E586" t="s">
        <v>2987</v>
      </c>
    </row>
    <row r="587" spans="1:5" x14ac:dyDescent="0.2">
      <c r="A587" t="s">
        <v>2701</v>
      </c>
      <c r="B587" t="s">
        <v>992</v>
      </c>
      <c r="C587" t="s">
        <v>1</v>
      </c>
      <c r="D587" s="1">
        <v>0.46666666865348816</v>
      </c>
      <c r="E587" t="s">
        <v>2987</v>
      </c>
    </row>
    <row r="588" spans="1:5" x14ac:dyDescent="0.2">
      <c r="A588" t="s">
        <v>2702</v>
      </c>
      <c r="B588" t="s">
        <v>686</v>
      </c>
      <c r="C588" t="s">
        <v>1</v>
      </c>
      <c r="D588" s="1">
        <v>0.47999998927116394</v>
      </c>
      <c r="E588" t="s">
        <v>2987</v>
      </c>
    </row>
    <row r="589" spans="1:5" x14ac:dyDescent="0.2">
      <c r="A589" t="s">
        <v>2703</v>
      </c>
      <c r="B589" t="s">
        <v>2988</v>
      </c>
      <c r="C589" t="s">
        <v>2988</v>
      </c>
      <c r="D589" s="1">
        <v>0.1111111119389534</v>
      </c>
      <c r="E589" t="s">
        <v>2987</v>
      </c>
    </row>
    <row r="590" spans="1:5" x14ac:dyDescent="0.2">
      <c r="A590" t="s">
        <v>2704</v>
      </c>
      <c r="B590" t="s">
        <v>1705</v>
      </c>
      <c r="C590" t="s">
        <v>1</v>
      </c>
      <c r="D590" s="1">
        <v>0.53333336114883423</v>
      </c>
      <c r="E590" t="s">
        <v>2987</v>
      </c>
    </row>
    <row r="591" spans="1:5" x14ac:dyDescent="0.2">
      <c r="A591" t="s">
        <v>2705</v>
      </c>
      <c r="B591" t="s">
        <v>2988</v>
      </c>
      <c r="C591" t="s">
        <v>2988</v>
      </c>
      <c r="D591" s="1">
        <v>7.6923079788684845E-2</v>
      </c>
      <c r="E591" t="s">
        <v>2987</v>
      </c>
    </row>
    <row r="592" spans="1:5" x14ac:dyDescent="0.2">
      <c r="A592" t="s">
        <v>2706</v>
      </c>
      <c r="B592" t="s">
        <v>798</v>
      </c>
      <c r="C592" t="s">
        <v>0</v>
      </c>
      <c r="D592" s="1">
        <v>0.4444444477558136</v>
      </c>
      <c r="E592" t="s">
        <v>2987</v>
      </c>
    </row>
    <row r="593" spans="1:5" x14ac:dyDescent="0.2">
      <c r="A593" t="s">
        <v>2707</v>
      </c>
      <c r="B593" t="s">
        <v>994</v>
      </c>
      <c r="C593" t="s">
        <v>1</v>
      </c>
      <c r="D593" s="1">
        <v>0.52173912525177002</v>
      </c>
      <c r="E593" t="s">
        <v>2987</v>
      </c>
    </row>
    <row r="594" spans="1:5" x14ac:dyDescent="0.2">
      <c r="A594" t="s">
        <v>2708</v>
      </c>
      <c r="B594" t="s">
        <v>994</v>
      </c>
      <c r="C594" t="s">
        <v>1</v>
      </c>
      <c r="D594" s="1">
        <v>0.53846156597137451</v>
      </c>
      <c r="E594" t="s">
        <v>2987</v>
      </c>
    </row>
    <row r="595" spans="1:5" x14ac:dyDescent="0.2">
      <c r="A595" t="s">
        <v>2709</v>
      </c>
      <c r="B595" t="s">
        <v>994</v>
      </c>
      <c r="C595" t="s">
        <v>1</v>
      </c>
      <c r="D595" s="1">
        <v>0.56410259008407593</v>
      </c>
      <c r="E595" t="s">
        <v>2987</v>
      </c>
    </row>
    <row r="596" spans="1:5" x14ac:dyDescent="0.2">
      <c r="A596" t="s">
        <v>2710</v>
      </c>
      <c r="B596" t="s">
        <v>944</v>
      </c>
      <c r="C596" t="s">
        <v>1</v>
      </c>
      <c r="D596" s="1">
        <v>0.80000001192092896</v>
      </c>
      <c r="E596" t="s">
        <v>2987</v>
      </c>
    </row>
    <row r="597" spans="1:5" x14ac:dyDescent="0.2">
      <c r="A597" t="s">
        <v>2711</v>
      </c>
      <c r="B597" t="s">
        <v>944</v>
      </c>
      <c r="C597" t="s">
        <v>1</v>
      </c>
      <c r="D597" s="1">
        <v>0.51999998092651367</v>
      </c>
      <c r="E597" t="s">
        <v>2987</v>
      </c>
    </row>
    <row r="598" spans="1:5" x14ac:dyDescent="0.2">
      <c r="A598" t="s">
        <v>2712</v>
      </c>
      <c r="B598" t="s">
        <v>944</v>
      </c>
      <c r="C598" t="s">
        <v>1</v>
      </c>
      <c r="D598" s="1">
        <v>0.66666668653488159</v>
      </c>
      <c r="E598" t="s">
        <v>2987</v>
      </c>
    </row>
    <row r="599" spans="1:5" x14ac:dyDescent="0.2">
      <c r="A599" t="s">
        <v>2713</v>
      </c>
      <c r="B599" t="s">
        <v>2988</v>
      </c>
      <c r="C599" t="s">
        <v>2988</v>
      </c>
      <c r="D599" s="1">
        <v>0</v>
      </c>
      <c r="E599" t="s">
        <v>2987</v>
      </c>
    </row>
    <row r="600" spans="1:5" x14ac:dyDescent="0.2">
      <c r="A600" t="s">
        <v>2714</v>
      </c>
      <c r="B600" t="s">
        <v>2988</v>
      </c>
      <c r="C600" t="s">
        <v>2988</v>
      </c>
      <c r="D600" s="1">
        <v>0</v>
      </c>
      <c r="E600" t="s">
        <v>2987</v>
      </c>
    </row>
    <row r="601" spans="1:5" x14ac:dyDescent="0.2">
      <c r="A601" t="s">
        <v>2715</v>
      </c>
      <c r="B601" t="s">
        <v>40</v>
      </c>
      <c r="C601" t="s">
        <v>0</v>
      </c>
      <c r="D601" s="1">
        <v>0.60000002384185791</v>
      </c>
      <c r="E601" t="s">
        <v>2987</v>
      </c>
    </row>
    <row r="602" spans="1:5" x14ac:dyDescent="0.2">
      <c r="A602" t="s">
        <v>2716</v>
      </c>
      <c r="B602" t="s">
        <v>40</v>
      </c>
      <c r="C602" t="s">
        <v>0</v>
      </c>
      <c r="D602" s="1">
        <v>0.66666668653488159</v>
      </c>
      <c r="E602" t="s">
        <v>2987</v>
      </c>
    </row>
    <row r="603" spans="1:5" x14ac:dyDescent="0.2">
      <c r="A603" t="s">
        <v>2717</v>
      </c>
      <c r="B603" t="s">
        <v>40</v>
      </c>
      <c r="C603" t="s">
        <v>0</v>
      </c>
      <c r="D603" s="1">
        <v>0.46153846383094788</v>
      </c>
      <c r="E603" t="s">
        <v>2987</v>
      </c>
    </row>
    <row r="604" spans="1:5" x14ac:dyDescent="0.2">
      <c r="A604" t="s">
        <v>2718</v>
      </c>
      <c r="B604" t="s">
        <v>2988</v>
      </c>
      <c r="C604" t="s">
        <v>2988</v>
      </c>
      <c r="D604" s="1">
        <v>0</v>
      </c>
      <c r="E604" t="s">
        <v>2987</v>
      </c>
    </row>
    <row r="605" spans="1:5" x14ac:dyDescent="0.2">
      <c r="A605" t="s">
        <v>2719</v>
      </c>
      <c r="B605" t="s">
        <v>1328</v>
      </c>
      <c r="C605" t="s">
        <v>1</v>
      </c>
      <c r="D605" s="1">
        <v>0.43636363744735718</v>
      </c>
      <c r="E605" t="s">
        <v>2987</v>
      </c>
    </row>
    <row r="606" spans="1:5" x14ac:dyDescent="0.2">
      <c r="A606" t="s">
        <v>2720</v>
      </c>
      <c r="B606" t="s">
        <v>402</v>
      </c>
      <c r="C606" t="s">
        <v>0</v>
      </c>
      <c r="D606" s="1">
        <v>0.74193549156188965</v>
      </c>
      <c r="E606" t="s">
        <v>2987</v>
      </c>
    </row>
    <row r="607" spans="1:5" x14ac:dyDescent="0.2">
      <c r="A607" t="s">
        <v>2721</v>
      </c>
      <c r="B607" t="s">
        <v>402</v>
      </c>
      <c r="C607" t="s">
        <v>0</v>
      </c>
      <c r="D607" s="1">
        <v>0.62162160873413086</v>
      </c>
      <c r="E607" t="s">
        <v>2987</v>
      </c>
    </row>
    <row r="608" spans="1:5" x14ac:dyDescent="0.2">
      <c r="A608" t="s">
        <v>2722</v>
      </c>
      <c r="B608" t="s">
        <v>815</v>
      </c>
      <c r="C608" t="s">
        <v>1</v>
      </c>
      <c r="D608" s="1">
        <v>0.53846156597137451</v>
      </c>
      <c r="E608" t="s">
        <v>2987</v>
      </c>
    </row>
    <row r="609" spans="1:5" x14ac:dyDescent="0.2">
      <c r="A609" t="s">
        <v>2723</v>
      </c>
      <c r="B609" t="s">
        <v>1617</v>
      </c>
      <c r="C609" t="s">
        <v>1</v>
      </c>
      <c r="D609" s="1">
        <v>0.40000000596046448</v>
      </c>
      <c r="E609" t="s">
        <v>2987</v>
      </c>
    </row>
    <row r="610" spans="1:5" x14ac:dyDescent="0.2">
      <c r="A610" t="s">
        <v>2724</v>
      </c>
      <c r="B610" t="s">
        <v>2988</v>
      </c>
      <c r="C610" t="s">
        <v>2988</v>
      </c>
      <c r="D610" s="1">
        <v>0</v>
      </c>
      <c r="E610" t="s">
        <v>2987</v>
      </c>
    </row>
    <row r="611" spans="1:5" x14ac:dyDescent="0.2">
      <c r="A611" t="s">
        <v>2725</v>
      </c>
      <c r="B611" t="s">
        <v>1651</v>
      </c>
      <c r="C611" t="s">
        <v>1</v>
      </c>
      <c r="D611" s="1">
        <v>0.53333336114883423</v>
      </c>
      <c r="E611" t="s">
        <v>2987</v>
      </c>
    </row>
    <row r="612" spans="1:5" x14ac:dyDescent="0.2">
      <c r="A612" t="s">
        <v>2726</v>
      </c>
      <c r="B612" t="s">
        <v>817</v>
      </c>
      <c r="C612" t="s">
        <v>1</v>
      </c>
      <c r="D612" s="1">
        <v>0.46153846383094788</v>
      </c>
      <c r="E612" t="s">
        <v>2987</v>
      </c>
    </row>
    <row r="613" spans="1:5" x14ac:dyDescent="0.2">
      <c r="A613" t="s">
        <v>2727</v>
      </c>
      <c r="B613" t="s">
        <v>946</v>
      </c>
      <c r="C613" t="s">
        <v>1</v>
      </c>
      <c r="D613" s="1">
        <v>0.5</v>
      </c>
      <c r="E613" t="s">
        <v>2987</v>
      </c>
    </row>
    <row r="614" spans="1:5" x14ac:dyDescent="0.2">
      <c r="A614" t="s">
        <v>2728</v>
      </c>
      <c r="B614" t="s">
        <v>2988</v>
      </c>
      <c r="C614" t="s">
        <v>2988</v>
      </c>
      <c r="D614" s="1">
        <v>0</v>
      </c>
      <c r="E614" t="s">
        <v>2987</v>
      </c>
    </row>
    <row r="615" spans="1:5" x14ac:dyDescent="0.2">
      <c r="A615" t="s">
        <v>2729</v>
      </c>
      <c r="B615" t="s">
        <v>2988</v>
      </c>
      <c r="C615" t="s">
        <v>2988</v>
      </c>
      <c r="D615" s="1">
        <v>0</v>
      </c>
      <c r="E615" t="s">
        <v>2987</v>
      </c>
    </row>
    <row r="616" spans="1:5" x14ac:dyDescent="0.2">
      <c r="A616" t="s">
        <v>2730</v>
      </c>
      <c r="B616" t="s">
        <v>2988</v>
      </c>
      <c r="C616" t="s">
        <v>2988</v>
      </c>
      <c r="D616" s="1">
        <v>0</v>
      </c>
      <c r="E616" t="s">
        <v>2987</v>
      </c>
    </row>
    <row r="617" spans="1:5" x14ac:dyDescent="0.2">
      <c r="A617" t="s">
        <v>2731</v>
      </c>
      <c r="B617" t="s">
        <v>156</v>
      </c>
      <c r="C617" t="s">
        <v>0</v>
      </c>
      <c r="D617" s="1">
        <v>0.12903225421905518</v>
      </c>
      <c r="E617" t="s">
        <v>2989</v>
      </c>
    </row>
    <row r="618" spans="1:5" x14ac:dyDescent="0.2">
      <c r="A618" t="s">
        <v>2732</v>
      </c>
      <c r="B618" t="s">
        <v>449</v>
      </c>
      <c r="C618" t="s">
        <v>1</v>
      </c>
      <c r="D618" s="1">
        <v>0.5</v>
      </c>
      <c r="E618" t="s">
        <v>2987</v>
      </c>
    </row>
    <row r="619" spans="1:5" x14ac:dyDescent="0.2">
      <c r="A619" t="s">
        <v>2733</v>
      </c>
      <c r="B619" t="s">
        <v>2988</v>
      </c>
      <c r="C619" t="s">
        <v>2988</v>
      </c>
      <c r="D619" s="1">
        <v>7.6923079788684845E-2</v>
      </c>
      <c r="E619" t="s">
        <v>2987</v>
      </c>
    </row>
    <row r="620" spans="1:5" x14ac:dyDescent="0.2">
      <c r="A620" t="s">
        <v>2734</v>
      </c>
      <c r="B620" t="s">
        <v>2988</v>
      </c>
      <c r="C620" t="s">
        <v>2988</v>
      </c>
      <c r="D620" s="1">
        <v>0.125</v>
      </c>
      <c r="E620" t="s">
        <v>2987</v>
      </c>
    </row>
    <row r="621" spans="1:5" x14ac:dyDescent="0.2">
      <c r="A621" t="s">
        <v>2735</v>
      </c>
      <c r="B621" t="s">
        <v>996</v>
      </c>
      <c r="C621" t="s">
        <v>1</v>
      </c>
      <c r="D621" s="1">
        <v>0.53846156597137451</v>
      </c>
      <c r="E621" t="s">
        <v>2987</v>
      </c>
    </row>
    <row r="622" spans="1:5" x14ac:dyDescent="0.2">
      <c r="A622" t="s">
        <v>2736</v>
      </c>
      <c r="B622" t="s">
        <v>2988</v>
      </c>
      <c r="C622" t="s">
        <v>2988</v>
      </c>
      <c r="D622" s="1">
        <v>0.125</v>
      </c>
      <c r="E622" t="s">
        <v>2987</v>
      </c>
    </row>
    <row r="623" spans="1:5" x14ac:dyDescent="0.2">
      <c r="A623" t="s">
        <v>2737</v>
      </c>
      <c r="B623" t="s">
        <v>2988</v>
      </c>
      <c r="C623" t="s">
        <v>2988</v>
      </c>
      <c r="D623" s="1">
        <v>0.1428571492433548</v>
      </c>
      <c r="E623" t="s">
        <v>2987</v>
      </c>
    </row>
    <row r="624" spans="1:5" x14ac:dyDescent="0.2">
      <c r="A624" t="s">
        <v>2738</v>
      </c>
      <c r="B624" t="s">
        <v>1009</v>
      </c>
      <c r="C624" t="s">
        <v>1</v>
      </c>
      <c r="D624" s="1">
        <v>0.53846156597137451</v>
      </c>
      <c r="E624" t="s">
        <v>2987</v>
      </c>
    </row>
    <row r="625" spans="1:5" x14ac:dyDescent="0.2">
      <c r="A625" t="s">
        <v>2739</v>
      </c>
      <c r="B625" t="s">
        <v>1684</v>
      </c>
      <c r="C625" t="s">
        <v>1</v>
      </c>
      <c r="D625" s="1">
        <v>0.43478259444236755</v>
      </c>
      <c r="E625" t="s">
        <v>2987</v>
      </c>
    </row>
    <row r="626" spans="1:5" x14ac:dyDescent="0.2">
      <c r="A626" t="s">
        <v>2740</v>
      </c>
      <c r="B626" t="s">
        <v>2988</v>
      </c>
      <c r="C626" t="s">
        <v>2988</v>
      </c>
      <c r="D626" s="1">
        <v>0</v>
      </c>
      <c r="E626" t="s">
        <v>2987</v>
      </c>
    </row>
    <row r="627" spans="1:5" x14ac:dyDescent="0.2">
      <c r="A627" t="s">
        <v>2741</v>
      </c>
      <c r="B627" t="s">
        <v>2988</v>
      </c>
      <c r="C627" t="s">
        <v>2988</v>
      </c>
      <c r="D627" s="1">
        <v>0</v>
      </c>
      <c r="E627" t="s">
        <v>2987</v>
      </c>
    </row>
    <row r="628" spans="1:5" x14ac:dyDescent="0.2">
      <c r="A628" t="s">
        <v>2742</v>
      </c>
      <c r="B628" t="s">
        <v>1674</v>
      </c>
      <c r="C628" t="s">
        <v>1</v>
      </c>
      <c r="D628" s="1">
        <v>0.31111112236976624</v>
      </c>
      <c r="E628" t="s">
        <v>2989</v>
      </c>
    </row>
    <row r="629" spans="1:5" x14ac:dyDescent="0.2">
      <c r="A629" t="s">
        <v>2743</v>
      </c>
      <c r="B629" t="s">
        <v>998</v>
      </c>
      <c r="C629" t="s">
        <v>1</v>
      </c>
      <c r="D629" s="1">
        <v>0.5517241358757019</v>
      </c>
      <c r="E629" t="s">
        <v>2987</v>
      </c>
    </row>
    <row r="630" spans="1:5" x14ac:dyDescent="0.2">
      <c r="A630" t="s">
        <v>2744</v>
      </c>
      <c r="B630" t="s">
        <v>1000</v>
      </c>
      <c r="C630" t="s">
        <v>1</v>
      </c>
      <c r="D630" s="1">
        <v>0.62857145071029663</v>
      </c>
      <c r="E630" t="s">
        <v>2987</v>
      </c>
    </row>
    <row r="631" spans="1:5" x14ac:dyDescent="0.2">
      <c r="A631" t="s">
        <v>2745</v>
      </c>
      <c r="B631" t="s">
        <v>1333</v>
      </c>
      <c r="C631" t="s">
        <v>0</v>
      </c>
      <c r="D631" s="1">
        <v>0.96296298503875732</v>
      </c>
      <c r="E631" t="s">
        <v>2987</v>
      </c>
    </row>
    <row r="632" spans="1:5" x14ac:dyDescent="0.2">
      <c r="A632" t="s">
        <v>2746</v>
      </c>
      <c r="B632" t="s">
        <v>1333</v>
      </c>
      <c r="C632" t="s">
        <v>0</v>
      </c>
      <c r="D632" s="1">
        <v>0.38709676265716553</v>
      </c>
      <c r="E632" t="s">
        <v>2989</v>
      </c>
    </row>
    <row r="633" spans="1:5" x14ac:dyDescent="0.2">
      <c r="A633" t="s">
        <v>2747</v>
      </c>
      <c r="B633" t="s">
        <v>1492</v>
      </c>
      <c r="C633" t="s">
        <v>1</v>
      </c>
      <c r="D633" s="1">
        <v>0.58064514398574829</v>
      </c>
      <c r="E633" t="s">
        <v>2987</v>
      </c>
    </row>
    <row r="634" spans="1:5" x14ac:dyDescent="0.2">
      <c r="A634" t="s">
        <v>2748</v>
      </c>
      <c r="B634" t="s">
        <v>1940</v>
      </c>
      <c r="C634" t="s">
        <v>1</v>
      </c>
      <c r="D634" s="1">
        <v>0.17142857611179352</v>
      </c>
      <c r="E634" t="s">
        <v>2989</v>
      </c>
    </row>
    <row r="635" spans="1:5" x14ac:dyDescent="0.2">
      <c r="A635" t="s">
        <v>2749</v>
      </c>
      <c r="B635" t="s">
        <v>33</v>
      </c>
      <c r="C635" t="s">
        <v>1</v>
      </c>
      <c r="D635" s="1">
        <v>0.43859648704528809</v>
      </c>
      <c r="E635" t="s">
        <v>2987</v>
      </c>
    </row>
    <row r="636" spans="1:5" x14ac:dyDescent="0.2">
      <c r="A636" t="s">
        <v>2750</v>
      </c>
      <c r="B636" t="s">
        <v>1425</v>
      </c>
      <c r="C636" t="s">
        <v>1</v>
      </c>
      <c r="D636" s="1">
        <v>0.4375</v>
      </c>
      <c r="E636" t="s">
        <v>2987</v>
      </c>
    </row>
    <row r="637" spans="1:5" x14ac:dyDescent="0.2">
      <c r="A637" t="s">
        <v>2751</v>
      </c>
      <c r="B637" t="s">
        <v>802</v>
      </c>
      <c r="C637" t="s">
        <v>0</v>
      </c>
      <c r="D637" s="1">
        <v>0.53846156597137451</v>
      </c>
      <c r="E637" t="s">
        <v>2987</v>
      </c>
    </row>
    <row r="638" spans="1:5" x14ac:dyDescent="0.2">
      <c r="A638" t="s">
        <v>2752</v>
      </c>
      <c r="B638" t="s">
        <v>2988</v>
      </c>
      <c r="C638" t="s">
        <v>2988</v>
      </c>
      <c r="D638" s="1">
        <v>0.125</v>
      </c>
      <c r="E638" t="s">
        <v>2987</v>
      </c>
    </row>
    <row r="639" spans="1:5" x14ac:dyDescent="0.2">
      <c r="A639" t="s">
        <v>2753</v>
      </c>
      <c r="B639" t="s">
        <v>2988</v>
      </c>
      <c r="C639" t="s">
        <v>2988</v>
      </c>
      <c r="D639" s="1">
        <v>0.1111111119389534</v>
      </c>
      <c r="E639" t="s">
        <v>2987</v>
      </c>
    </row>
    <row r="640" spans="1:5" x14ac:dyDescent="0.2">
      <c r="A640" t="s">
        <v>2754</v>
      </c>
      <c r="B640" t="s">
        <v>2988</v>
      </c>
      <c r="C640" t="s">
        <v>2988</v>
      </c>
      <c r="D640" s="1">
        <v>8.3333335816860199E-2</v>
      </c>
      <c r="E640" t="s">
        <v>2987</v>
      </c>
    </row>
    <row r="641" spans="1:5" x14ac:dyDescent="0.2">
      <c r="A641" t="s">
        <v>2755</v>
      </c>
      <c r="B641" t="s">
        <v>1429</v>
      </c>
      <c r="C641" t="s">
        <v>1</v>
      </c>
      <c r="D641" s="1">
        <v>0.4117647111415863</v>
      </c>
      <c r="E641" t="s">
        <v>2987</v>
      </c>
    </row>
    <row r="642" spans="1:5" x14ac:dyDescent="0.2">
      <c r="A642" t="s">
        <v>2756</v>
      </c>
      <c r="B642" t="s">
        <v>916</v>
      </c>
      <c r="C642" t="s">
        <v>0</v>
      </c>
      <c r="D642" s="1">
        <v>0.39024388790130615</v>
      </c>
      <c r="E642" t="s">
        <v>2989</v>
      </c>
    </row>
    <row r="643" spans="1:5" x14ac:dyDescent="0.2">
      <c r="A643" t="s">
        <v>2757</v>
      </c>
      <c r="B643" t="s">
        <v>2988</v>
      </c>
      <c r="C643" t="s">
        <v>2988</v>
      </c>
      <c r="D643" s="1">
        <v>0.1666666716337204</v>
      </c>
      <c r="E643" t="s">
        <v>2987</v>
      </c>
    </row>
    <row r="644" spans="1:5" x14ac:dyDescent="0.2">
      <c r="A644" t="s">
        <v>2758</v>
      </c>
      <c r="B644" t="s">
        <v>2113</v>
      </c>
      <c r="C644" t="s">
        <v>1</v>
      </c>
      <c r="D644" s="1">
        <v>0.21666666865348816</v>
      </c>
      <c r="E644" t="s">
        <v>2989</v>
      </c>
    </row>
    <row r="645" spans="1:5" x14ac:dyDescent="0.2">
      <c r="A645" t="s">
        <v>2759</v>
      </c>
      <c r="B645" t="s">
        <v>2114</v>
      </c>
      <c r="C645" t="s">
        <v>1</v>
      </c>
      <c r="D645" s="1">
        <v>0.1525423675775528</v>
      </c>
      <c r="E645" t="s">
        <v>2989</v>
      </c>
    </row>
    <row r="646" spans="1:5" x14ac:dyDescent="0.2">
      <c r="A646" t="s">
        <v>2760</v>
      </c>
      <c r="B646" t="s">
        <v>1929</v>
      </c>
      <c r="C646" t="s">
        <v>1</v>
      </c>
      <c r="D646" s="1">
        <v>1</v>
      </c>
      <c r="E646" t="s">
        <v>2987</v>
      </c>
    </row>
    <row r="647" spans="1:5" x14ac:dyDescent="0.2">
      <c r="A647" t="s">
        <v>2761</v>
      </c>
      <c r="B647" t="s">
        <v>926</v>
      </c>
      <c r="C647" t="s">
        <v>0</v>
      </c>
      <c r="D647" s="1">
        <v>0.4583333432674408</v>
      </c>
      <c r="E647" t="s">
        <v>2987</v>
      </c>
    </row>
    <row r="648" spans="1:5" x14ac:dyDescent="0.2">
      <c r="A648" t="s">
        <v>2762</v>
      </c>
      <c r="B648" t="s">
        <v>1594</v>
      </c>
      <c r="C648" t="s">
        <v>1</v>
      </c>
      <c r="D648" s="1">
        <v>0.42424243688583374</v>
      </c>
      <c r="E648" t="s">
        <v>2987</v>
      </c>
    </row>
    <row r="649" spans="1:5" x14ac:dyDescent="0.2">
      <c r="A649" t="s">
        <v>2763</v>
      </c>
      <c r="B649" t="s">
        <v>2988</v>
      </c>
      <c r="C649" t="s">
        <v>2988</v>
      </c>
      <c r="D649" s="1">
        <v>0.1428571492433548</v>
      </c>
      <c r="E649" t="s">
        <v>2987</v>
      </c>
    </row>
    <row r="650" spans="1:5" x14ac:dyDescent="0.2">
      <c r="A650" t="s">
        <v>2764</v>
      </c>
      <c r="B650" t="s">
        <v>665</v>
      </c>
      <c r="C650" t="s">
        <v>0</v>
      </c>
      <c r="D650" s="1">
        <v>0.5</v>
      </c>
      <c r="E650" t="s">
        <v>2987</v>
      </c>
    </row>
    <row r="651" spans="1:5" x14ac:dyDescent="0.2">
      <c r="A651" t="s">
        <v>2765</v>
      </c>
      <c r="B651" t="s">
        <v>2988</v>
      </c>
      <c r="C651" t="s">
        <v>2988</v>
      </c>
      <c r="D651" s="1">
        <v>0.1428571492433548</v>
      </c>
      <c r="E651" t="s">
        <v>2987</v>
      </c>
    </row>
    <row r="652" spans="1:5" x14ac:dyDescent="0.2">
      <c r="A652" t="s">
        <v>2766</v>
      </c>
      <c r="B652" t="s">
        <v>650</v>
      </c>
      <c r="C652" t="s">
        <v>0</v>
      </c>
      <c r="D652" s="1">
        <v>0.57142859697341919</v>
      </c>
      <c r="E652" t="s">
        <v>2987</v>
      </c>
    </row>
    <row r="653" spans="1:5" x14ac:dyDescent="0.2">
      <c r="A653" t="s">
        <v>2767</v>
      </c>
      <c r="B653" t="s">
        <v>650</v>
      </c>
      <c r="C653" t="s">
        <v>0</v>
      </c>
      <c r="D653" s="1">
        <v>0.54545456171035767</v>
      </c>
      <c r="E653" t="s">
        <v>2987</v>
      </c>
    </row>
    <row r="654" spans="1:5" x14ac:dyDescent="0.2">
      <c r="A654" t="s">
        <v>2768</v>
      </c>
      <c r="B654" t="s">
        <v>821</v>
      </c>
      <c r="C654" t="s">
        <v>1</v>
      </c>
      <c r="D654" s="1">
        <v>1</v>
      </c>
      <c r="E654" t="s">
        <v>2987</v>
      </c>
    </row>
    <row r="655" spans="1:5" x14ac:dyDescent="0.2">
      <c r="A655" t="s">
        <v>2769</v>
      </c>
      <c r="B655" t="s">
        <v>648</v>
      </c>
      <c r="C655" t="s">
        <v>0</v>
      </c>
      <c r="D655" s="1">
        <v>0.54545456171035767</v>
      </c>
      <c r="E655" t="s">
        <v>2987</v>
      </c>
    </row>
    <row r="656" spans="1:5" x14ac:dyDescent="0.2">
      <c r="A656" t="s">
        <v>2770</v>
      </c>
      <c r="B656" t="s">
        <v>1431</v>
      </c>
      <c r="C656" t="s">
        <v>1</v>
      </c>
      <c r="D656" s="1">
        <v>0.43589743971824646</v>
      </c>
      <c r="E656" t="s">
        <v>2987</v>
      </c>
    </row>
    <row r="657" spans="1:5" x14ac:dyDescent="0.2">
      <c r="A657" t="s">
        <v>2771</v>
      </c>
      <c r="B657" t="s">
        <v>1610</v>
      </c>
      <c r="C657" t="s">
        <v>1</v>
      </c>
      <c r="D657" s="1">
        <v>0.45161288976669312</v>
      </c>
      <c r="E657" t="s">
        <v>2987</v>
      </c>
    </row>
    <row r="658" spans="1:5" x14ac:dyDescent="0.2">
      <c r="A658" t="s">
        <v>2772</v>
      </c>
      <c r="B658" t="s">
        <v>2988</v>
      </c>
      <c r="C658" t="s">
        <v>2988</v>
      </c>
      <c r="D658" s="1">
        <v>0.125</v>
      </c>
      <c r="E658" t="s">
        <v>2987</v>
      </c>
    </row>
    <row r="659" spans="1:5" x14ac:dyDescent="0.2">
      <c r="A659" t="s">
        <v>2773</v>
      </c>
      <c r="B659" t="s">
        <v>706</v>
      </c>
      <c r="C659" t="s">
        <v>0</v>
      </c>
      <c r="D659" s="1">
        <v>0.51724135875701904</v>
      </c>
      <c r="E659" t="s">
        <v>2987</v>
      </c>
    </row>
    <row r="660" spans="1:5" x14ac:dyDescent="0.2">
      <c r="A660" t="s">
        <v>2774</v>
      </c>
      <c r="B660" t="s">
        <v>1241</v>
      </c>
      <c r="C660" t="s">
        <v>1</v>
      </c>
      <c r="D660" s="1">
        <v>0.46153846383094788</v>
      </c>
      <c r="E660" t="s">
        <v>2987</v>
      </c>
    </row>
    <row r="661" spans="1:5" x14ac:dyDescent="0.2">
      <c r="A661" t="s">
        <v>2775</v>
      </c>
      <c r="B661" t="s">
        <v>2988</v>
      </c>
      <c r="C661" t="s">
        <v>2988</v>
      </c>
      <c r="D661" s="1">
        <v>0.125</v>
      </c>
      <c r="E661" t="s">
        <v>2987</v>
      </c>
    </row>
    <row r="662" spans="1:5" x14ac:dyDescent="0.2">
      <c r="A662" t="s">
        <v>2776</v>
      </c>
      <c r="B662" t="s">
        <v>2002</v>
      </c>
      <c r="C662" t="s">
        <v>1</v>
      </c>
      <c r="D662" s="1">
        <v>0.63157892227172852</v>
      </c>
      <c r="E662" t="s">
        <v>2987</v>
      </c>
    </row>
    <row r="663" spans="1:5" x14ac:dyDescent="0.2">
      <c r="A663" t="s">
        <v>2777</v>
      </c>
      <c r="B663" t="s">
        <v>2110</v>
      </c>
      <c r="C663" t="s">
        <v>1</v>
      </c>
      <c r="D663" s="1">
        <v>0.31999999284744263</v>
      </c>
      <c r="E663" t="s">
        <v>2989</v>
      </c>
    </row>
    <row r="664" spans="1:5" x14ac:dyDescent="0.2">
      <c r="A664" t="s">
        <v>2778</v>
      </c>
      <c r="B664" t="s">
        <v>1679</v>
      </c>
      <c r="C664" t="s">
        <v>1</v>
      </c>
      <c r="D664" s="1">
        <v>0.52941179275512695</v>
      </c>
      <c r="E664" t="s">
        <v>2987</v>
      </c>
    </row>
    <row r="665" spans="1:5" x14ac:dyDescent="0.2">
      <c r="A665" t="s">
        <v>2779</v>
      </c>
      <c r="B665" t="s">
        <v>1685</v>
      </c>
      <c r="C665" t="s">
        <v>1</v>
      </c>
      <c r="D665" s="1">
        <v>0.39130434393882751</v>
      </c>
      <c r="E665" t="s">
        <v>2989</v>
      </c>
    </row>
    <row r="666" spans="1:5" x14ac:dyDescent="0.2">
      <c r="A666" t="s">
        <v>2780</v>
      </c>
      <c r="B666" t="s">
        <v>1435</v>
      </c>
      <c r="C666" t="s">
        <v>1</v>
      </c>
      <c r="D666" s="1">
        <v>0.5</v>
      </c>
      <c r="E666" t="s">
        <v>2987</v>
      </c>
    </row>
    <row r="667" spans="1:5" x14ac:dyDescent="0.2">
      <c r="A667" t="s">
        <v>2781</v>
      </c>
      <c r="B667" t="s">
        <v>1330</v>
      </c>
      <c r="C667" t="s">
        <v>1</v>
      </c>
      <c r="D667" s="1">
        <v>0.50877195596694946</v>
      </c>
      <c r="E667" t="s">
        <v>2987</v>
      </c>
    </row>
    <row r="668" spans="1:5" x14ac:dyDescent="0.2">
      <c r="A668" t="s">
        <v>2782</v>
      </c>
      <c r="B668" t="s">
        <v>694</v>
      </c>
      <c r="C668" t="s">
        <v>0</v>
      </c>
      <c r="D668" s="1">
        <v>0.57142859697341919</v>
      </c>
      <c r="E668" t="s">
        <v>2987</v>
      </c>
    </row>
    <row r="669" spans="1:5" x14ac:dyDescent="0.2">
      <c r="A669" t="s">
        <v>2783</v>
      </c>
      <c r="B669" t="s">
        <v>406</v>
      </c>
      <c r="C669" t="s">
        <v>0</v>
      </c>
      <c r="D669" s="1">
        <v>0.53333336114883423</v>
      </c>
      <c r="E669" t="s">
        <v>2987</v>
      </c>
    </row>
    <row r="670" spans="1:5" x14ac:dyDescent="0.2">
      <c r="A670" t="s">
        <v>2784</v>
      </c>
      <c r="B670" t="s">
        <v>306</v>
      </c>
      <c r="C670" t="s">
        <v>0</v>
      </c>
      <c r="D670" s="1">
        <v>0.375</v>
      </c>
      <c r="E670" t="s">
        <v>2989</v>
      </c>
    </row>
    <row r="671" spans="1:5" x14ac:dyDescent="0.2">
      <c r="A671" t="s">
        <v>2785</v>
      </c>
      <c r="B671" t="s">
        <v>1367</v>
      </c>
      <c r="C671" t="s">
        <v>0</v>
      </c>
      <c r="D671" s="1">
        <v>0.71428573131561279</v>
      </c>
      <c r="E671" t="s">
        <v>2987</v>
      </c>
    </row>
    <row r="672" spans="1:5" x14ac:dyDescent="0.2">
      <c r="A672" t="s">
        <v>2786</v>
      </c>
      <c r="B672" t="s">
        <v>1898</v>
      </c>
      <c r="C672" t="s">
        <v>1</v>
      </c>
      <c r="D672" s="1">
        <v>0.52941179275512695</v>
      </c>
      <c r="E672" t="s">
        <v>2987</v>
      </c>
    </row>
    <row r="673" spans="1:5" x14ac:dyDescent="0.2">
      <c r="A673" t="s">
        <v>2787</v>
      </c>
      <c r="B673" t="s">
        <v>1301</v>
      </c>
      <c r="C673" t="s">
        <v>0</v>
      </c>
      <c r="D673" s="1">
        <v>0.625</v>
      </c>
      <c r="E673" t="s">
        <v>2987</v>
      </c>
    </row>
    <row r="674" spans="1:5" x14ac:dyDescent="0.2">
      <c r="A674" t="s">
        <v>2788</v>
      </c>
      <c r="B674" t="s">
        <v>1539</v>
      </c>
      <c r="C674" t="s">
        <v>0</v>
      </c>
      <c r="D674" s="1">
        <v>0.4444444477558136</v>
      </c>
      <c r="E674" t="s">
        <v>2987</v>
      </c>
    </row>
    <row r="675" spans="1:5" x14ac:dyDescent="0.2">
      <c r="A675" t="s">
        <v>2789</v>
      </c>
      <c r="B675" t="s">
        <v>2988</v>
      </c>
      <c r="C675" t="s">
        <v>2988</v>
      </c>
      <c r="D675" s="1">
        <v>8.3333335816860199E-2</v>
      </c>
      <c r="E675" t="s">
        <v>2987</v>
      </c>
    </row>
    <row r="676" spans="1:5" x14ac:dyDescent="0.2">
      <c r="A676" t="s">
        <v>2790</v>
      </c>
      <c r="B676" t="s">
        <v>2988</v>
      </c>
      <c r="C676" t="s">
        <v>2988</v>
      </c>
      <c r="D676" s="1">
        <v>0</v>
      </c>
      <c r="E676" t="s">
        <v>2987</v>
      </c>
    </row>
    <row r="677" spans="1:5" x14ac:dyDescent="0.2">
      <c r="A677" t="s">
        <v>2791</v>
      </c>
      <c r="B677" t="s">
        <v>2988</v>
      </c>
      <c r="C677" t="s">
        <v>2988</v>
      </c>
      <c r="D677" s="1">
        <v>0</v>
      </c>
      <c r="E677" t="s">
        <v>2987</v>
      </c>
    </row>
    <row r="678" spans="1:5" x14ac:dyDescent="0.2">
      <c r="A678" t="s">
        <v>2792</v>
      </c>
      <c r="B678" t="s">
        <v>2988</v>
      </c>
      <c r="C678" t="s">
        <v>2988</v>
      </c>
      <c r="D678" s="1">
        <v>0</v>
      </c>
      <c r="E678" t="s">
        <v>2987</v>
      </c>
    </row>
    <row r="679" spans="1:5" x14ac:dyDescent="0.2">
      <c r="A679" t="s">
        <v>2793</v>
      </c>
      <c r="B679" t="s">
        <v>1038</v>
      </c>
      <c r="C679" t="s">
        <v>0</v>
      </c>
      <c r="D679" s="1">
        <v>0.4285714328289032</v>
      </c>
      <c r="E679" t="s">
        <v>2987</v>
      </c>
    </row>
    <row r="680" spans="1:5" x14ac:dyDescent="0.2">
      <c r="A680" t="s">
        <v>2794</v>
      </c>
      <c r="B680" t="s">
        <v>2988</v>
      </c>
      <c r="C680" t="s">
        <v>2988</v>
      </c>
      <c r="D680" s="1">
        <v>0</v>
      </c>
      <c r="E680" t="s">
        <v>2987</v>
      </c>
    </row>
    <row r="681" spans="1:5" x14ac:dyDescent="0.2">
      <c r="A681" t="s">
        <v>2795</v>
      </c>
      <c r="B681" t="s">
        <v>2988</v>
      </c>
      <c r="C681" t="s">
        <v>2988</v>
      </c>
      <c r="D681" s="1">
        <v>0</v>
      </c>
      <c r="E681" t="s">
        <v>2987</v>
      </c>
    </row>
    <row r="682" spans="1:5" x14ac:dyDescent="0.2">
      <c r="A682" t="s">
        <v>2796</v>
      </c>
      <c r="B682" t="s">
        <v>256</v>
      </c>
      <c r="C682" t="s">
        <v>0</v>
      </c>
      <c r="D682" s="1">
        <v>0.56756758689880371</v>
      </c>
      <c r="E682" t="s">
        <v>2987</v>
      </c>
    </row>
    <row r="683" spans="1:5" x14ac:dyDescent="0.2">
      <c r="A683" t="s">
        <v>2797</v>
      </c>
      <c r="B683" t="s">
        <v>2988</v>
      </c>
      <c r="C683" t="s">
        <v>2988</v>
      </c>
      <c r="D683" s="1">
        <v>0.1428571492433548</v>
      </c>
      <c r="E683" t="s">
        <v>2987</v>
      </c>
    </row>
    <row r="684" spans="1:5" x14ac:dyDescent="0.2">
      <c r="A684" t="s">
        <v>2798</v>
      </c>
      <c r="B684" t="s">
        <v>2988</v>
      </c>
      <c r="C684" t="s">
        <v>2988</v>
      </c>
      <c r="D684" s="1">
        <v>0.28571429848670959</v>
      </c>
      <c r="E684" t="s">
        <v>2987</v>
      </c>
    </row>
    <row r="685" spans="1:5" x14ac:dyDescent="0.2">
      <c r="A685" t="s">
        <v>2799</v>
      </c>
      <c r="B685" t="s">
        <v>2988</v>
      </c>
      <c r="C685" t="s">
        <v>2988</v>
      </c>
      <c r="D685" s="1">
        <v>0.1111111119389534</v>
      </c>
      <c r="E685" t="s">
        <v>2987</v>
      </c>
    </row>
    <row r="686" spans="1:5" x14ac:dyDescent="0.2">
      <c r="A686" t="s">
        <v>2800</v>
      </c>
      <c r="B686" t="s">
        <v>825</v>
      </c>
      <c r="C686" t="s">
        <v>1</v>
      </c>
      <c r="D686" s="1">
        <v>0.5517241358757019</v>
      </c>
      <c r="E686" t="s">
        <v>2987</v>
      </c>
    </row>
    <row r="687" spans="1:5" x14ac:dyDescent="0.2">
      <c r="A687" t="s">
        <v>2801</v>
      </c>
      <c r="B687" t="s">
        <v>687</v>
      </c>
      <c r="C687" t="s">
        <v>0</v>
      </c>
      <c r="D687" s="1">
        <v>1</v>
      </c>
      <c r="E687" t="s">
        <v>2987</v>
      </c>
    </row>
    <row r="688" spans="1:5" x14ac:dyDescent="0.2">
      <c r="A688" t="s">
        <v>2802</v>
      </c>
      <c r="B688" t="s">
        <v>1384</v>
      </c>
      <c r="C688" t="s">
        <v>0</v>
      </c>
      <c r="D688" s="1">
        <v>0.5</v>
      </c>
      <c r="E688" t="s">
        <v>2987</v>
      </c>
    </row>
    <row r="689" spans="1:5" x14ac:dyDescent="0.2">
      <c r="A689" t="s">
        <v>2803</v>
      </c>
      <c r="B689" t="s">
        <v>827</v>
      </c>
      <c r="C689" t="s">
        <v>1</v>
      </c>
      <c r="D689" s="1">
        <v>0.53333336114883423</v>
      </c>
      <c r="E689" t="s">
        <v>2987</v>
      </c>
    </row>
    <row r="690" spans="1:5" x14ac:dyDescent="0.2">
      <c r="A690" t="s">
        <v>2804</v>
      </c>
      <c r="B690" t="s">
        <v>650</v>
      </c>
      <c r="C690" t="s">
        <v>0</v>
      </c>
      <c r="D690" s="1">
        <v>0.4285714328289032</v>
      </c>
      <c r="E690" t="s">
        <v>2987</v>
      </c>
    </row>
    <row r="691" spans="1:5" x14ac:dyDescent="0.2">
      <c r="A691" t="s">
        <v>2805</v>
      </c>
      <c r="B691" t="s">
        <v>829</v>
      </c>
      <c r="C691" t="s">
        <v>1</v>
      </c>
      <c r="D691" s="1">
        <v>0.53333336114883423</v>
      </c>
      <c r="E691" t="s">
        <v>2987</v>
      </c>
    </row>
    <row r="692" spans="1:5" x14ac:dyDescent="0.2">
      <c r="A692" t="s">
        <v>2806</v>
      </c>
      <c r="B692" t="s">
        <v>1087</v>
      </c>
      <c r="C692" t="s">
        <v>1</v>
      </c>
      <c r="D692" s="1">
        <v>0.5</v>
      </c>
      <c r="E692" t="s">
        <v>2987</v>
      </c>
    </row>
    <row r="693" spans="1:5" x14ac:dyDescent="0.2">
      <c r="A693" t="s">
        <v>2807</v>
      </c>
      <c r="B693" t="s">
        <v>412</v>
      </c>
      <c r="C693" t="s">
        <v>0</v>
      </c>
      <c r="D693" s="1">
        <v>0.53846156597137451</v>
      </c>
      <c r="E693" t="s">
        <v>2987</v>
      </c>
    </row>
    <row r="694" spans="1:5" x14ac:dyDescent="0.2">
      <c r="A694" t="s">
        <v>2808</v>
      </c>
      <c r="B694" t="s">
        <v>2988</v>
      </c>
      <c r="C694" t="s">
        <v>2988</v>
      </c>
      <c r="D694" s="1">
        <v>0.1428571492433548</v>
      </c>
      <c r="E694" t="s">
        <v>2987</v>
      </c>
    </row>
    <row r="695" spans="1:5" x14ac:dyDescent="0.2">
      <c r="A695" t="s">
        <v>2809</v>
      </c>
      <c r="B695" t="s">
        <v>1347</v>
      </c>
      <c r="C695" t="s">
        <v>0</v>
      </c>
      <c r="D695" s="1">
        <v>0.54545456171035767</v>
      </c>
      <c r="E695" t="s">
        <v>2987</v>
      </c>
    </row>
    <row r="696" spans="1:5" x14ac:dyDescent="0.2">
      <c r="A696" t="s">
        <v>2810</v>
      </c>
      <c r="B696" t="s">
        <v>2988</v>
      </c>
      <c r="C696" t="s">
        <v>2988</v>
      </c>
      <c r="D696" s="1">
        <v>0</v>
      </c>
      <c r="E696" t="s">
        <v>2987</v>
      </c>
    </row>
    <row r="697" spans="1:5" x14ac:dyDescent="0.2">
      <c r="A697" t="s">
        <v>2811</v>
      </c>
      <c r="B697" t="s">
        <v>687</v>
      </c>
      <c r="C697" t="s">
        <v>0</v>
      </c>
      <c r="D697" s="1">
        <v>0.4117647111415863</v>
      </c>
      <c r="E697" t="s">
        <v>2987</v>
      </c>
    </row>
    <row r="698" spans="1:5" x14ac:dyDescent="0.2">
      <c r="A698" t="s">
        <v>2812</v>
      </c>
      <c r="B698" t="s">
        <v>2988</v>
      </c>
      <c r="C698" t="s">
        <v>2988</v>
      </c>
      <c r="D698" s="1">
        <v>0</v>
      </c>
      <c r="E698" t="s">
        <v>2987</v>
      </c>
    </row>
    <row r="699" spans="1:5" x14ac:dyDescent="0.2">
      <c r="A699" t="s">
        <v>2813</v>
      </c>
      <c r="B699" t="s">
        <v>2988</v>
      </c>
      <c r="C699" t="s">
        <v>2988</v>
      </c>
      <c r="D699" s="1">
        <v>0</v>
      </c>
      <c r="E699" t="s">
        <v>2987</v>
      </c>
    </row>
    <row r="700" spans="1:5" x14ac:dyDescent="0.2">
      <c r="A700" t="s">
        <v>2814</v>
      </c>
      <c r="B700" t="s">
        <v>1799</v>
      </c>
      <c r="C700" t="s">
        <v>1</v>
      </c>
      <c r="D700" s="1">
        <v>0.72500002384185791</v>
      </c>
      <c r="E700" t="s">
        <v>2987</v>
      </c>
    </row>
    <row r="701" spans="1:5" x14ac:dyDescent="0.2">
      <c r="A701" t="s">
        <v>2815</v>
      </c>
      <c r="B701" t="s">
        <v>126</v>
      </c>
      <c r="C701" t="s">
        <v>0</v>
      </c>
      <c r="D701" s="1">
        <v>1</v>
      </c>
      <c r="E701" t="s">
        <v>2987</v>
      </c>
    </row>
    <row r="702" spans="1:5" x14ac:dyDescent="0.2">
      <c r="A702" t="s">
        <v>2816</v>
      </c>
      <c r="B702" t="s">
        <v>2988</v>
      </c>
      <c r="C702" t="s">
        <v>2988</v>
      </c>
      <c r="D702" s="1">
        <v>0.1428571492433548</v>
      </c>
      <c r="E702" t="s">
        <v>2987</v>
      </c>
    </row>
    <row r="703" spans="1:5" x14ac:dyDescent="0.2">
      <c r="A703" t="s">
        <v>2817</v>
      </c>
      <c r="B703" t="s">
        <v>1173</v>
      </c>
      <c r="C703" t="s">
        <v>0</v>
      </c>
      <c r="D703" s="1">
        <v>1</v>
      </c>
      <c r="E703" t="s">
        <v>2987</v>
      </c>
    </row>
    <row r="704" spans="1:5" x14ac:dyDescent="0.2">
      <c r="A704" t="s">
        <v>2818</v>
      </c>
      <c r="B704" t="s">
        <v>1209</v>
      </c>
      <c r="C704" t="s">
        <v>1</v>
      </c>
      <c r="D704" s="1">
        <v>1</v>
      </c>
      <c r="E704" t="s">
        <v>2987</v>
      </c>
    </row>
    <row r="705" spans="1:5" x14ac:dyDescent="0.2">
      <c r="A705" t="s">
        <v>2819</v>
      </c>
      <c r="B705" t="s">
        <v>1159</v>
      </c>
      <c r="C705" t="s">
        <v>0</v>
      </c>
      <c r="D705" s="1">
        <v>1</v>
      </c>
      <c r="E705" t="s">
        <v>2987</v>
      </c>
    </row>
    <row r="706" spans="1:5" x14ac:dyDescent="0.2">
      <c r="A706" t="s">
        <v>2820</v>
      </c>
      <c r="B706" t="s">
        <v>1700</v>
      </c>
      <c r="C706" t="s">
        <v>1</v>
      </c>
      <c r="D706" s="1">
        <v>0.45714285969734192</v>
      </c>
      <c r="E706" t="s">
        <v>2987</v>
      </c>
    </row>
    <row r="707" spans="1:5" x14ac:dyDescent="0.2">
      <c r="A707" t="s">
        <v>2821</v>
      </c>
      <c r="B707" t="s">
        <v>2988</v>
      </c>
      <c r="C707" t="s">
        <v>2988</v>
      </c>
      <c r="D707" s="1">
        <v>7.6923079788684845E-2</v>
      </c>
      <c r="E707" t="s">
        <v>2987</v>
      </c>
    </row>
    <row r="708" spans="1:5" x14ac:dyDescent="0.2">
      <c r="A708" t="s">
        <v>2822</v>
      </c>
      <c r="B708" t="s">
        <v>2988</v>
      </c>
      <c r="C708" t="s">
        <v>2988</v>
      </c>
      <c r="D708" s="1">
        <v>7.6923079788684845E-2</v>
      </c>
      <c r="E708" t="s">
        <v>2987</v>
      </c>
    </row>
    <row r="709" spans="1:5" x14ac:dyDescent="0.2">
      <c r="A709" t="s">
        <v>2823</v>
      </c>
      <c r="B709" t="s">
        <v>2988</v>
      </c>
      <c r="C709" t="s">
        <v>2988</v>
      </c>
      <c r="D709" s="1">
        <v>0</v>
      </c>
      <c r="E709" t="s">
        <v>2987</v>
      </c>
    </row>
    <row r="710" spans="1:5" x14ac:dyDescent="0.2">
      <c r="A710" t="s">
        <v>2824</v>
      </c>
      <c r="B710" t="s">
        <v>1354</v>
      </c>
      <c r="C710" t="s">
        <v>1</v>
      </c>
      <c r="D710" s="1">
        <v>0.66666668653488159</v>
      </c>
      <c r="E710" t="s">
        <v>2987</v>
      </c>
    </row>
    <row r="711" spans="1:5" x14ac:dyDescent="0.2">
      <c r="A711" t="s">
        <v>2825</v>
      </c>
      <c r="B711" t="s">
        <v>1218</v>
      </c>
      <c r="C711" t="s">
        <v>0</v>
      </c>
      <c r="D711" s="1">
        <v>0.4285714328289032</v>
      </c>
      <c r="E711" t="s">
        <v>2987</v>
      </c>
    </row>
    <row r="712" spans="1:5" x14ac:dyDescent="0.2">
      <c r="A712" t="s">
        <v>2826</v>
      </c>
      <c r="B712" t="s">
        <v>1846</v>
      </c>
      <c r="C712" t="s">
        <v>1</v>
      </c>
      <c r="D712" s="1">
        <v>0.40845069289207458</v>
      </c>
      <c r="E712" t="s">
        <v>2987</v>
      </c>
    </row>
    <row r="713" spans="1:5" x14ac:dyDescent="0.2">
      <c r="A713" t="s">
        <v>2827</v>
      </c>
      <c r="B713" t="s">
        <v>1218</v>
      </c>
      <c r="C713" t="s">
        <v>0</v>
      </c>
      <c r="D713" s="1">
        <v>1</v>
      </c>
      <c r="E713" t="s">
        <v>2987</v>
      </c>
    </row>
    <row r="714" spans="1:5" x14ac:dyDescent="0.2">
      <c r="A714" t="s">
        <v>2828</v>
      </c>
      <c r="B714" t="s">
        <v>230</v>
      </c>
      <c r="C714" t="s">
        <v>0</v>
      </c>
      <c r="D714" s="1">
        <v>0.54285717010498047</v>
      </c>
      <c r="E714" t="s">
        <v>2987</v>
      </c>
    </row>
    <row r="715" spans="1:5" x14ac:dyDescent="0.2">
      <c r="A715" t="s">
        <v>2829</v>
      </c>
      <c r="B715" t="s">
        <v>228</v>
      </c>
      <c r="C715" t="s">
        <v>0</v>
      </c>
      <c r="D715" s="1">
        <v>1</v>
      </c>
      <c r="E715" t="s">
        <v>2987</v>
      </c>
    </row>
    <row r="716" spans="1:5" x14ac:dyDescent="0.2">
      <c r="A716" t="s">
        <v>2830</v>
      </c>
      <c r="B716" t="s">
        <v>2988</v>
      </c>
      <c r="C716" t="s">
        <v>2988</v>
      </c>
      <c r="D716" s="1">
        <v>0.2222222238779068</v>
      </c>
      <c r="E716" t="s">
        <v>2987</v>
      </c>
    </row>
    <row r="717" spans="1:5" x14ac:dyDescent="0.2">
      <c r="A717" t="s">
        <v>2831</v>
      </c>
      <c r="B717" t="s">
        <v>989</v>
      </c>
      <c r="C717" t="s">
        <v>0</v>
      </c>
      <c r="D717" s="1">
        <v>0.5625</v>
      </c>
      <c r="E717" t="s">
        <v>2987</v>
      </c>
    </row>
    <row r="718" spans="1:5" x14ac:dyDescent="0.2">
      <c r="A718" t="s">
        <v>2832</v>
      </c>
      <c r="B718" t="s">
        <v>987</v>
      </c>
      <c r="C718" t="s">
        <v>0</v>
      </c>
      <c r="D718" s="1">
        <v>0.47499999403953552</v>
      </c>
      <c r="E718" t="s">
        <v>2987</v>
      </c>
    </row>
    <row r="719" spans="1:5" x14ac:dyDescent="0.2">
      <c r="A719" t="s">
        <v>2833</v>
      </c>
      <c r="B719" t="s">
        <v>1936</v>
      </c>
      <c r="C719" t="s">
        <v>1</v>
      </c>
      <c r="D719" s="1">
        <v>0.59259259700775146</v>
      </c>
      <c r="E719" t="s">
        <v>2987</v>
      </c>
    </row>
    <row r="720" spans="1:5" x14ac:dyDescent="0.2">
      <c r="A720" t="s">
        <v>2834</v>
      </c>
      <c r="B720" t="s">
        <v>232</v>
      </c>
      <c r="C720" t="s">
        <v>0</v>
      </c>
      <c r="D720" s="1">
        <v>0.29577463865280151</v>
      </c>
      <c r="E720" t="s">
        <v>2989</v>
      </c>
    </row>
    <row r="721" spans="1:5" x14ac:dyDescent="0.2">
      <c r="A721" t="s">
        <v>2835</v>
      </c>
      <c r="B721" t="s">
        <v>102</v>
      </c>
      <c r="C721" t="s">
        <v>0</v>
      </c>
      <c r="D721" s="1">
        <v>1</v>
      </c>
      <c r="E721" t="s">
        <v>2987</v>
      </c>
    </row>
    <row r="722" spans="1:5" x14ac:dyDescent="0.2">
      <c r="A722" t="s">
        <v>2836</v>
      </c>
      <c r="B722" t="s">
        <v>698</v>
      </c>
      <c r="C722" t="s">
        <v>0</v>
      </c>
      <c r="D722" s="1">
        <v>0.44117647409439087</v>
      </c>
      <c r="E722" t="s">
        <v>2987</v>
      </c>
    </row>
    <row r="723" spans="1:5" x14ac:dyDescent="0.2">
      <c r="A723" t="s">
        <v>2837</v>
      </c>
      <c r="B723" t="s">
        <v>1675</v>
      </c>
      <c r="C723" t="s">
        <v>1</v>
      </c>
      <c r="D723" s="1">
        <v>0.5</v>
      </c>
      <c r="E723" t="s">
        <v>2987</v>
      </c>
    </row>
    <row r="724" spans="1:5" x14ac:dyDescent="0.2">
      <c r="A724" t="s">
        <v>2838</v>
      </c>
      <c r="B724" t="s">
        <v>1675</v>
      </c>
      <c r="C724" t="s">
        <v>1</v>
      </c>
      <c r="D724" s="1">
        <v>0.37999999523162842</v>
      </c>
      <c r="E724" t="s">
        <v>2989</v>
      </c>
    </row>
    <row r="725" spans="1:5" x14ac:dyDescent="0.2">
      <c r="A725" t="s">
        <v>2839</v>
      </c>
      <c r="B725" t="s">
        <v>1675</v>
      </c>
      <c r="C725" t="s">
        <v>1</v>
      </c>
      <c r="D725" s="1">
        <v>0.37999999523162842</v>
      </c>
      <c r="E725" t="s">
        <v>2989</v>
      </c>
    </row>
    <row r="726" spans="1:5" x14ac:dyDescent="0.2">
      <c r="A726" t="s">
        <v>2840</v>
      </c>
      <c r="B726" t="s">
        <v>1494</v>
      </c>
      <c r="C726" t="s">
        <v>1</v>
      </c>
      <c r="D726" s="1">
        <v>0.5</v>
      </c>
      <c r="E726" t="s">
        <v>2987</v>
      </c>
    </row>
    <row r="727" spans="1:5" x14ac:dyDescent="0.2">
      <c r="A727" t="s">
        <v>2841</v>
      </c>
      <c r="B727" t="s">
        <v>270</v>
      </c>
      <c r="C727" t="s">
        <v>0</v>
      </c>
      <c r="D727" s="1">
        <v>0.57142859697341919</v>
      </c>
      <c r="E727" t="s">
        <v>2987</v>
      </c>
    </row>
    <row r="728" spans="1:5" x14ac:dyDescent="0.2">
      <c r="A728" t="s">
        <v>2842</v>
      </c>
      <c r="B728" t="s">
        <v>2988</v>
      </c>
      <c r="C728" t="s">
        <v>2988</v>
      </c>
      <c r="D728" s="1">
        <v>0.1111111119389534</v>
      </c>
      <c r="E728" t="s">
        <v>2987</v>
      </c>
    </row>
    <row r="729" spans="1:5" x14ac:dyDescent="0.2">
      <c r="A729" t="s">
        <v>2843</v>
      </c>
      <c r="B729" t="s">
        <v>1371</v>
      </c>
      <c r="C729" t="s">
        <v>0</v>
      </c>
      <c r="D729" s="1">
        <v>0.57142859697341919</v>
      </c>
      <c r="E729" t="s">
        <v>2987</v>
      </c>
    </row>
    <row r="730" spans="1:5" x14ac:dyDescent="0.2">
      <c r="A730" t="s">
        <v>2844</v>
      </c>
      <c r="B730" t="s">
        <v>2988</v>
      </c>
      <c r="C730" t="s">
        <v>2988</v>
      </c>
      <c r="D730" s="1">
        <v>0.125</v>
      </c>
      <c r="E730" t="s">
        <v>2987</v>
      </c>
    </row>
    <row r="731" spans="1:5" x14ac:dyDescent="0.2">
      <c r="A731" t="s">
        <v>2845</v>
      </c>
      <c r="B731" t="s">
        <v>467</v>
      </c>
      <c r="C731" t="s">
        <v>1</v>
      </c>
      <c r="D731" s="1">
        <v>0.56521737575531006</v>
      </c>
      <c r="E731" t="s">
        <v>2987</v>
      </c>
    </row>
    <row r="732" spans="1:5" x14ac:dyDescent="0.2">
      <c r="A732" t="s">
        <v>2846</v>
      </c>
      <c r="B732" t="s">
        <v>2988</v>
      </c>
      <c r="C732" t="s">
        <v>2988</v>
      </c>
      <c r="D732" s="1">
        <v>0.125</v>
      </c>
      <c r="E732" t="s">
        <v>2987</v>
      </c>
    </row>
    <row r="733" spans="1:5" x14ac:dyDescent="0.2">
      <c r="A733" t="s">
        <v>2847</v>
      </c>
      <c r="B733" t="s">
        <v>966</v>
      </c>
      <c r="C733" t="s">
        <v>0</v>
      </c>
      <c r="D733" s="1">
        <v>0.5625</v>
      </c>
      <c r="E733" t="s">
        <v>2987</v>
      </c>
    </row>
    <row r="734" spans="1:5" x14ac:dyDescent="0.2">
      <c r="A734" t="s">
        <v>2848</v>
      </c>
      <c r="B734" t="s">
        <v>841</v>
      </c>
      <c r="C734" t="s">
        <v>1</v>
      </c>
      <c r="D734" s="1">
        <v>0.4444444477558136</v>
      </c>
      <c r="E734" t="s">
        <v>2987</v>
      </c>
    </row>
    <row r="735" spans="1:5" x14ac:dyDescent="0.2">
      <c r="A735" t="s">
        <v>2849</v>
      </c>
      <c r="B735" t="s">
        <v>193</v>
      </c>
      <c r="C735" t="s">
        <v>1</v>
      </c>
      <c r="D735" s="1">
        <v>0.4444444477558136</v>
      </c>
      <c r="E735" t="s">
        <v>2987</v>
      </c>
    </row>
    <row r="736" spans="1:5" x14ac:dyDescent="0.2">
      <c r="A736" t="s">
        <v>2850</v>
      </c>
      <c r="B736" t="s">
        <v>2988</v>
      </c>
      <c r="C736" t="s">
        <v>2988</v>
      </c>
      <c r="D736" s="1">
        <v>0</v>
      </c>
      <c r="E736" t="s">
        <v>2987</v>
      </c>
    </row>
    <row r="737" spans="1:5" x14ac:dyDescent="0.2">
      <c r="A737" t="s">
        <v>2851</v>
      </c>
      <c r="B737" t="s">
        <v>1394</v>
      </c>
      <c r="C737" t="s">
        <v>0</v>
      </c>
      <c r="D737" s="1">
        <v>0.46666666865348816</v>
      </c>
      <c r="E737" t="s">
        <v>2987</v>
      </c>
    </row>
    <row r="738" spans="1:5" x14ac:dyDescent="0.2">
      <c r="A738" t="s">
        <v>2852</v>
      </c>
      <c r="B738" t="s">
        <v>2988</v>
      </c>
      <c r="C738" t="s">
        <v>2988</v>
      </c>
      <c r="D738" s="1">
        <v>0.1428571492433548</v>
      </c>
      <c r="E738" t="s">
        <v>2987</v>
      </c>
    </row>
    <row r="739" spans="1:5" x14ac:dyDescent="0.2">
      <c r="A739" t="s">
        <v>2853</v>
      </c>
      <c r="B739" t="s">
        <v>560</v>
      </c>
      <c r="C739" t="s">
        <v>0</v>
      </c>
      <c r="D739" s="1">
        <v>0.47999998927116394</v>
      </c>
      <c r="E739" t="s">
        <v>2987</v>
      </c>
    </row>
    <row r="740" spans="1:5" x14ac:dyDescent="0.2">
      <c r="A740" t="s">
        <v>2854</v>
      </c>
      <c r="B740" t="s">
        <v>1175</v>
      </c>
      <c r="C740" t="s">
        <v>0</v>
      </c>
      <c r="D740" s="1">
        <v>0.5</v>
      </c>
      <c r="E740" t="s">
        <v>2987</v>
      </c>
    </row>
    <row r="741" spans="1:5" x14ac:dyDescent="0.2">
      <c r="A741" t="s">
        <v>2855</v>
      </c>
      <c r="B741" t="s">
        <v>1520</v>
      </c>
      <c r="C741" t="s">
        <v>1</v>
      </c>
      <c r="D741" s="1">
        <v>0.3461538553237915</v>
      </c>
      <c r="E741" t="s">
        <v>2989</v>
      </c>
    </row>
    <row r="742" spans="1:5" x14ac:dyDescent="0.2">
      <c r="A742" t="s">
        <v>2856</v>
      </c>
      <c r="B742" t="s">
        <v>1944</v>
      </c>
      <c r="C742" t="s">
        <v>1</v>
      </c>
      <c r="D742" s="1">
        <v>0.48387095332145691</v>
      </c>
      <c r="E742" t="s">
        <v>2987</v>
      </c>
    </row>
    <row r="743" spans="1:5" x14ac:dyDescent="0.2">
      <c r="A743" t="s">
        <v>2857</v>
      </c>
      <c r="B743" t="s">
        <v>2988</v>
      </c>
      <c r="C743" t="s">
        <v>2988</v>
      </c>
      <c r="D743" s="1">
        <v>0.15384615957736969</v>
      </c>
      <c r="E743" t="s">
        <v>2987</v>
      </c>
    </row>
    <row r="744" spans="1:5" x14ac:dyDescent="0.2">
      <c r="A744" t="s">
        <v>2858</v>
      </c>
      <c r="B744" t="s">
        <v>351</v>
      </c>
      <c r="C744" t="s">
        <v>0</v>
      </c>
      <c r="D744" s="1">
        <v>0.51851850748062134</v>
      </c>
      <c r="E744" t="s">
        <v>2987</v>
      </c>
    </row>
    <row r="745" spans="1:5" x14ac:dyDescent="0.2">
      <c r="A745" t="s">
        <v>2859</v>
      </c>
      <c r="B745" t="s">
        <v>1475</v>
      </c>
      <c r="C745" t="s">
        <v>1</v>
      </c>
      <c r="D745" s="1">
        <v>0.4285714328289032</v>
      </c>
      <c r="E745" t="s">
        <v>2987</v>
      </c>
    </row>
    <row r="746" spans="1:5" x14ac:dyDescent="0.2">
      <c r="A746" t="s">
        <v>2860</v>
      </c>
      <c r="B746" t="s">
        <v>2988</v>
      </c>
      <c r="C746" t="s">
        <v>2988</v>
      </c>
      <c r="D746" s="1">
        <v>0</v>
      </c>
      <c r="E746" t="s">
        <v>2987</v>
      </c>
    </row>
    <row r="747" spans="1:5" x14ac:dyDescent="0.2">
      <c r="A747" t="s">
        <v>2861</v>
      </c>
      <c r="B747" t="s">
        <v>2988</v>
      </c>
      <c r="C747" t="s">
        <v>2988</v>
      </c>
      <c r="D747" s="1">
        <v>0.28571429848670959</v>
      </c>
      <c r="E747" t="s">
        <v>2987</v>
      </c>
    </row>
    <row r="748" spans="1:5" x14ac:dyDescent="0.2">
      <c r="A748" t="s">
        <v>2862</v>
      </c>
      <c r="B748" t="s">
        <v>1388</v>
      </c>
      <c r="C748" t="s">
        <v>0</v>
      </c>
      <c r="D748" s="1">
        <v>0.57575756311416626</v>
      </c>
      <c r="E748" t="s">
        <v>2987</v>
      </c>
    </row>
    <row r="749" spans="1:5" x14ac:dyDescent="0.2">
      <c r="A749" t="s">
        <v>2863</v>
      </c>
      <c r="B749" t="s">
        <v>1388</v>
      </c>
      <c r="C749" t="s">
        <v>0</v>
      </c>
      <c r="D749" s="1">
        <v>0.58064514398574829</v>
      </c>
      <c r="E749" t="s">
        <v>2987</v>
      </c>
    </row>
    <row r="750" spans="1:5" x14ac:dyDescent="0.2">
      <c r="A750" t="s">
        <v>2864</v>
      </c>
      <c r="B750" t="s">
        <v>488</v>
      </c>
      <c r="C750" t="s">
        <v>0</v>
      </c>
      <c r="D750" s="1">
        <v>0.4166666567325592</v>
      </c>
      <c r="E750" t="s">
        <v>2987</v>
      </c>
    </row>
    <row r="751" spans="1:5" x14ac:dyDescent="0.2">
      <c r="A751" t="s">
        <v>2865</v>
      </c>
      <c r="B751" t="s">
        <v>2988</v>
      </c>
      <c r="C751" t="s">
        <v>2988</v>
      </c>
      <c r="D751" s="1">
        <v>0</v>
      </c>
      <c r="E751" t="s">
        <v>2987</v>
      </c>
    </row>
    <row r="752" spans="1:5" x14ac:dyDescent="0.2">
      <c r="A752" t="s">
        <v>2866</v>
      </c>
      <c r="B752" t="s">
        <v>128</v>
      </c>
      <c r="C752" t="s">
        <v>0</v>
      </c>
      <c r="D752" s="1">
        <v>0.72000002861022949</v>
      </c>
      <c r="E752" t="s">
        <v>2987</v>
      </c>
    </row>
    <row r="753" spans="1:5" x14ac:dyDescent="0.2">
      <c r="A753" t="s">
        <v>2867</v>
      </c>
      <c r="B753" t="s">
        <v>2988</v>
      </c>
      <c r="C753" t="s">
        <v>2988</v>
      </c>
      <c r="D753" s="1">
        <v>0</v>
      </c>
      <c r="E753" t="s">
        <v>2987</v>
      </c>
    </row>
    <row r="754" spans="1:5" x14ac:dyDescent="0.2">
      <c r="A754" t="s">
        <v>2868</v>
      </c>
      <c r="B754" t="s">
        <v>2988</v>
      </c>
      <c r="C754" t="s">
        <v>2988</v>
      </c>
      <c r="D754" s="1">
        <v>0.2222222238779068</v>
      </c>
      <c r="E754" t="s">
        <v>2987</v>
      </c>
    </row>
    <row r="755" spans="1:5" x14ac:dyDescent="0.2">
      <c r="A755" t="s">
        <v>2869</v>
      </c>
      <c r="B755" t="s">
        <v>845</v>
      </c>
      <c r="C755" t="s">
        <v>1</v>
      </c>
      <c r="D755" s="1">
        <v>0.53333336114883423</v>
      </c>
      <c r="E755" t="s">
        <v>2987</v>
      </c>
    </row>
    <row r="756" spans="1:5" x14ac:dyDescent="0.2">
      <c r="A756" t="s">
        <v>2870</v>
      </c>
      <c r="B756" t="s">
        <v>2988</v>
      </c>
      <c r="C756" t="s">
        <v>2988</v>
      </c>
      <c r="D756" s="1">
        <v>0.1428571492433548</v>
      </c>
      <c r="E756" t="s">
        <v>2987</v>
      </c>
    </row>
    <row r="757" spans="1:5" x14ac:dyDescent="0.2">
      <c r="A757" t="s">
        <v>2871</v>
      </c>
      <c r="B757" t="s">
        <v>2108</v>
      </c>
      <c r="C757" t="s">
        <v>1</v>
      </c>
      <c r="D757" s="1">
        <v>0.75</v>
      </c>
      <c r="E757" t="s">
        <v>2987</v>
      </c>
    </row>
    <row r="758" spans="1:5" x14ac:dyDescent="0.2">
      <c r="A758" t="s">
        <v>2872</v>
      </c>
      <c r="B758" t="s">
        <v>1351</v>
      </c>
      <c r="C758" t="s">
        <v>0</v>
      </c>
      <c r="D758" s="1">
        <v>0.35555556416511536</v>
      </c>
      <c r="E758" t="s">
        <v>2989</v>
      </c>
    </row>
    <row r="759" spans="1:5" x14ac:dyDescent="0.2">
      <c r="A759" t="s">
        <v>2873</v>
      </c>
      <c r="B759" t="s">
        <v>363</v>
      </c>
      <c r="C759" t="s">
        <v>1</v>
      </c>
      <c r="D759" s="1">
        <v>0.375</v>
      </c>
      <c r="E759" t="s">
        <v>2989</v>
      </c>
    </row>
    <row r="760" spans="1:5" x14ac:dyDescent="0.2">
      <c r="A760" t="s">
        <v>2874</v>
      </c>
      <c r="B760" t="s">
        <v>2988</v>
      </c>
      <c r="C760" t="s">
        <v>2988</v>
      </c>
      <c r="D760" s="1">
        <v>0.2222222238779068</v>
      </c>
      <c r="E760" t="s">
        <v>2987</v>
      </c>
    </row>
    <row r="761" spans="1:5" x14ac:dyDescent="0.2">
      <c r="A761" t="s">
        <v>2875</v>
      </c>
      <c r="B761" t="s">
        <v>1386</v>
      </c>
      <c r="C761" t="s">
        <v>0</v>
      </c>
      <c r="D761" s="1">
        <v>0.59259259700775146</v>
      </c>
      <c r="E761" t="s">
        <v>2987</v>
      </c>
    </row>
    <row r="762" spans="1:5" x14ac:dyDescent="0.2">
      <c r="A762" t="s">
        <v>2876</v>
      </c>
      <c r="B762" t="s">
        <v>716</v>
      </c>
      <c r="C762" t="s">
        <v>0</v>
      </c>
      <c r="D762" s="1">
        <v>0.66666668653488159</v>
      </c>
      <c r="E762" t="s">
        <v>2987</v>
      </c>
    </row>
    <row r="763" spans="1:5" x14ac:dyDescent="0.2">
      <c r="A763" t="s">
        <v>2877</v>
      </c>
      <c r="B763" t="s">
        <v>1892</v>
      </c>
      <c r="C763" t="s">
        <v>1</v>
      </c>
      <c r="D763" s="1">
        <v>0.5161290168762207</v>
      </c>
      <c r="E763" t="s">
        <v>2987</v>
      </c>
    </row>
    <row r="764" spans="1:5" x14ac:dyDescent="0.2">
      <c r="A764" t="s">
        <v>2878</v>
      </c>
      <c r="B764" t="s">
        <v>1004</v>
      </c>
      <c r="C764" t="s">
        <v>1</v>
      </c>
      <c r="D764" s="1">
        <v>0.60000002384185791</v>
      </c>
      <c r="E764" t="s">
        <v>2987</v>
      </c>
    </row>
    <row r="765" spans="1:5" x14ac:dyDescent="0.2">
      <c r="A765" t="s">
        <v>2879</v>
      </c>
      <c r="B765" t="s">
        <v>847</v>
      </c>
      <c r="C765" t="s">
        <v>1</v>
      </c>
      <c r="D765" s="1">
        <v>0.53333336114883423</v>
      </c>
      <c r="E765" t="s">
        <v>2987</v>
      </c>
    </row>
    <row r="766" spans="1:5" x14ac:dyDescent="0.2">
      <c r="A766" t="s">
        <v>2880</v>
      </c>
      <c r="B766" t="s">
        <v>76</v>
      </c>
      <c r="C766" t="s">
        <v>0</v>
      </c>
      <c r="D766" s="1">
        <v>0.25</v>
      </c>
      <c r="E766" t="s">
        <v>2989</v>
      </c>
    </row>
    <row r="767" spans="1:5" x14ac:dyDescent="0.2">
      <c r="A767" t="s">
        <v>2881</v>
      </c>
      <c r="B767" t="s">
        <v>1727</v>
      </c>
      <c r="C767" t="s">
        <v>1</v>
      </c>
      <c r="D767" s="1">
        <v>0.42424243688583374</v>
      </c>
      <c r="E767" t="s">
        <v>2987</v>
      </c>
    </row>
    <row r="768" spans="1:5" x14ac:dyDescent="0.2">
      <c r="A768" t="s">
        <v>2882</v>
      </c>
      <c r="B768" t="s">
        <v>968</v>
      </c>
      <c r="C768" t="s">
        <v>0</v>
      </c>
      <c r="D768" s="1">
        <v>0.5</v>
      </c>
      <c r="E768" t="s">
        <v>2987</v>
      </c>
    </row>
    <row r="769" spans="1:5" x14ac:dyDescent="0.2">
      <c r="A769" t="s">
        <v>2883</v>
      </c>
      <c r="B769" t="s">
        <v>2988</v>
      </c>
      <c r="C769" t="s">
        <v>2988</v>
      </c>
      <c r="D769" s="1">
        <v>3.9999999105930328E-2</v>
      </c>
      <c r="E769" t="s">
        <v>2987</v>
      </c>
    </row>
    <row r="770" spans="1:5" x14ac:dyDescent="0.2">
      <c r="A770" t="s">
        <v>2884</v>
      </c>
      <c r="B770" t="s">
        <v>469</v>
      </c>
      <c r="C770" t="s">
        <v>1</v>
      </c>
      <c r="D770" s="1">
        <v>0.28571429848670959</v>
      </c>
      <c r="E770" t="s">
        <v>2989</v>
      </c>
    </row>
    <row r="771" spans="1:5" x14ac:dyDescent="0.2">
      <c r="A771" t="s">
        <v>2885</v>
      </c>
      <c r="B771" t="s">
        <v>469</v>
      </c>
      <c r="C771" t="s">
        <v>1</v>
      </c>
      <c r="D771" s="1">
        <v>0.58823531866073608</v>
      </c>
      <c r="E771" t="s">
        <v>2987</v>
      </c>
    </row>
    <row r="772" spans="1:5" x14ac:dyDescent="0.2">
      <c r="A772" t="s">
        <v>2886</v>
      </c>
      <c r="B772" t="s">
        <v>156</v>
      </c>
      <c r="C772" t="s">
        <v>0</v>
      </c>
      <c r="D772" s="1">
        <v>0.41304346919059753</v>
      </c>
      <c r="E772" t="s">
        <v>2987</v>
      </c>
    </row>
    <row r="773" spans="1:5" x14ac:dyDescent="0.2">
      <c r="A773" t="s">
        <v>2887</v>
      </c>
      <c r="B773" t="s">
        <v>475</v>
      </c>
      <c r="C773" t="s">
        <v>1</v>
      </c>
      <c r="D773" s="1">
        <v>0.5517241358757019</v>
      </c>
      <c r="E773" t="s">
        <v>2987</v>
      </c>
    </row>
    <row r="774" spans="1:5" x14ac:dyDescent="0.2">
      <c r="A774" t="s">
        <v>2888</v>
      </c>
      <c r="B774" t="s">
        <v>523</v>
      </c>
      <c r="C774" t="s">
        <v>1</v>
      </c>
      <c r="D774" s="1">
        <v>0.51851850748062134</v>
      </c>
      <c r="E774" t="s">
        <v>2987</v>
      </c>
    </row>
    <row r="775" spans="1:5" x14ac:dyDescent="0.2">
      <c r="A775" t="s">
        <v>2889</v>
      </c>
      <c r="B775" t="s">
        <v>1808</v>
      </c>
      <c r="C775" t="s">
        <v>1</v>
      </c>
      <c r="D775" s="1">
        <v>0.53333336114883423</v>
      </c>
      <c r="E775" t="s">
        <v>2987</v>
      </c>
    </row>
    <row r="776" spans="1:5" x14ac:dyDescent="0.2">
      <c r="A776" t="s">
        <v>2890</v>
      </c>
      <c r="B776" t="s">
        <v>477</v>
      </c>
      <c r="C776" t="s">
        <v>1</v>
      </c>
      <c r="D776" s="1">
        <v>0.47999998927116394</v>
      </c>
      <c r="E776" t="s">
        <v>2987</v>
      </c>
    </row>
    <row r="777" spans="1:5" x14ac:dyDescent="0.2">
      <c r="A777" t="s">
        <v>2891</v>
      </c>
      <c r="B777" t="s">
        <v>546</v>
      </c>
      <c r="C777" t="s">
        <v>0</v>
      </c>
      <c r="D777" s="1">
        <v>0.3333333432674408</v>
      </c>
      <c r="E777" t="s">
        <v>2989</v>
      </c>
    </row>
    <row r="778" spans="1:5" x14ac:dyDescent="0.2">
      <c r="A778" t="s">
        <v>2892</v>
      </c>
      <c r="B778" t="s">
        <v>2988</v>
      </c>
      <c r="C778" t="s">
        <v>2988</v>
      </c>
      <c r="D778" s="1">
        <v>9.0909093618392944E-2</v>
      </c>
      <c r="E778" t="s">
        <v>2987</v>
      </c>
    </row>
    <row r="779" spans="1:5" x14ac:dyDescent="0.2">
      <c r="A779" t="s">
        <v>2893</v>
      </c>
      <c r="B779" t="s">
        <v>2988</v>
      </c>
      <c r="C779" t="s">
        <v>2988</v>
      </c>
      <c r="D779" s="1">
        <v>8.3333335816860199E-2</v>
      </c>
      <c r="E779" t="s">
        <v>2987</v>
      </c>
    </row>
    <row r="780" spans="1:5" x14ac:dyDescent="0.2">
      <c r="A780" t="s">
        <v>2894</v>
      </c>
      <c r="B780" t="s">
        <v>2988</v>
      </c>
      <c r="C780" t="s">
        <v>2988</v>
      </c>
      <c r="D780" s="1">
        <v>0.10000000149011612</v>
      </c>
      <c r="E780" t="s">
        <v>2987</v>
      </c>
    </row>
    <row r="781" spans="1:5" x14ac:dyDescent="0.2">
      <c r="A781" t="s">
        <v>2895</v>
      </c>
      <c r="B781" t="s">
        <v>2988</v>
      </c>
      <c r="C781" t="s">
        <v>2988</v>
      </c>
      <c r="D781" s="1">
        <v>7.1428574621677399E-2</v>
      </c>
      <c r="E781" t="s">
        <v>2987</v>
      </c>
    </row>
    <row r="782" spans="1:5" x14ac:dyDescent="0.2">
      <c r="A782" t="s">
        <v>2896</v>
      </c>
      <c r="B782" t="s">
        <v>2988</v>
      </c>
      <c r="C782" t="s">
        <v>2988</v>
      </c>
      <c r="D782" s="1">
        <v>9.0909093618392944E-2</v>
      </c>
      <c r="E782" t="s">
        <v>2987</v>
      </c>
    </row>
    <row r="783" spans="1:5" x14ac:dyDescent="0.2">
      <c r="A783" t="s">
        <v>2897</v>
      </c>
      <c r="B783" t="s">
        <v>2988</v>
      </c>
      <c r="C783" t="s">
        <v>2988</v>
      </c>
      <c r="D783" s="1">
        <v>6.25E-2</v>
      </c>
      <c r="E783" t="s">
        <v>2987</v>
      </c>
    </row>
    <row r="784" spans="1:5" x14ac:dyDescent="0.2">
      <c r="A784" t="s">
        <v>2898</v>
      </c>
      <c r="B784" t="s">
        <v>2988</v>
      </c>
      <c r="C784" t="s">
        <v>2988</v>
      </c>
      <c r="D784" s="1">
        <v>7.6923079788684845E-2</v>
      </c>
      <c r="E784" t="s">
        <v>2987</v>
      </c>
    </row>
    <row r="785" spans="1:5" x14ac:dyDescent="0.2">
      <c r="A785" t="s">
        <v>2899</v>
      </c>
      <c r="B785" t="s">
        <v>849</v>
      </c>
      <c r="C785" t="s">
        <v>1</v>
      </c>
      <c r="D785" s="1">
        <v>0.5</v>
      </c>
      <c r="E785" t="s">
        <v>2987</v>
      </c>
    </row>
    <row r="786" spans="1:5" x14ac:dyDescent="0.2">
      <c r="A786" t="s">
        <v>2900</v>
      </c>
      <c r="B786" t="s">
        <v>156</v>
      </c>
      <c r="C786" t="s">
        <v>0</v>
      </c>
      <c r="D786" s="1">
        <v>0.41304346919059753</v>
      </c>
      <c r="E786" t="s">
        <v>2987</v>
      </c>
    </row>
    <row r="787" spans="1:5" x14ac:dyDescent="0.2">
      <c r="A787" t="s">
        <v>2901</v>
      </c>
      <c r="B787" t="s">
        <v>1899</v>
      </c>
      <c r="C787" t="s">
        <v>1</v>
      </c>
      <c r="D787" s="1">
        <v>0.5517241358757019</v>
      </c>
      <c r="E787" t="s">
        <v>2987</v>
      </c>
    </row>
    <row r="788" spans="1:5" x14ac:dyDescent="0.2">
      <c r="A788" t="s">
        <v>2902</v>
      </c>
      <c r="B788" t="s">
        <v>851</v>
      </c>
      <c r="C788" t="s">
        <v>1</v>
      </c>
      <c r="D788" s="1">
        <v>0.53333336114883423</v>
      </c>
      <c r="E788" t="s">
        <v>2987</v>
      </c>
    </row>
    <row r="789" spans="1:5" x14ac:dyDescent="0.2">
      <c r="A789" t="s">
        <v>2903</v>
      </c>
      <c r="B789" t="s">
        <v>1550</v>
      </c>
      <c r="C789" t="s">
        <v>1</v>
      </c>
      <c r="D789" s="1">
        <v>0.5517241358757019</v>
      </c>
      <c r="E789" t="s">
        <v>2987</v>
      </c>
    </row>
    <row r="790" spans="1:5" x14ac:dyDescent="0.2">
      <c r="A790" t="s">
        <v>2904</v>
      </c>
      <c r="B790" t="s">
        <v>1601</v>
      </c>
      <c r="C790" t="s">
        <v>1</v>
      </c>
      <c r="D790" s="1">
        <v>0.67391306161880493</v>
      </c>
      <c r="E790" t="s">
        <v>2987</v>
      </c>
    </row>
    <row r="791" spans="1:5" x14ac:dyDescent="0.2">
      <c r="A791" t="s">
        <v>2905</v>
      </c>
      <c r="B791" t="s">
        <v>1602</v>
      </c>
      <c r="C791" t="s">
        <v>1</v>
      </c>
      <c r="D791" s="1">
        <v>0.52307695150375366</v>
      </c>
      <c r="E791" t="s">
        <v>2987</v>
      </c>
    </row>
    <row r="792" spans="1:5" x14ac:dyDescent="0.2">
      <c r="A792" t="s">
        <v>2906</v>
      </c>
      <c r="B792" t="s">
        <v>1479</v>
      </c>
      <c r="C792" t="s">
        <v>1</v>
      </c>
      <c r="D792" s="1">
        <v>0.5</v>
      </c>
      <c r="E792" t="s">
        <v>2987</v>
      </c>
    </row>
    <row r="793" spans="1:5" x14ac:dyDescent="0.2">
      <c r="A793" t="s">
        <v>2907</v>
      </c>
      <c r="B793" t="s">
        <v>420</v>
      </c>
      <c r="C793" t="s">
        <v>0</v>
      </c>
      <c r="D793" s="1">
        <v>0.57142859697341919</v>
      </c>
      <c r="E793" t="s">
        <v>2987</v>
      </c>
    </row>
    <row r="794" spans="1:5" x14ac:dyDescent="0.2">
      <c r="A794" t="s">
        <v>2908</v>
      </c>
      <c r="B794" t="s">
        <v>1595</v>
      </c>
      <c r="C794" t="s">
        <v>1</v>
      </c>
      <c r="D794" s="1">
        <v>0.51851850748062134</v>
      </c>
      <c r="E794" t="s">
        <v>2987</v>
      </c>
    </row>
    <row r="795" spans="1:5" x14ac:dyDescent="0.2">
      <c r="A795" t="s">
        <v>2909</v>
      </c>
      <c r="B795" t="s">
        <v>1036</v>
      </c>
      <c r="C795" t="s">
        <v>0</v>
      </c>
      <c r="D795" s="1">
        <v>0.38461539149284363</v>
      </c>
      <c r="E795" t="s">
        <v>2989</v>
      </c>
    </row>
    <row r="796" spans="1:5" x14ac:dyDescent="0.2">
      <c r="A796" t="s">
        <v>2910</v>
      </c>
      <c r="B796" t="s">
        <v>516</v>
      </c>
      <c r="C796" t="s">
        <v>0</v>
      </c>
      <c r="D796" s="1">
        <v>0.5</v>
      </c>
      <c r="E796" t="s">
        <v>2987</v>
      </c>
    </row>
    <row r="797" spans="1:5" x14ac:dyDescent="0.2">
      <c r="A797" t="s">
        <v>2911</v>
      </c>
      <c r="B797" t="s">
        <v>937</v>
      </c>
      <c r="C797" t="s">
        <v>1</v>
      </c>
      <c r="D797" s="1">
        <v>0.30434781312942505</v>
      </c>
      <c r="E797" t="s">
        <v>2989</v>
      </c>
    </row>
    <row r="798" spans="1:5" x14ac:dyDescent="0.2">
      <c r="A798" t="s">
        <v>2912</v>
      </c>
      <c r="B798" t="s">
        <v>937</v>
      </c>
      <c r="C798" t="s">
        <v>1</v>
      </c>
      <c r="D798" s="1">
        <v>0.36363637447357178</v>
      </c>
      <c r="E798" t="s">
        <v>2989</v>
      </c>
    </row>
    <row r="799" spans="1:5" x14ac:dyDescent="0.2">
      <c r="A799" t="s">
        <v>2913</v>
      </c>
      <c r="B799" t="s">
        <v>693</v>
      </c>
      <c r="C799" t="s">
        <v>1</v>
      </c>
      <c r="D799" s="1">
        <v>0.38709676265716553</v>
      </c>
      <c r="E799" t="s">
        <v>2989</v>
      </c>
    </row>
    <row r="800" spans="1:5" x14ac:dyDescent="0.2">
      <c r="A800" t="s">
        <v>2914</v>
      </c>
      <c r="B800" t="s">
        <v>2988</v>
      </c>
      <c r="C800" t="s">
        <v>2988</v>
      </c>
      <c r="D800" s="1">
        <v>0</v>
      </c>
      <c r="E800" t="s">
        <v>2987</v>
      </c>
    </row>
    <row r="801" spans="1:5" x14ac:dyDescent="0.2">
      <c r="A801" t="s">
        <v>2915</v>
      </c>
      <c r="B801" t="s">
        <v>2988</v>
      </c>
      <c r="C801" t="s">
        <v>2988</v>
      </c>
      <c r="D801" s="1">
        <v>0.25</v>
      </c>
      <c r="E801" t="s">
        <v>2987</v>
      </c>
    </row>
    <row r="802" spans="1:5" x14ac:dyDescent="0.2">
      <c r="A802" t="s">
        <v>2916</v>
      </c>
      <c r="B802" t="s">
        <v>2988</v>
      </c>
      <c r="C802" t="s">
        <v>2988</v>
      </c>
      <c r="D802" s="1">
        <v>0.125</v>
      </c>
      <c r="E802" t="s">
        <v>2987</v>
      </c>
    </row>
    <row r="803" spans="1:5" x14ac:dyDescent="0.2">
      <c r="A803" t="s">
        <v>2917</v>
      </c>
      <c r="B803" t="s">
        <v>1177</v>
      </c>
      <c r="C803" t="s">
        <v>0</v>
      </c>
      <c r="D803" s="1">
        <v>0.5151515007019043</v>
      </c>
      <c r="E803" t="s">
        <v>2987</v>
      </c>
    </row>
    <row r="804" spans="1:5" x14ac:dyDescent="0.2">
      <c r="A804" t="s">
        <v>2918</v>
      </c>
      <c r="B804" t="s">
        <v>2988</v>
      </c>
      <c r="C804" t="s">
        <v>2988</v>
      </c>
      <c r="D804" s="1">
        <v>7.6923079788684845E-2</v>
      </c>
      <c r="E804" t="s">
        <v>2987</v>
      </c>
    </row>
    <row r="805" spans="1:5" x14ac:dyDescent="0.2">
      <c r="A805" t="s">
        <v>2919</v>
      </c>
      <c r="B805" t="s">
        <v>2988</v>
      </c>
      <c r="C805" t="s">
        <v>2988</v>
      </c>
      <c r="D805" s="1">
        <v>7.6923079788684845E-2</v>
      </c>
      <c r="E805" t="s">
        <v>2987</v>
      </c>
    </row>
    <row r="806" spans="1:5" x14ac:dyDescent="0.2">
      <c r="A806" t="s">
        <v>2920</v>
      </c>
      <c r="B806" t="s">
        <v>2080</v>
      </c>
      <c r="C806" t="s">
        <v>1</v>
      </c>
      <c r="D806" s="1">
        <v>0.43478259444236755</v>
      </c>
      <c r="E806" t="s">
        <v>2987</v>
      </c>
    </row>
    <row r="807" spans="1:5" x14ac:dyDescent="0.2">
      <c r="A807" t="s">
        <v>2921</v>
      </c>
      <c r="B807" t="s">
        <v>2988</v>
      </c>
      <c r="C807" t="s">
        <v>2988</v>
      </c>
      <c r="D807" s="1">
        <v>7.6923079788684845E-2</v>
      </c>
      <c r="E807" t="s">
        <v>2987</v>
      </c>
    </row>
    <row r="808" spans="1:5" x14ac:dyDescent="0.2">
      <c r="A808" t="s">
        <v>2922</v>
      </c>
      <c r="B808" t="s">
        <v>35</v>
      </c>
      <c r="C808" t="s">
        <v>1</v>
      </c>
      <c r="D808" s="1">
        <v>0.40000000596046448</v>
      </c>
      <c r="E808" t="s">
        <v>2987</v>
      </c>
    </row>
    <row r="809" spans="1:5" x14ac:dyDescent="0.2">
      <c r="A809" t="s">
        <v>2923</v>
      </c>
      <c r="B809" t="s">
        <v>1933</v>
      </c>
      <c r="C809" t="s">
        <v>1</v>
      </c>
      <c r="D809" s="1">
        <v>0.5</v>
      </c>
      <c r="E809" t="s">
        <v>2987</v>
      </c>
    </row>
    <row r="810" spans="1:5" x14ac:dyDescent="0.2">
      <c r="A810" t="s">
        <v>2924</v>
      </c>
      <c r="B810" t="s">
        <v>840</v>
      </c>
      <c r="C810" t="s">
        <v>0</v>
      </c>
      <c r="D810" s="1">
        <v>0.5</v>
      </c>
      <c r="E810" t="s">
        <v>2987</v>
      </c>
    </row>
    <row r="811" spans="1:5" x14ac:dyDescent="0.2">
      <c r="A811" t="s">
        <v>2925</v>
      </c>
      <c r="B811" t="s">
        <v>422</v>
      </c>
      <c r="C811" t="s">
        <v>0</v>
      </c>
      <c r="D811" s="1">
        <v>0.48571428656578064</v>
      </c>
      <c r="E811" t="s">
        <v>2987</v>
      </c>
    </row>
    <row r="812" spans="1:5" x14ac:dyDescent="0.2">
      <c r="A812" t="s">
        <v>2926</v>
      </c>
      <c r="B812" t="s">
        <v>210</v>
      </c>
      <c r="C812" t="s">
        <v>0</v>
      </c>
      <c r="D812" s="1">
        <v>0.5</v>
      </c>
      <c r="E812" t="s">
        <v>2987</v>
      </c>
    </row>
    <row r="813" spans="1:5" x14ac:dyDescent="0.2">
      <c r="A813" t="s">
        <v>2927</v>
      </c>
      <c r="B813" t="s">
        <v>2988</v>
      </c>
      <c r="C813" t="s">
        <v>2988</v>
      </c>
      <c r="D813" s="1">
        <v>7.1428574621677399E-2</v>
      </c>
      <c r="E813" t="s">
        <v>2987</v>
      </c>
    </row>
    <row r="814" spans="1:5" x14ac:dyDescent="0.2">
      <c r="A814" t="s">
        <v>2928</v>
      </c>
      <c r="B814" t="s">
        <v>2988</v>
      </c>
      <c r="C814" t="s">
        <v>2988</v>
      </c>
      <c r="D814" s="1">
        <v>0.1428571492433548</v>
      </c>
      <c r="E814" t="s">
        <v>2987</v>
      </c>
    </row>
    <row r="815" spans="1:5" x14ac:dyDescent="0.2">
      <c r="A815" t="s">
        <v>2929</v>
      </c>
      <c r="B815" t="s">
        <v>2988</v>
      </c>
      <c r="C815" t="s">
        <v>2988</v>
      </c>
      <c r="D815" s="1">
        <v>5.000000074505806E-2</v>
      </c>
      <c r="E815" t="s">
        <v>2987</v>
      </c>
    </row>
    <row r="816" spans="1:5" x14ac:dyDescent="0.2">
      <c r="A816" t="s">
        <v>2930</v>
      </c>
      <c r="B816" t="s">
        <v>2988</v>
      </c>
      <c r="C816" t="s">
        <v>2988</v>
      </c>
      <c r="D816" s="1">
        <v>4.3478261679410934E-2</v>
      </c>
      <c r="E816" t="s">
        <v>2987</v>
      </c>
    </row>
    <row r="817" spans="1:5" x14ac:dyDescent="0.2">
      <c r="A817" t="s">
        <v>2931</v>
      </c>
      <c r="B817" t="s">
        <v>2988</v>
      </c>
      <c r="C817" t="s">
        <v>2988</v>
      </c>
      <c r="D817" s="1">
        <v>0.15384615957736969</v>
      </c>
      <c r="E817" t="s">
        <v>2987</v>
      </c>
    </row>
    <row r="818" spans="1:5" x14ac:dyDescent="0.2">
      <c r="A818" t="s">
        <v>2932</v>
      </c>
      <c r="B818" t="s">
        <v>2988</v>
      </c>
      <c r="C818" t="s">
        <v>2988</v>
      </c>
      <c r="D818" s="1">
        <v>0</v>
      </c>
      <c r="E818" t="s">
        <v>2987</v>
      </c>
    </row>
    <row r="819" spans="1:5" x14ac:dyDescent="0.2">
      <c r="A819" t="s">
        <v>2933</v>
      </c>
      <c r="B819" t="s">
        <v>1451</v>
      </c>
      <c r="C819" t="s">
        <v>1</v>
      </c>
      <c r="D819" s="1">
        <v>0.45161288976669312</v>
      </c>
      <c r="E819" t="s">
        <v>2987</v>
      </c>
    </row>
    <row r="820" spans="1:5" x14ac:dyDescent="0.2">
      <c r="A820" t="s">
        <v>2934</v>
      </c>
      <c r="B820" t="s">
        <v>1781</v>
      </c>
      <c r="C820" t="s">
        <v>1</v>
      </c>
      <c r="D820" s="1">
        <v>0.5</v>
      </c>
      <c r="E820" t="s">
        <v>2987</v>
      </c>
    </row>
    <row r="821" spans="1:5" x14ac:dyDescent="0.2">
      <c r="A821" t="s">
        <v>2935</v>
      </c>
      <c r="B821" t="s">
        <v>2988</v>
      </c>
      <c r="C821" t="s">
        <v>2988</v>
      </c>
      <c r="D821" s="1">
        <v>0.15384615957736969</v>
      </c>
      <c r="E821" t="s">
        <v>2987</v>
      </c>
    </row>
    <row r="822" spans="1:5" x14ac:dyDescent="0.2">
      <c r="A822" t="s">
        <v>2936</v>
      </c>
      <c r="B822" t="s">
        <v>1686</v>
      </c>
      <c r="C822" t="s">
        <v>1</v>
      </c>
      <c r="D822" s="1">
        <v>0.40909090638160706</v>
      </c>
      <c r="E822" t="s">
        <v>2987</v>
      </c>
    </row>
    <row r="823" spans="1:5" x14ac:dyDescent="0.2">
      <c r="A823" t="s">
        <v>2937</v>
      </c>
      <c r="B823" t="s">
        <v>2988</v>
      </c>
      <c r="C823" t="s">
        <v>2988</v>
      </c>
      <c r="D823" s="1">
        <v>0.15384615957736969</v>
      </c>
      <c r="E823" t="s">
        <v>2987</v>
      </c>
    </row>
    <row r="824" spans="1:5" x14ac:dyDescent="0.2">
      <c r="A824" t="s">
        <v>2938</v>
      </c>
      <c r="B824" t="s">
        <v>590</v>
      </c>
      <c r="C824" t="s">
        <v>0</v>
      </c>
      <c r="D824" s="1">
        <v>0.53846156597137451</v>
      </c>
      <c r="E824" t="s">
        <v>2987</v>
      </c>
    </row>
    <row r="825" spans="1:5" x14ac:dyDescent="0.2">
      <c r="A825" t="s">
        <v>2939</v>
      </c>
      <c r="B825" t="s">
        <v>1042</v>
      </c>
      <c r="C825" t="s">
        <v>0</v>
      </c>
      <c r="D825" s="1">
        <v>0.44999998807907104</v>
      </c>
      <c r="E825" t="s">
        <v>2987</v>
      </c>
    </row>
    <row r="826" spans="1:5" x14ac:dyDescent="0.2">
      <c r="A826" t="s">
        <v>2940</v>
      </c>
      <c r="B826" t="s">
        <v>1263</v>
      </c>
      <c r="C826" t="s">
        <v>1</v>
      </c>
      <c r="D826" s="1">
        <v>0.59459459781646729</v>
      </c>
      <c r="E826" t="s">
        <v>2987</v>
      </c>
    </row>
    <row r="827" spans="1:5" x14ac:dyDescent="0.2">
      <c r="A827" t="s">
        <v>2941</v>
      </c>
      <c r="B827" t="s">
        <v>424</v>
      </c>
      <c r="C827" t="s">
        <v>0</v>
      </c>
      <c r="D827" s="1">
        <v>0.4444444477558136</v>
      </c>
      <c r="E827" t="s">
        <v>2987</v>
      </c>
    </row>
    <row r="828" spans="1:5" x14ac:dyDescent="0.2">
      <c r="A828" t="s">
        <v>2942</v>
      </c>
      <c r="B828" t="s">
        <v>2988</v>
      </c>
      <c r="C828" t="s">
        <v>2988</v>
      </c>
      <c r="D828" s="1">
        <v>7.6923079788684845E-2</v>
      </c>
      <c r="E828" t="s">
        <v>2987</v>
      </c>
    </row>
    <row r="829" spans="1:5" x14ac:dyDescent="0.2">
      <c r="A829" t="s">
        <v>2943</v>
      </c>
      <c r="B829" t="s">
        <v>1654</v>
      </c>
      <c r="C829" t="s">
        <v>1</v>
      </c>
      <c r="D829" s="1">
        <v>0.3404255211353302</v>
      </c>
      <c r="E829" t="s">
        <v>2989</v>
      </c>
    </row>
    <row r="830" spans="1:5" x14ac:dyDescent="0.2">
      <c r="A830" t="s">
        <v>2944</v>
      </c>
      <c r="B830" t="s">
        <v>1915</v>
      </c>
      <c r="C830" t="s">
        <v>1</v>
      </c>
      <c r="D830" s="1">
        <v>0.53333336114883423</v>
      </c>
      <c r="E830" t="s">
        <v>2987</v>
      </c>
    </row>
    <row r="831" spans="1:5" x14ac:dyDescent="0.2">
      <c r="A831" t="s">
        <v>2945</v>
      </c>
      <c r="B831" t="s">
        <v>1541</v>
      </c>
      <c r="C831" t="s">
        <v>0</v>
      </c>
      <c r="D831" s="1">
        <v>0.37037035822868347</v>
      </c>
      <c r="E831" t="s">
        <v>2989</v>
      </c>
    </row>
    <row r="832" spans="1:5" x14ac:dyDescent="0.2">
      <c r="A832" t="s">
        <v>2946</v>
      </c>
      <c r="B832" t="s">
        <v>198</v>
      </c>
      <c r="C832" t="s">
        <v>0</v>
      </c>
      <c r="D832" s="1">
        <v>0.23076923191547394</v>
      </c>
      <c r="E832" t="s">
        <v>2989</v>
      </c>
    </row>
    <row r="833" spans="1:5" x14ac:dyDescent="0.2">
      <c r="A833" t="s">
        <v>2947</v>
      </c>
      <c r="B833" t="s">
        <v>2988</v>
      </c>
      <c r="C833" t="s">
        <v>2988</v>
      </c>
      <c r="D833" s="1">
        <v>7.6923079788684845E-2</v>
      </c>
      <c r="E833" t="s">
        <v>2987</v>
      </c>
    </row>
    <row r="834" spans="1:5" x14ac:dyDescent="0.2">
      <c r="A834" t="s">
        <v>2948</v>
      </c>
      <c r="B834" t="s">
        <v>2988</v>
      </c>
      <c r="C834" t="s">
        <v>2988</v>
      </c>
      <c r="D834" s="1">
        <v>7.6923079788684845E-2</v>
      </c>
      <c r="E834" t="s">
        <v>2987</v>
      </c>
    </row>
    <row r="835" spans="1:5" x14ac:dyDescent="0.2">
      <c r="A835" t="s">
        <v>2949</v>
      </c>
      <c r="B835" t="s">
        <v>2988</v>
      </c>
      <c r="C835" t="s">
        <v>2988</v>
      </c>
      <c r="D835" s="1">
        <v>0</v>
      </c>
      <c r="E835" t="s">
        <v>2987</v>
      </c>
    </row>
    <row r="836" spans="1:5" x14ac:dyDescent="0.2">
      <c r="A836" t="s">
        <v>2950</v>
      </c>
      <c r="B836" t="s">
        <v>1912</v>
      </c>
      <c r="C836" t="s">
        <v>1</v>
      </c>
      <c r="D836" s="1">
        <v>0.44999998807907104</v>
      </c>
      <c r="E836" t="s">
        <v>2987</v>
      </c>
    </row>
    <row r="837" spans="1:5" x14ac:dyDescent="0.2">
      <c r="A837" t="s">
        <v>2951</v>
      </c>
      <c r="B837" t="s">
        <v>1453</v>
      </c>
      <c r="C837" t="s">
        <v>1</v>
      </c>
      <c r="D837" s="1">
        <v>0.4375</v>
      </c>
      <c r="E837" t="s">
        <v>2987</v>
      </c>
    </row>
    <row r="838" spans="1:5" x14ac:dyDescent="0.2">
      <c r="A838" t="s">
        <v>2952</v>
      </c>
      <c r="B838" t="s">
        <v>2988</v>
      </c>
      <c r="C838" t="s">
        <v>2988</v>
      </c>
      <c r="D838" s="1">
        <v>4.8780485987663269E-2</v>
      </c>
      <c r="E838" t="s">
        <v>2987</v>
      </c>
    </row>
    <row r="839" spans="1:5" x14ac:dyDescent="0.2">
      <c r="A839" t="s">
        <v>2953</v>
      </c>
      <c r="B839" t="s">
        <v>1455</v>
      </c>
      <c r="C839" t="s">
        <v>1</v>
      </c>
      <c r="D839" s="1">
        <v>0.4375</v>
      </c>
      <c r="E839" t="s">
        <v>2987</v>
      </c>
    </row>
    <row r="840" spans="1:5" x14ac:dyDescent="0.2">
      <c r="A840" t="s">
        <v>2954</v>
      </c>
      <c r="B840" t="s">
        <v>1398</v>
      </c>
      <c r="C840" t="s">
        <v>0</v>
      </c>
      <c r="D840" s="1">
        <v>0.4285714328289032</v>
      </c>
      <c r="E840" t="s">
        <v>2987</v>
      </c>
    </row>
    <row r="841" spans="1:5" x14ac:dyDescent="0.2">
      <c r="A841" t="s">
        <v>2955</v>
      </c>
      <c r="B841" t="s">
        <v>2988</v>
      </c>
      <c r="C841" t="s">
        <v>2988</v>
      </c>
      <c r="D841" s="1">
        <v>0</v>
      </c>
      <c r="E841" t="s">
        <v>2987</v>
      </c>
    </row>
    <row r="842" spans="1:5" x14ac:dyDescent="0.2">
      <c r="A842" t="s">
        <v>2956</v>
      </c>
      <c r="B842" t="s">
        <v>1986</v>
      </c>
      <c r="C842" t="s">
        <v>1</v>
      </c>
      <c r="D842" s="1">
        <v>0.625</v>
      </c>
      <c r="E842" t="s">
        <v>2987</v>
      </c>
    </row>
    <row r="843" spans="1:5" x14ac:dyDescent="0.2">
      <c r="A843" t="s">
        <v>2957</v>
      </c>
      <c r="B843" t="s">
        <v>2022</v>
      </c>
      <c r="C843" t="s">
        <v>1</v>
      </c>
      <c r="D843" s="1">
        <v>0.58333331346511841</v>
      </c>
      <c r="E843" t="s">
        <v>2987</v>
      </c>
    </row>
    <row r="844" spans="1:5" x14ac:dyDescent="0.2">
      <c r="A844" t="s">
        <v>2958</v>
      </c>
      <c r="B844" t="s">
        <v>1334</v>
      </c>
      <c r="C844" t="s">
        <v>1</v>
      </c>
      <c r="D844" s="1">
        <v>0.40000000596046448</v>
      </c>
      <c r="E844" t="s">
        <v>2987</v>
      </c>
    </row>
    <row r="845" spans="1:5" x14ac:dyDescent="0.2">
      <c r="A845" t="s">
        <v>2959</v>
      </c>
      <c r="B845" t="s">
        <v>663</v>
      </c>
      <c r="C845" t="s">
        <v>1</v>
      </c>
      <c r="D845" s="1">
        <v>0.5517241358757019</v>
      </c>
      <c r="E845" t="s">
        <v>2987</v>
      </c>
    </row>
    <row r="846" spans="1:5" x14ac:dyDescent="0.2">
      <c r="A846" t="s">
        <v>2960</v>
      </c>
      <c r="B846" t="s">
        <v>141</v>
      </c>
      <c r="C846" t="s">
        <v>1</v>
      </c>
      <c r="D846" s="1">
        <v>0.58823531866073608</v>
      </c>
      <c r="E846" t="s">
        <v>2987</v>
      </c>
    </row>
    <row r="847" spans="1:5" x14ac:dyDescent="0.2">
      <c r="A847" t="s">
        <v>2961</v>
      </c>
      <c r="B847" t="s">
        <v>434</v>
      </c>
      <c r="C847" t="s">
        <v>0</v>
      </c>
      <c r="D847" s="1">
        <v>0.5</v>
      </c>
      <c r="E847" t="s">
        <v>2987</v>
      </c>
    </row>
    <row r="848" spans="1:5" x14ac:dyDescent="0.2">
      <c r="A848" t="s">
        <v>2962</v>
      </c>
      <c r="B848" t="s">
        <v>1972</v>
      </c>
      <c r="C848" t="s">
        <v>1</v>
      </c>
      <c r="D848" s="1">
        <v>0.5</v>
      </c>
      <c r="E848" t="s">
        <v>2987</v>
      </c>
    </row>
    <row r="849" spans="1:5" x14ac:dyDescent="0.2">
      <c r="A849" t="s">
        <v>2963</v>
      </c>
      <c r="B849" t="s">
        <v>1801</v>
      </c>
      <c r="C849" t="s">
        <v>1</v>
      </c>
      <c r="D849" s="1">
        <v>0.56000000238418579</v>
      </c>
      <c r="E849" t="s">
        <v>2987</v>
      </c>
    </row>
    <row r="850" spans="1:5" x14ac:dyDescent="0.2">
      <c r="A850" t="s">
        <v>2964</v>
      </c>
      <c r="B850" t="s">
        <v>2988</v>
      </c>
      <c r="C850" t="s">
        <v>2988</v>
      </c>
      <c r="D850" s="1">
        <v>0.125</v>
      </c>
      <c r="E850" t="s">
        <v>2987</v>
      </c>
    </row>
    <row r="851" spans="1:5" x14ac:dyDescent="0.2">
      <c r="A851" t="s">
        <v>2965</v>
      </c>
      <c r="B851" t="s">
        <v>1293</v>
      </c>
      <c r="C851" t="s">
        <v>0</v>
      </c>
      <c r="D851" s="1">
        <v>0.51219511032104492</v>
      </c>
      <c r="E851" t="s">
        <v>2987</v>
      </c>
    </row>
    <row r="852" spans="1:5" x14ac:dyDescent="0.2">
      <c r="A852" t="s">
        <v>2966</v>
      </c>
      <c r="B852" t="s">
        <v>784</v>
      </c>
      <c r="C852" t="s">
        <v>0</v>
      </c>
      <c r="D852" s="1">
        <v>0.47368422150611877</v>
      </c>
      <c r="E852" t="s">
        <v>2987</v>
      </c>
    </row>
    <row r="853" spans="1:5" x14ac:dyDescent="0.2">
      <c r="A853" t="s">
        <v>2967</v>
      </c>
      <c r="B853" t="s">
        <v>2988</v>
      </c>
      <c r="C853" t="s">
        <v>2988</v>
      </c>
      <c r="D853" s="1">
        <v>0</v>
      </c>
      <c r="E853" t="s">
        <v>2987</v>
      </c>
    </row>
    <row r="854" spans="1:5" x14ac:dyDescent="0.2">
      <c r="A854" t="s">
        <v>2968</v>
      </c>
      <c r="B854" t="s">
        <v>518</v>
      </c>
      <c r="C854" t="s">
        <v>0</v>
      </c>
      <c r="D854" s="1">
        <v>1</v>
      </c>
      <c r="E854" t="s">
        <v>2987</v>
      </c>
    </row>
    <row r="855" spans="1:5" x14ac:dyDescent="0.2">
      <c r="A855" t="s">
        <v>2969</v>
      </c>
      <c r="B855" t="s">
        <v>2988</v>
      </c>
      <c r="C855" t="s">
        <v>2988</v>
      </c>
      <c r="D855" s="1">
        <v>0.1428571492433548</v>
      </c>
      <c r="E855" t="s">
        <v>2987</v>
      </c>
    </row>
    <row r="856" spans="1:5" x14ac:dyDescent="0.2">
      <c r="A856" t="s">
        <v>2970</v>
      </c>
      <c r="B856" t="s">
        <v>2988</v>
      </c>
      <c r="C856" t="s">
        <v>2988</v>
      </c>
      <c r="D856" s="1">
        <v>0.1111111119389534</v>
      </c>
      <c r="E856" t="s">
        <v>2987</v>
      </c>
    </row>
    <row r="857" spans="1:5" x14ac:dyDescent="0.2">
      <c r="A857" t="s">
        <v>2971</v>
      </c>
      <c r="B857" t="s">
        <v>1988</v>
      </c>
      <c r="C857" t="s">
        <v>1</v>
      </c>
      <c r="D857" s="1">
        <v>0.84210526943206787</v>
      </c>
      <c r="E857" t="s">
        <v>2987</v>
      </c>
    </row>
    <row r="858" spans="1:5" x14ac:dyDescent="0.2">
      <c r="A858" t="s">
        <v>2972</v>
      </c>
      <c r="B858" t="s">
        <v>1988</v>
      </c>
      <c r="C858" t="s">
        <v>1</v>
      </c>
      <c r="D858" s="1">
        <v>0.90909093618392944</v>
      </c>
      <c r="E858" t="s">
        <v>2987</v>
      </c>
    </row>
    <row r="859" spans="1:5" x14ac:dyDescent="0.2">
      <c r="A859" t="s">
        <v>2973</v>
      </c>
      <c r="B859" t="s">
        <v>236</v>
      </c>
      <c r="C859" t="s">
        <v>0</v>
      </c>
      <c r="D859" s="1">
        <v>0.77777779102325439</v>
      </c>
      <c r="E859" t="s">
        <v>2987</v>
      </c>
    </row>
    <row r="860" spans="1:5" x14ac:dyDescent="0.2">
      <c r="A860" t="s">
        <v>2974</v>
      </c>
      <c r="B860" t="s">
        <v>1110</v>
      </c>
      <c r="C860" t="s">
        <v>1</v>
      </c>
      <c r="D860" s="1">
        <v>0.23684211075305939</v>
      </c>
      <c r="E860" t="s">
        <v>2989</v>
      </c>
    </row>
    <row r="861" spans="1:5" x14ac:dyDescent="0.2">
      <c r="A861" t="s">
        <v>2975</v>
      </c>
      <c r="B861" t="s">
        <v>1110</v>
      </c>
      <c r="C861" t="s">
        <v>1</v>
      </c>
      <c r="D861" s="1">
        <v>0.27777779102325439</v>
      </c>
      <c r="E861" t="s">
        <v>2989</v>
      </c>
    </row>
    <row r="862" spans="1:5" x14ac:dyDescent="0.2">
      <c r="A862" t="s">
        <v>2976</v>
      </c>
      <c r="B862" t="s">
        <v>240</v>
      </c>
      <c r="C862" t="s">
        <v>0</v>
      </c>
      <c r="D862" s="1">
        <v>0.47999998927116394</v>
      </c>
      <c r="E862" t="s">
        <v>2987</v>
      </c>
    </row>
    <row r="863" spans="1:5" x14ac:dyDescent="0.2">
      <c r="A863" t="s">
        <v>2977</v>
      </c>
      <c r="B863" t="s">
        <v>529</v>
      </c>
      <c r="C863" t="s">
        <v>1</v>
      </c>
      <c r="D863" s="1">
        <v>0.5517241358757019</v>
      </c>
      <c r="E863" t="s">
        <v>2987</v>
      </c>
    </row>
    <row r="864" spans="1:5" x14ac:dyDescent="0.2">
      <c r="A864" t="s">
        <v>2978</v>
      </c>
      <c r="B864" t="s">
        <v>2988</v>
      </c>
      <c r="C864" t="s">
        <v>2988</v>
      </c>
      <c r="D864" s="1">
        <v>0.25</v>
      </c>
      <c r="E864" t="s">
        <v>2987</v>
      </c>
    </row>
    <row r="865" spans="1:5" x14ac:dyDescent="0.2">
      <c r="A865" t="s">
        <v>2979</v>
      </c>
      <c r="B865" t="s">
        <v>949</v>
      </c>
      <c r="C865" t="s">
        <v>1</v>
      </c>
      <c r="D865" s="1">
        <v>0.51851850748062134</v>
      </c>
      <c r="E865" t="s">
        <v>2987</v>
      </c>
    </row>
    <row r="866" spans="1:5" x14ac:dyDescent="0.2">
      <c r="A866" t="s">
        <v>2980</v>
      </c>
      <c r="B866" t="s">
        <v>1007</v>
      </c>
      <c r="C866" t="s">
        <v>1</v>
      </c>
      <c r="D866" s="1">
        <v>0.66666668653488159</v>
      </c>
      <c r="E866" t="s">
        <v>2987</v>
      </c>
    </row>
    <row r="867" spans="1:5" x14ac:dyDescent="0.2">
      <c r="A867" t="s">
        <v>2981</v>
      </c>
      <c r="B867" t="s">
        <v>951</v>
      </c>
      <c r="C867" t="s">
        <v>1</v>
      </c>
      <c r="D867" s="1">
        <v>0.71111112833023071</v>
      </c>
      <c r="E867" t="s">
        <v>2987</v>
      </c>
    </row>
  </sheetData>
  <autoFilter ref="A1:E867" xr:uid="{F122DC0F-EACE-3D41-A309-74001F43F16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72453-2B2B-9D49-A6BA-3F0FEEDF83A0}">
  <sheetPr codeName="Sheet2"/>
  <dimension ref="A1:H2157"/>
  <sheetViews>
    <sheetView workbookViewId="0">
      <selection activeCell="D23" sqref="D1:H867"/>
    </sheetView>
  </sheetViews>
  <sheetFormatPr baseColWidth="10" defaultRowHeight="16" x14ac:dyDescent="0.2"/>
  <cols>
    <col min="1" max="1" width="58.83203125" bestFit="1" customWidth="1"/>
    <col min="2" max="2" width="58.83203125" customWidth="1"/>
    <col min="4" max="4" width="60.33203125" bestFit="1" customWidth="1"/>
    <col min="5" max="5" width="57.1640625" bestFit="1" customWidth="1"/>
    <col min="6" max="6" width="12.6640625" bestFit="1" customWidth="1"/>
    <col min="7" max="7" width="13" style="1" bestFit="1" customWidth="1"/>
    <col min="8" max="8" width="11.83203125" bestFit="1" customWidth="1"/>
  </cols>
  <sheetData>
    <row r="1" spans="1:8" x14ac:dyDescent="0.2">
      <c r="A1" t="s">
        <v>0</v>
      </c>
      <c r="B1" t="s">
        <v>2983</v>
      </c>
      <c r="D1" t="s">
        <v>2982</v>
      </c>
      <c r="E1" t="s">
        <v>2984</v>
      </c>
      <c r="F1" t="s">
        <v>2985</v>
      </c>
      <c r="G1" s="1" t="s">
        <v>2986</v>
      </c>
      <c r="H1" t="s">
        <v>2990</v>
      </c>
    </row>
    <row r="2" spans="1:8" x14ac:dyDescent="0.2">
      <c r="A2" t="s">
        <v>2</v>
      </c>
      <c r="B2" t="s">
        <v>0</v>
      </c>
      <c r="D2" t="s">
        <v>2118</v>
      </c>
      <c r="E2" t="str" cm="1">
        <f t="array" ref="E2">IF(COUNTIF(A:A, "*" &amp; LEFT(D2, FIND(" ", D2 &amp; " ") - 1) &amp; "*") &gt; 0,INDEX(A:A,FuzzyVLookup(D2,A:A,0,,,2)),"Non-PDL")</f>
        <v>ABILIFY (aripiprazole)</v>
      </c>
      <c r="F2" t="str">
        <f>_xlfn.IFNA(_xlfn.XLOOKUP(E2,A:A,B:B),"Non-PDL")</f>
        <v>Non-Preferred</v>
      </c>
      <c r="G2" s="1" cm="1">
        <f t="array" ref="G2">FuzzyPercent(D2,E2,2)</f>
        <v>0.2950819730758667</v>
      </c>
      <c r="H2" t="str" cm="1">
        <f t="array" ref="H2">IF(F2="Non-PDL","",IF(FuzzyPercent(D2,E2,2)&lt;0.4,"CHECK",""))</f>
        <v>CHECK</v>
      </c>
    </row>
    <row r="3" spans="1:8" x14ac:dyDescent="0.2">
      <c r="A3" t="s">
        <v>4</v>
      </c>
      <c r="B3" t="s">
        <v>0</v>
      </c>
      <c r="D3" t="s">
        <v>2119</v>
      </c>
      <c r="E3" t="str" cm="1">
        <f t="array" ref="E3">IF(COUNTIF(A:A, "*" &amp; LEFT(D3, FIND(" ", D3 &amp; " ") - 1) &amp; "*") &gt; 0,INDEX(A:A,FuzzyVLookup(D3,A:A,0,,,2)),"Non-PDL")</f>
        <v>ABILIFY MYCITE (aripiprazole)</v>
      </c>
      <c r="F3" t="str">
        <f t="shared" ref="F3:F66" si="0">_xlfn.IFNA(_xlfn.XLOOKUP(E3,A:A,B:B),"Non-PDL")</f>
        <v>Non-Preferred</v>
      </c>
      <c r="G3" s="1" cm="1">
        <f t="array" ref="G3">FuzzyPercent(D3,E3,2)</f>
        <v>0.53465348482131958</v>
      </c>
      <c r="H3" t="str" cm="1">
        <f t="array" ref="H3">IF(F3="Non-PDL","",IF(FuzzyPercent(D3,E3,2)&lt;0.4,"CHECK",""))</f>
        <v/>
      </c>
    </row>
    <row r="4" spans="1:8" x14ac:dyDescent="0.2">
      <c r="A4" t="s">
        <v>6</v>
      </c>
      <c r="B4" t="s">
        <v>0</v>
      </c>
      <c r="D4" t="s">
        <v>2120</v>
      </c>
      <c r="E4" t="str" cm="1">
        <f t="array" ref="E4">IF(COUNTIF(A:A, "*" &amp; LEFT(D4, FIND(" ", D4 &amp; " ") - 1) &amp; "*") &gt; 0,INDEX(A:A,FuzzyVLookup(D4,A:A,0,,,2)),"Non-PDL")</f>
        <v>ABILIFY ASIMTUFII (aripiprazole)</v>
      </c>
      <c r="F4" t="str">
        <f t="shared" si="0"/>
        <v>Preferred</v>
      </c>
      <c r="G4" s="1" cm="1">
        <f t="array" ref="G4">FuzzyPercent(D4,E4,2)</f>
        <v>0.57377046346664429</v>
      </c>
      <c r="H4" t="str" cm="1">
        <f t="array" ref="H4">IF(F4="Non-PDL","",IF(FuzzyPercent(D4,E4,2)&lt;0.4,"CHECK",""))</f>
        <v/>
      </c>
    </row>
    <row r="5" spans="1:8" x14ac:dyDescent="0.2">
      <c r="A5" t="s">
        <v>8</v>
      </c>
      <c r="B5" t="s">
        <v>0</v>
      </c>
      <c r="D5" t="s">
        <v>2121</v>
      </c>
      <c r="E5" t="str" cm="1">
        <f t="array" ref="E5">IF(COUNTIF(A:A, "*" &amp; LEFT(D5, FIND(" ", D5 &amp; " ") - 1) &amp; "*") &gt; 0,INDEX(A:A,FuzzyVLookup(D5,A:A,0,,,2)),"Non-PDL")</f>
        <v>ABILIFY MAINTENA (aripiprazole)</v>
      </c>
      <c r="F5" t="str">
        <f t="shared" si="0"/>
        <v>Preferred</v>
      </c>
      <c r="G5" s="1" cm="1">
        <f t="array" ref="G5">FuzzyPercent(D5,E5,2)</f>
        <v>0.58620691299438477</v>
      </c>
      <c r="H5" t="str" cm="1">
        <f t="array" ref="H5">IF(F5="Non-PDL","",IF(FuzzyPercent(D5,E5,2)&lt;0.4,"CHECK",""))</f>
        <v/>
      </c>
    </row>
    <row r="6" spans="1:8" x14ac:dyDescent="0.2">
      <c r="A6" t="s">
        <v>10</v>
      </c>
      <c r="B6" t="s">
        <v>0</v>
      </c>
      <c r="D6" t="s">
        <v>2122</v>
      </c>
      <c r="E6" t="str" cm="1">
        <f t="array" ref="E6">IF(COUNTIF(A:A, "*" &amp; LEFT(D6, FIND(" ", D6 &amp; " ") - 1) &amp; "*") &gt; 0,INDEX(A:A,FuzzyVLookup(D6,A:A,0,,,2)),"Non-PDL")</f>
        <v>Non-PDL</v>
      </c>
      <c r="F6" t="str">
        <f t="shared" si="0"/>
        <v>Non-PDL</v>
      </c>
      <c r="G6" s="1" cm="1">
        <f t="array" ref="G6">FuzzyPercent(D6,E6,2)</f>
        <v>0</v>
      </c>
      <c r="H6" t="str" cm="1">
        <f t="array" ref="H6">IF(F6="Non-PDL","",IF(FuzzyPercent(D6,E6,2)&lt;0.4,"CHECK",""))</f>
        <v/>
      </c>
    </row>
    <row r="7" spans="1:8" x14ac:dyDescent="0.2">
      <c r="A7" t="s">
        <v>12</v>
      </c>
      <c r="B7" t="s">
        <v>0</v>
      </c>
      <c r="D7" t="s">
        <v>2123</v>
      </c>
      <c r="E7" t="str" cm="1">
        <f t="array" ref="E7">IF(COUNTIF(A:A, "*" &amp; LEFT(D7, FIND(" ", D7 &amp; " ") - 1) &amp; "*") &gt; 0,INDEX(A:A,FuzzyVLookup(D7,A:A,0,,,2)),"Non-PDL")</f>
        <v>Non-PDL</v>
      </c>
      <c r="F7" t="str">
        <f t="shared" si="0"/>
        <v>Non-PDL</v>
      </c>
      <c r="G7" s="1" cm="1">
        <f t="array" ref="G7">FuzzyPercent(D7,E7,2)</f>
        <v>0</v>
      </c>
      <c r="H7" t="str" cm="1">
        <f t="array" ref="H7">IF(F7="Non-PDL","",IF(FuzzyPercent(D7,E7,2)&lt;0.4,"CHECK",""))</f>
        <v/>
      </c>
    </row>
    <row r="8" spans="1:8" x14ac:dyDescent="0.2">
      <c r="A8" t="s">
        <v>14</v>
      </c>
      <c r="B8" t="s">
        <v>0</v>
      </c>
      <c r="D8" t="s">
        <v>2124</v>
      </c>
      <c r="E8" t="str" cm="1">
        <f t="array" ref="E8">IF(COUNTIF(A:A, "*" &amp; LEFT(D8, FIND(" ", D8 &amp; " ") - 1) &amp; "*") &gt; 0,INDEX(A:A,FuzzyVLookup(D8,A:A,0,,,2)),"Non-PDL")</f>
        <v>Non-PDL</v>
      </c>
      <c r="F8" t="str">
        <f t="shared" si="0"/>
        <v>Non-PDL</v>
      </c>
      <c r="G8" s="1" cm="1">
        <f t="array" ref="G8">FuzzyPercent(D8,E8,2)</f>
        <v>0</v>
      </c>
      <c r="H8" t="str" cm="1">
        <f t="array" ref="H8">IF(F8="Non-PDL","",IF(FuzzyPercent(D8,E8,2)&lt;0.4,"CHECK",""))</f>
        <v/>
      </c>
    </row>
    <row r="9" spans="1:8" x14ac:dyDescent="0.2">
      <c r="A9" t="s">
        <v>16</v>
      </c>
      <c r="B9" t="s">
        <v>0</v>
      </c>
      <c r="D9" t="s">
        <v>2125</v>
      </c>
      <c r="E9" t="str" cm="1">
        <f t="array" ref="E9">IF(COUNTIF(A:A, "*" &amp; LEFT(D9, FIND(" ", D9 &amp; " ") - 1) &amp; "*") &gt; 0,INDEX(A:A,FuzzyVLookup(D9,A:A,0,,,2)),"Non-PDL")</f>
        <v>Non-PDL</v>
      </c>
      <c r="F9" t="str">
        <f t="shared" si="0"/>
        <v>Non-PDL</v>
      </c>
      <c r="G9" s="1" cm="1">
        <f t="array" ref="G9">FuzzyPercent(D9,E9,2)</f>
        <v>0</v>
      </c>
      <c r="H9" t="str" cm="1">
        <f t="array" ref="H9">IF(F9="Non-PDL","",IF(FuzzyPercent(D9,E9,2)&lt;0.4,"CHECK",""))</f>
        <v/>
      </c>
    </row>
    <row r="10" spans="1:8" x14ac:dyDescent="0.2">
      <c r="A10" t="s">
        <v>18</v>
      </c>
      <c r="B10" t="s">
        <v>0</v>
      </c>
      <c r="D10" t="s">
        <v>2126</v>
      </c>
      <c r="E10" t="str" cm="1">
        <f t="array" ref="E10">IF(COUNTIF(A:A, "*" &amp; LEFT(D10, FIND(" ", D10 &amp; " ") - 1) &amp; "*") &gt; 0,INDEX(A:A,FuzzyVLookup(D10,A:A,0,,,2)),"Non-PDL")</f>
        <v>ADAKVEO (crizanlizumab-tmca)</v>
      </c>
      <c r="F10" t="str">
        <f t="shared" si="0"/>
        <v>Non-Preferred</v>
      </c>
      <c r="G10" s="1" cm="1">
        <f t="array" ref="G10">FuzzyPercent(D10,E10,2)</f>
        <v>0.21951219439506531</v>
      </c>
      <c r="H10" t="str" cm="1">
        <f t="array" ref="H10">IF(F10="Non-PDL","",IF(FuzzyPercent(D10,E10,2)&lt;0.4,"CHECK",""))</f>
        <v>CHECK</v>
      </c>
    </row>
    <row r="11" spans="1:8" x14ac:dyDescent="0.2">
      <c r="A11" t="s">
        <v>20</v>
      </c>
      <c r="B11" t="s">
        <v>0</v>
      </c>
      <c r="D11" t="s">
        <v>2127</v>
      </c>
      <c r="E11" t="str" cm="1">
        <f t="array" ref="E11">IF(COUNTIF(A:A, "*" &amp; LEFT(D11, FIND(" ", D11 &amp; " ") - 1) &amp; "*") &gt; 0,INDEX(A:A,FuzzyVLookup(D11,A:A,0,,,2)),"Non-PDL")</f>
        <v>adalimumab-adaz</v>
      </c>
      <c r="F11" t="str">
        <f t="shared" si="0"/>
        <v>Non-Preferred</v>
      </c>
      <c r="G11" s="1" cm="1">
        <f t="array" ref="G11">FuzzyPercent(D11,E11,2)</f>
        <v>1</v>
      </c>
      <c r="H11" t="str" cm="1">
        <f t="array" ref="H11">IF(F11="Non-PDL","",IF(FuzzyPercent(D11,E11,2)&lt;0.4,"CHECK",""))</f>
        <v/>
      </c>
    </row>
    <row r="12" spans="1:8" x14ac:dyDescent="0.2">
      <c r="A12" t="s">
        <v>22</v>
      </c>
      <c r="B12" t="s">
        <v>0</v>
      </c>
      <c r="D12" t="s">
        <v>2128</v>
      </c>
      <c r="E12" t="str" cm="1">
        <f t="array" ref="E12">IF(COUNTIF(A:A, "*" &amp; LEFT(D12, FIND(" ", D12 &amp; " ") - 1) &amp; "*") &gt; 0,INDEX(A:A,FuzzyVLookup(D12,A:A,0,,,2)),"Non-PDL")</f>
        <v>adalimumab-adbm</v>
      </c>
      <c r="F12" t="str">
        <f t="shared" si="0"/>
        <v>Non-Preferred</v>
      </c>
      <c r="G12" s="1" cm="1">
        <f t="array" ref="G12">FuzzyPercent(D12,E12,2)</f>
        <v>0.40540540218353271</v>
      </c>
      <c r="H12" t="str" cm="1">
        <f t="array" ref="H12">IF(F12="Non-PDL","",IF(FuzzyPercent(D12,E12,2)&lt;0.4,"CHECK",""))</f>
        <v/>
      </c>
    </row>
    <row r="13" spans="1:8" x14ac:dyDescent="0.2">
      <c r="A13" t="s">
        <v>24</v>
      </c>
      <c r="B13" t="s">
        <v>0</v>
      </c>
      <c r="D13" t="s">
        <v>2129</v>
      </c>
      <c r="E13" t="str" cm="1">
        <f t="array" ref="E13">IF(COUNTIF(A:A, "*" &amp; LEFT(D13, FIND(" ", D13 &amp; " ") - 1) &amp; "*") &gt; 0,INDEX(A:A,FuzzyVLookup(D13,A:A,0,,,2)),"Non-PDL")</f>
        <v>adalimumab-adbm</v>
      </c>
      <c r="F13" t="str">
        <f t="shared" si="0"/>
        <v>Non-Preferred</v>
      </c>
      <c r="G13" s="1" cm="1">
        <f t="array" ref="G13">FuzzyPercent(D13,E13,2)</f>
        <v>0.3333333432674408</v>
      </c>
      <c r="H13" t="str" cm="1">
        <f t="array" ref="H13">IF(F13="Non-PDL","",IF(FuzzyPercent(D13,E13,2)&lt;0.4,"CHECK",""))</f>
        <v>CHECK</v>
      </c>
    </row>
    <row r="14" spans="1:8" x14ac:dyDescent="0.2">
      <c r="A14" t="s">
        <v>26</v>
      </c>
      <c r="B14" t="s">
        <v>0</v>
      </c>
      <c r="D14" t="s">
        <v>2130</v>
      </c>
      <c r="E14" t="str" cm="1">
        <f t="array" ref="E14">IF(COUNTIF(A:A, "*" &amp; LEFT(D14, FIND(" ", D14 &amp; " ") - 1) &amp; "*") &gt; 0,INDEX(A:A,FuzzyVLookup(D14,A:A,0,,,2)),"Non-PDL")</f>
        <v>adalimumab-fkjp</v>
      </c>
      <c r="F14" t="str">
        <f t="shared" si="0"/>
        <v>Non-Preferred</v>
      </c>
      <c r="G14" s="1" cm="1">
        <f t="array" ref="G14">FuzzyPercent(D14,E14,2)</f>
        <v>0.40540540218353271</v>
      </c>
      <c r="H14" t="str" cm="1">
        <f t="array" ref="H14">IF(F14="Non-PDL","",IF(FuzzyPercent(D14,E14,2)&lt;0.4,"CHECK",""))</f>
        <v/>
      </c>
    </row>
    <row r="15" spans="1:8" x14ac:dyDescent="0.2">
      <c r="A15" t="s">
        <v>28</v>
      </c>
      <c r="B15" t="s">
        <v>0</v>
      </c>
      <c r="D15" t="s">
        <v>2131</v>
      </c>
      <c r="E15" t="str" cm="1">
        <f t="array" ref="E15">IF(COUNTIF(A:A, "*" &amp; LEFT(D15, FIND(" ", D15 &amp; " ") - 1) &amp; "*") &gt; 0,INDEX(A:A,FuzzyVLookup(D15,A:A,0,,,2)),"Non-PDL")</f>
        <v>adalimumab-fkjp</v>
      </c>
      <c r="F15" t="str">
        <f t="shared" si="0"/>
        <v>Non-Preferred</v>
      </c>
      <c r="G15" s="1" cm="1">
        <f t="array" ref="G15">FuzzyPercent(D15,E15,2)</f>
        <v>0.3333333432674408</v>
      </c>
      <c r="H15" t="str" cm="1">
        <f t="array" ref="H15">IF(F15="Non-PDL","",IF(FuzzyPercent(D15,E15,2)&lt;0.4,"CHECK",""))</f>
        <v>CHECK</v>
      </c>
    </row>
    <row r="16" spans="1:8" x14ac:dyDescent="0.2">
      <c r="A16" t="s">
        <v>30</v>
      </c>
      <c r="B16" t="s">
        <v>0</v>
      </c>
      <c r="D16" t="s">
        <v>2132</v>
      </c>
      <c r="E16" t="str" cm="1">
        <f t="array" ref="E16">IF(COUNTIF(A:A, "*" &amp; LEFT(D16, FIND(" ", D16 &amp; " ") - 1) &amp; "*") &gt; 0,INDEX(A:A,FuzzyVLookup(D16,A:A,0,,,2)),"Non-PDL")</f>
        <v>ADVATE</v>
      </c>
      <c r="F16" t="str">
        <f t="shared" si="0"/>
        <v>Preferred</v>
      </c>
      <c r="G16" s="1" cm="1">
        <f t="array" ref="G16">FuzzyPercent(D16,E16,2)</f>
        <v>0.15384615957736969</v>
      </c>
      <c r="H16" t="str" cm="1">
        <f t="array" ref="H16">IF(F16="Non-PDL","",IF(FuzzyPercent(D16,E16,2)&lt;0.4,"CHECK",""))</f>
        <v>CHECK</v>
      </c>
    </row>
    <row r="17" spans="1:8" x14ac:dyDescent="0.2">
      <c r="A17" t="s">
        <v>32</v>
      </c>
      <c r="B17" t="s">
        <v>0</v>
      </c>
      <c r="D17" t="s">
        <v>2133</v>
      </c>
      <c r="E17" t="str" cm="1">
        <f t="array" ref="E17">IF(COUNTIF(A:A, "*" &amp; LEFT(D17, FIND(" ", D17 &amp; " ") - 1) &amp; "*") &gt; 0,INDEX(A:A,FuzzyVLookup(D17,A:A,0,,,2)),"Non-PDL")</f>
        <v>ADCIRCA (tadalafil)</v>
      </c>
      <c r="F17" t="str">
        <f t="shared" si="0"/>
        <v>Non-Preferred</v>
      </c>
      <c r="G17" s="1" cm="1">
        <f t="array" ref="G17">FuzzyPercent(D17,E17,2)</f>
        <v>0.36000001430511475</v>
      </c>
      <c r="H17" t="str" cm="1">
        <f t="array" ref="H17">IF(F17="Non-PDL","",IF(FuzzyPercent(D17,E17,2)&lt;0.4,"CHECK",""))</f>
        <v>CHECK</v>
      </c>
    </row>
    <row r="18" spans="1:8" x14ac:dyDescent="0.2">
      <c r="A18" t="s">
        <v>34</v>
      </c>
      <c r="B18" t="s">
        <v>0</v>
      </c>
      <c r="D18" t="s">
        <v>2134</v>
      </c>
      <c r="E18" t="str" cm="1">
        <f t="array" ref="E18">IF(COUNTIF(A:A, "*" &amp; LEFT(D18, FIND(" ", D18 &amp; " ") - 1) &amp; "*") &gt; 0,INDEX(A:A,FuzzyVLookup(D18,A:A,0,,,2)),"Non-PDL")</f>
        <v>venlafaxine ER capsule</v>
      </c>
      <c r="F18" t="str">
        <f t="shared" si="0"/>
        <v>Preferred</v>
      </c>
      <c r="G18" s="1" cm="1">
        <f t="array" ref="G18">FuzzyPercent(D18,E18,2)</f>
        <v>0.25</v>
      </c>
      <c r="H18" t="str" cm="1">
        <f t="array" ref="H18">IF(F18="Non-PDL","",IF(FuzzyPercent(D18,E18,2)&lt;0.4,"CHECK",""))</f>
        <v>CHECK</v>
      </c>
    </row>
    <row r="19" spans="1:8" x14ac:dyDescent="0.2">
      <c r="A19" t="s">
        <v>36</v>
      </c>
      <c r="B19" t="s">
        <v>0</v>
      </c>
      <c r="D19" t="s">
        <v>2135</v>
      </c>
      <c r="E19" t="str" cm="1">
        <f t="array" ref="E19">IF(COUNTIF(A:A, "*" &amp; LEFT(D19, FIND(" ", D19 &amp; " ") - 1) &amp; "*") &gt; 0,INDEX(A:A,FuzzyVLookup(D19,A:A,0,,,2)),"Non-PDL")</f>
        <v>ADEMPAS (riociguat)</v>
      </c>
      <c r="F19" t="str">
        <f t="shared" si="0"/>
        <v>Non-Preferred</v>
      </c>
      <c r="G19" s="1" cm="1">
        <f t="array" ref="G19">FuzzyPercent(D19,E19,2)</f>
        <v>0.36000001430511475</v>
      </c>
      <c r="H19" t="str" cm="1">
        <f t="array" ref="H19">IF(F19="Non-PDL","",IF(FuzzyPercent(D19,E19,2)&lt;0.4,"CHECK",""))</f>
        <v>CHECK</v>
      </c>
    </row>
    <row r="20" spans="1:8" x14ac:dyDescent="0.2">
      <c r="A20" t="s">
        <v>38</v>
      </c>
      <c r="B20" t="s">
        <v>0</v>
      </c>
      <c r="D20" t="s">
        <v>2136</v>
      </c>
      <c r="E20" t="str" cm="1">
        <f t="array" ref="E20">IF(COUNTIF(A:A, "*" &amp; LEFT(D20, FIND(" ", D20 &amp; " ") - 1) &amp; "*") &gt; 0,INDEX(A:A,FuzzyVLookup(D20,A:A,0,,,2)),"Non-PDL")</f>
        <v>Non-PDL</v>
      </c>
      <c r="F20" t="str">
        <f t="shared" si="0"/>
        <v>Non-PDL</v>
      </c>
      <c r="G20" s="1" cm="1">
        <f t="array" ref="G20">FuzzyPercent(D20,E20,2)</f>
        <v>0</v>
      </c>
      <c r="H20" t="str" cm="1">
        <f t="array" ref="H20">IF(F20="Non-PDL","",IF(FuzzyPercent(D20,E20,2)&lt;0.4,"CHECK",""))</f>
        <v/>
      </c>
    </row>
    <row r="21" spans="1:8" x14ac:dyDescent="0.2">
      <c r="A21" t="s">
        <v>40</v>
      </c>
      <c r="B21" t="s">
        <v>0</v>
      </c>
      <c r="D21" t="s">
        <v>2137</v>
      </c>
      <c r="E21" t="str" cm="1">
        <f t="array" ref="E21">IF(COUNTIF(A:A, "*" &amp; LEFT(D21, FIND(" ", D21 &amp; " ") - 1) &amp; "*") &gt; 0,INDEX(A:A,FuzzyVLookup(D21,A:A,0,,,2)),"Non-PDL")</f>
        <v>ADMELOG (insulin lispro)</v>
      </c>
      <c r="F21" t="str">
        <f t="shared" si="0"/>
        <v>Non-Preferred</v>
      </c>
      <c r="G21" s="1" cm="1">
        <f t="array" ref="G21">FuzzyPercent(D21,E21,2)</f>
        <v>0.26086956262588501</v>
      </c>
      <c r="H21" t="str" cm="1">
        <f t="array" ref="H21">IF(F21="Non-PDL","",IF(FuzzyPercent(D21,E21,2)&lt;0.4,"CHECK",""))</f>
        <v>CHECK</v>
      </c>
    </row>
    <row r="22" spans="1:8" x14ac:dyDescent="0.2">
      <c r="A22" t="s">
        <v>42</v>
      </c>
      <c r="B22" t="s">
        <v>0</v>
      </c>
      <c r="D22" t="s">
        <v>2138</v>
      </c>
      <c r="E22" t="str" cm="1">
        <f t="array" ref="E22">IF(COUNTIF(A:A, "*" &amp; LEFT(D22, FIND(" ", D22 &amp; " ") - 1) &amp; "*") &gt; 0,INDEX(A:A,FuzzyVLookup(D22,A:A,0,,,2)),"Non-PDL")</f>
        <v>ADMELOG (insulin lispro)</v>
      </c>
      <c r="F22" t="str">
        <f t="shared" si="0"/>
        <v>Non-Preferred</v>
      </c>
      <c r="G22" s="1" cm="1">
        <f t="array" ref="G22">FuzzyPercent(D22,E22,2)</f>
        <v>0.25531914830207825</v>
      </c>
      <c r="H22" t="str" cm="1">
        <f t="array" ref="H22">IF(F22="Non-PDL","",IF(FuzzyPercent(D22,E22,2)&lt;0.4,"CHECK",""))</f>
        <v>CHECK</v>
      </c>
    </row>
    <row r="23" spans="1:8" x14ac:dyDescent="0.2">
      <c r="A23" t="s">
        <v>44</v>
      </c>
      <c r="B23" t="s">
        <v>0</v>
      </c>
      <c r="D23" t="s">
        <v>2139</v>
      </c>
      <c r="E23" t="str" cm="1">
        <f t="array" ref="E23">IF(COUNTIF(A:A, "*" &amp; LEFT(D23, FIND(" ", D23 &amp; " ") - 1) &amp; "*") &gt; 0,INDEX(A:A,FuzzyVLookup(D23,A:A,0,,,2)),"Non-PDL")</f>
        <v>Non-PDL</v>
      </c>
      <c r="F23" t="str">
        <f t="shared" si="0"/>
        <v>Non-PDL</v>
      </c>
      <c r="G23" s="1" cm="1">
        <f t="array" ref="G23">FuzzyPercent(D23,E23,2)</f>
        <v>0</v>
      </c>
      <c r="H23" t="str" cm="1">
        <f t="array" ref="H23">IF(F23="Non-PDL","",IF(FuzzyPercent(D23,E23,2)&lt;0.4,"CHECK",""))</f>
        <v/>
      </c>
    </row>
    <row r="24" spans="1:8" x14ac:dyDescent="0.2">
      <c r="A24" t="s">
        <v>46</v>
      </c>
      <c r="B24" t="s">
        <v>0</v>
      </c>
      <c r="D24" t="s">
        <v>2140</v>
      </c>
      <c r="E24" t="str" cm="1">
        <f t="array" ref="E24">IF(COUNTIF(A:A, "*" &amp; LEFT(D24, FIND(" ", D24 &amp; " ") - 1) &amp; "*") &gt; 0,INDEX(A:A,FuzzyVLookup(D24,A:A,0,,,2)),"Non-PDL")</f>
        <v>Non-PDL</v>
      </c>
      <c r="F24" t="str">
        <f t="shared" si="0"/>
        <v>Non-PDL</v>
      </c>
      <c r="G24" s="1" cm="1">
        <f t="array" ref="G24">FuzzyPercent(D24,E24,2)</f>
        <v>0</v>
      </c>
      <c r="H24" t="str" cm="1">
        <f t="array" ref="H24">IF(F24="Non-PDL","",IF(FuzzyPercent(D24,E24,2)&lt;0.4,"CHECK",""))</f>
        <v/>
      </c>
    </row>
    <row r="25" spans="1:8" x14ac:dyDescent="0.2">
      <c r="A25" t="s">
        <v>48</v>
      </c>
      <c r="B25" t="s">
        <v>0</v>
      </c>
      <c r="D25" t="s">
        <v>2141</v>
      </c>
      <c r="E25" t="str" cm="1">
        <f t="array" ref="E25">IF(COUNTIF(A:A, "*" &amp; LEFT(D25, FIND(" ", D25 &amp; " ") - 1) &amp; "*") &gt; 0,INDEX(A:A,FuzzyVLookup(D25,A:A,0,,,2)),"Non-PDL")</f>
        <v>fluticasone diskus</v>
      </c>
      <c r="F25" t="str">
        <f t="shared" si="0"/>
        <v>Non-Preferred</v>
      </c>
      <c r="G25" s="1" cm="1">
        <f t="array" ref="G25">FuzzyPercent(D25,E25,2)</f>
        <v>0.21875</v>
      </c>
      <c r="H25" t="str" cm="1">
        <f t="array" ref="H25">IF(F25="Non-PDL","",IF(FuzzyPercent(D25,E25,2)&lt;0.4,"CHECK",""))</f>
        <v>CHECK</v>
      </c>
    </row>
    <row r="26" spans="1:8" x14ac:dyDescent="0.2">
      <c r="A26" t="s">
        <v>50</v>
      </c>
      <c r="B26" t="s">
        <v>0</v>
      </c>
      <c r="D26" t="s">
        <v>2142</v>
      </c>
      <c r="E26" t="str" cm="1">
        <f t="array" ref="E26">IF(COUNTIF(A:A, "*" &amp; LEFT(D26, FIND(" ", D26 &amp; " ") - 1) &amp; "*") &gt; 0,INDEX(A:A,FuzzyVLookup(D26,A:A,0,,,2)),"Non-PDL")</f>
        <v>ADVAIR HFA (fluticasone/salmeterol)</v>
      </c>
      <c r="F26" t="str">
        <f t="shared" si="0"/>
        <v>Preferred</v>
      </c>
      <c r="G26" s="1" cm="1">
        <f t="array" ref="G26">FuzzyPercent(D26,E26,2)</f>
        <v>0.30088496208190918</v>
      </c>
      <c r="H26" t="str" cm="1">
        <f t="array" ref="H26">IF(F26="Non-PDL","",IF(FuzzyPercent(D26,E26,2)&lt;0.4,"CHECK",""))</f>
        <v>CHECK</v>
      </c>
    </row>
    <row r="27" spans="1:8" x14ac:dyDescent="0.2">
      <c r="A27" t="s">
        <v>52</v>
      </c>
      <c r="B27" t="s">
        <v>0</v>
      </c>
      <c r="D27" t="s">
        <v>2143</v>
      </c>
      <c r="E27" t="str" cm="1">
        <f t="array" ref="E27">IF(COUNTIF(A:A, "*" &amp; LEFT(D27, FIND(" ", D27 &amp; " ") - 1) &amp; "*") &gt; 0,INDEX(A:A,FuzzyVLookup(D27,A:A,0,,,2)),"Non-PDL")</f>
        <v>ADVATE</v>
      </c>
      <c r="F27" t="str">
        <f t="shared" si="0"/>
        <v>Preferred</v>
      </c>
      <c r="G27" s="1" cm="1">
        <f t="array" ref="G27">FuzzyPercent(D27,E27,2)</f>
        <v>1</v>
      </c>
      <c r="H27" t="str" cm="1">
        <f t="array" ref="H27">IF(F27="Non-PDL","",IF(FuzzyPercent(D27,E27,2)&lt;0.4,"CHECK",""))</f>
        <v/>
      </c>
    </row>
    <row r="28" spans="1:8" x14ac:dyDescent="0.2">
      <c r="A28" t="s">
        <v>54</v>
      </c>
      <c r="B28" t="s">
        <v>0</v>
      </c>
      <c r="D28" t="s">
        <v>2144</v>
      </c>
      <c r="E28" t="str" cm="1">
        <f t="array" ref="E28">IF(COUNTIF(A:A, "*" &amp; LEFT(D28, FIND(" ", D28 &amp; " ") - 1) &amp; "*") &gt; 0,INDEX(A:A,FuzzyVLookup(D28,A:A,0,,,2)),"Non-PDL")</f>
        <v>ADYNOVATE</v>
      </c>
      <c r="F28" t="str">
        <f t="shared" si="0"/>
        <v>Non-Preferred</v>
      </c>
      <c r="G28" s="1" cm="1">
        <f t="array" ref="G28">FuzzyPercent(D28,E28,2)</f>
        <v>1</v>
      </c>
      <c r="H28" t="str" cm="1">
        <f t="array" ref="H28">IF(F28="Non-PDL","",IF(FuzzyPercent(D28,E28,2)&lt;0.4,"CHECK",""))</f>
        <v/>
      </c>
    </row>
    <row r="29" spans="1:8" x14ac:dyDescent="0.2">
      <c r="A29" t="s">
        <v>56</v>
      </c>
      <c r="B29" t="s">
        <v>0</v>
      </c>
      <c r="D29" t="s">
        <v>2145</v>
      </c>
      <c r="E29" t="str" cm="1">
        <f t="array" ref="E29">IF(COUNTIF(A:A, "*" &amp; LEFT(D29, FIND(" ", D29 &amp; " ") - 1) &amp; "*") &gt; 0,INDEX(A:A,FuzzyVLookup(D29,A:A,0,,,2)),"Non-PDL")</f>
        <v>AFSTYLA</v>
      </c>
      <c r="F29" t="str">
        <f t="shared" si="0"/>
        <v>Preferred</v>
      </c>
      <c r="G29" s="1" cm="1">
        <f t="array" ref="G29">FuzzyPercent(D29,E29,2)</f>
        <v>1</v>
      </c>
      <c r="H29" t="str" cm="1">
        <f t="array" ref="H29">IF(F29="Non-PDL","",IF(FuzzyPercent(D29,E29,2)&lt;0.4,"CHECK",""))</f>
        <v/>
      </c>
    </row>
    <row r="30" spans="1:8" x14ac:dyDescent="0.2">
      <c r="A30" t="s">
        <v>58</v>
      </c>
      <c r="B30" t="s">
        <v>0</v>
      </c>
      <c r="D30" t="s">
        <v>2146</v>
      </c>
      <c r="E30" t="str" cm="1">
        <f t="array" ref="E30">IF(COUNTIF(A:A, "*" &amp; LEFT(D30, FIND(" ", D30 &amp; " ") - 1) &amp; "*") &gt; 0,INDEX(A:A,FuzzyVLookup(D30,A:A,0,,,2)),"Non-PDL")</f>
        <v>Non-PDL</v>
      </c>
      <c r="F30" t="str">
        <f t="shared" si="0"/>
        <v>Non-PDL</v>
      </c>
      <c r="G30" s="1" cm="1">
        <f t="array" ref="G30">FuzzyPercent(D30,E30,2)</f>
        <v>0</v>
      </c>
      <c r="H30" t="str" cm="1">
        <f t="array" ref="H30">IF(F30="Non-PDL","",IF(FuzzyPercent(D30,E30,2)&lt;0.4,"CHECK",""))</f>
        <v/>
      </c>
    </row>
    <row r="31" spans="1:8" x14ac:dyDescent="0.2">
      <c r="A31" t="s">
        <v>60</v>
      </c>
      <c r="B31" t="s">
        <v>0</v>
      </c>
      <c r="D31" t="s">
        <v>2147</v>
      </c>
      <c r="E31" t="str" cm="1">
        <f t="array" ref="E31">IF(COUNTIF(A:A, "*" &amp; LEFT(D31, FIND(" ", D31 &amp; " ") - 1) &amp; "*") &gt; 0,INDEX(A:A,FuzzyVLookup(D31,A:A,0,,,2)),"Non-PDL")</f>
        <v>AIRDUO DIGIHALER (fluticasone/salmeterol)</v>
      </c>
      <c r="F31" t="str">
        <f t="shared" si="0"/>
        <v>Non-Preferred</v>
      </c>
      <c r="G31" s="1" cm="1">
        <f t="array" ref="G31">FuzzyPercent(D31,E31,2)</f>
        <v>0.4444444477558136</v>
      </c>
      <c r="H31" t="str" cm="1">
        <f t="array" ref="H31">IF(F31="Non-PDL","",IF(FuzzyPercent(D31,E31,2)&lt;0.4,"CHECK",""))</f>
        <v/>
      </c>
    </row>
    <row r="32" spans="1:8" x14ac:dyDescent="0.2">
      <c r="A32" t="s">
        <v>62</v>
      </c>
      <c r="B32" t="s">
        <v>0</v>
      </c>
      <c r="D32" t="s">
        <v>2148</v>
      </c>
      <c r="E32" t="str" cm="1">
        <f t="array" ref="E32">IF(COUNTIF(A:A, "*" &amp; LEFT(D32, FIND(" ", D32 &amp; " ") - 1) &amp; "*") &gt; 0,INDEX(A:A,FuzzyVLookup(D32,A:A,0,,,2)),"Non-PDL")</f>
        <v>AIRDUO DIGIHALER (fluticasone/salmeterol)</v>
      </c>
      <c r="F32" t="str">
        <f t="shared" si="0"/>
        <v>Non-Preferred</v>
      </c>
      <c r="G32" s="1" cm="1">
        <f t="array" ref="G32">FuzzyPercent(D32,E32,2)</f>
        <v>0.12987013161182404</v>
      </c>
      <c r="H32" t="str" cm="1">
        <f t="array" ref="H32">IF(F32="Non-PDL","",IF(FuzzyPercent(D32,E32,2)&lt;0.4,"CHECK",""))</f>
        <v>CHECK</v>
      </c>
    </row>
    <row r="33" spans="1:8" x14ac:dyDescent="0.2">
      <c r="A33" t="s">
        <v>64</v>
      </c>
      <c r="B33" t="s">
        <v>0</v>
      </c>
      <c r="D33" t="s">
        <v>2149</v>
      </c>
      <c r="E33" t="str" cm="1">
        <f t="array" ref="E33">IF(COUNTIF(A:A, "*" &amp; LEFT(D33, FIND(" ", D33 &amp; " ") - 1) &amp; "*") &gt; 0,INDEX(A:A,FuzzyVLookup(D33,A:A,0,,,2)),"Non-PDL")</f>
        <v>AIRSUPRA (albuterol/budesonide)</v>
      </c>
      <c r="F33" t="str">
        <f t="shared" si="0"/>
        <v>Non-Preferred</v>
      </c>
      <c r="G33" s="1" cm="1">
        <f t="array" ref="G33">FuzzyPercent(D33,E33,2)</f>
        <v>0.26666668057441711</v>
      </c>
      <c r="H33" t="str" cm="1">
        <f t="array" ref="H33">IF(F33="Non-PDL","",IF(FuzzyPercent(D33,E33,2)&lt;0.4,"CHECK",""))</f>
        <v>CHECK</v>
      </c>
    </row>
    <row r="34" spans="1:8" x14ac:dyDescent="0.2">
      <c r="A34" t="s">
        <v>66</v>
      </c>
      <c r="B34" t="s">
        <v>0</v>
      </c>
      <c r="D34" t="s">
        <v>2150</v>
      </c>
      <c r="E34" t="str" cm="1">
        <f t="array" ref="E34">IF(COUNTIF(A:A, "*" &amp; LEFT(D34, FIND(" ", D34 &amp; " ") - 1) &amp; "*") &gt; 0,INDEX(A:A,FuzzyVLookup(D34,A:A,0,,,2)),"Non-PDL")</f>
        <v>ADYNOVATE</v>
      </c>
      <c r="F34" t="str">
        <f t="shared" si="0"/>
        <v>Non-Preferred</v>
      </c>
      <c r="G34" s="1" cm="1">
        <f t="array" ref="G34">FuzzyPercent(D34,E34,2)</f>
        <v>0.10526315867900848</v>
      </c>
      <c r="H34" t="str" cm="1">
        <f t="array" ref="H34">IF(F34="Non-PDL","",IF(FuzzyPercent(D34,E34,2)&lt;0.4,"CHECK",""))</f>
        <v>CHECK</v>
      </c>
    </row>
    <row r="35" spans="1:8" x14ac:dyDescent="0.2">
      <c r="A35" t="s">
        <v>68</v>
      </c>
      <c r="B35" t="s">
        <v>0</v>
      </c>
      <c r="D35" t="s">
        <v>2151</v>
      </c>
      <c r="E35" t="str" cm="1">
        <f t="array" ref="E35">IF(COUNTIF(A:A, "*" &amp; LEFT(D35, FIND(" ", D35 &amp; " ") - 1) &amp; "*") &gt; 0,INDEX(A:A,FuzzyVLookup(D35,A:A,0,,,2)),"Non-PDL")</f>
        <v>albuterol HFA</v>
      </c>
      <c r="F35" t="str">
        <f t="shared" si="0"/>
        <v>Preferred</v>
      </c>
      <c r="G35" s="1" cm="1">
        <f t="array" ref="G35">FuzzyPercent(D35,E35,2)</f>
        <v>0.32876712083816528</v>
      </c>
      <c r="H35" t="str" cm="1">
        <f t="array" ref="H35">IF(F35="Non-PDL","",IF(FuzzyPercent(D35,E35,2)&lt;0.4,"CHECK",""))</f>
        <v>CHECK</v>
      </c>
    </row>
    <row r="36" spans="1:8" x14ac:dyDescent="0.2">
      <c r="A36" t="s">
        <v>70</v>
      </c>
      <c r="B36" t="s">
        <v>0</v>
      </c>
      <c r="D36" t="s">
        <v>2152</v>
      </c>
      <c r="E36" t="str" cm="1">
        <f t="array" ref="E36">IF(COUNTIF(A:A, "*" &amp; LEFT(D36, FIND(" ", D36 &amp; " ") - 1) &amp; "*") &gt; 0,INDEX(A:A,FuzzyVLookup(D36,A:A,0,,,2)),"Non-PDL")</f>
        <v>Non-PDL</v>
      </c>
      <c r="F36" t="str">
        <f t="shared" si="0"/>
        <v>Non-PDL</v>
      </c>
      <c r="G36" s="1" cm="1">
        <f t="array" ref="G36">FuzzyPercent(D36,E36,2)</f>
        <v>0</v>
      </c>
      <c r="H36" t="str" cm="1">
        <f t="array" ref="H36">IF(F36="Non-PDL","",IF(FuzzyPercent(D36,E36,2)&lt;0.4,"CHECK",""))</f>
        <v/>
      </c>
    </row>
    <row r="37" spans="1:8" x14ac:dyDescent="0.2">
      <c r="A37" t="s">
        <v>72</v>
      </c>
      <c r="B37" t="s">
        <v>0</v>
      </c>
      <c r="D37" t="s">
        <v>2153</v>
      </c>
      <c r="E37" t="str" cm="1">
        <f t="array" ref="E37">IF(COUNTIF(A:A, "*" &amp; LEFT(D37, FIND(" ", D37 &amp; " ") - 1) &amp; "*") &gt; 0,INDEX(A:A,FuzzyVLookup(D37,A:A,0,,,2)),"Non-PDL")</f>
        <v>ALECENSA (alectinib)</v>
      </c>
      <c r="F37" t="str">
        <f t="shared" si="0"/>
        <v>Non-Preferred</v>
      </c>
      <c r="G37" s="1" cm="1">
        <f t="array" ref="G37">FuzzyPercent(D37,E37,2)</f>
        <v>0.41379311680793762</v>
      </c>
      <c r="H37" t="str" cm="1">
        <f t="array" ref="H37">IF(F37="Non-PDL","",IF(FuzzyPercent(D37,E37,2)&lt;0.4,"CHECK",""))</f>
        <v/>
      </c>
    </row>
    <row r="38" spans="1:8" x14ac:dyDescent="0.2">
      <c r="A38" t="s">
        <v>74</v>
      </c>
      <c r="B38" t="s">
        <v>0</v>
      </c>
      <c r="D38" t="s">
        <v>2154</v>
      </c>
      <c r="E38" t="str" cm="1">
        <f t="array" ref="E38">IF(COUNTIF(A:A, "*" &amp; LEFT(D38, FIND(" ", D38 &amp; " ") - 1) &amp; "*") &gt; 0,INDEX(A:A,FuzzyVLookup(D38,A:A,0,,,2)),"Non-PDL")</f>
        <v>Non-PDL</v>
      </c>
      <c r="F38" t="str">
        <f t="shared" si="0"/>
        <v>Non-PDL</v>
      </c>
      <c r="G38" s="1" cm="1">
        <f t="array" ref="G38">FuzzyPercent(D38,E38,2)</f>
        <v>0</v>
      </c>
      <c r="H38" t="str" cm="1">
        <f t="array" ref="H38">IF(F38="Non-PDL","",IF(FuzzyPercent(D38,E38,2)&lt;0.4,"CHECK",""))</f>
        <v/>
      </c>
    </row>
    <row r="39" spans="1:8" x14ac:dyDescent="0.2">
      <c r="A39" t="s">
        <v>76</v>
      </c>
      <c r="B39" t="s">
        <v>0</v>
      </c>
      <c r="D39" t="s">
        <v>2155</v>
      </c>
      <c r="E39" t="str" cm="1">
        <f t="array" ref="E39">IF(COUNTIF(A:A, "*" &amp; LEFT(D39, FIND(" ", D39 &amp; " ") - 1) &amp; "*") &gt; 0,INDEX(A:A,FuzzyVLookup(D39,A:A,0,,,2)),"Non-PDL")</f>
        <v>ALPROLIX</v>
      </c>
      <c r="F39" t="str">
        <f t="shared" si="0"/>
        <v>Preferred</v>
      </c>
      <c r="G39" s="1" cm="1">
        <f t="array" ref="G39">FuzzyPercent(D39,E39,2)</f>
        <v>1</v>
      </c>
      <c r="H39" t="str" cm="1">
        <f t="array" ref="H39">IF(F39="Non-PDL","",IF(FuzzyPercent(D39,E39,2)&lt;0.4,"CHECK",""))</f>
        <v/>
      </c>
    </row>
    <row r="40" spans="1:8" x14ac:dyDescent="0.2">
      <c r="A40" t="s">
        <v>78</v>
      </c>
      <c r="B40" t="s">
        <v>0</v>
      </c>
      <c r="D40" t="s">
        <v>2156</v>
      </c>
      <c r="E40" t="str" cm="1">
        <f t="array" ref="E40">IF(COUNTIF(A:A, "*" &amp; LEFT(D40, FIND(" ", D40 &amp; " ") - 1) &amp; "*") &gt; 0,INDEX(A:A,FuzzyVLookup(D40,A:A,0,,,2)),"Non-PDL")</f>
        <v>ALTUVIIIO</v>
      </c>
      <c r="F40" t="str">
        <f t="shared" si="0"/>
        <v>Preferred</v>
      </c>
      <c r="G40" s="1" cm="1">
        <f t="array" ref="G40">FuzzyPercent(D40,E40,2)</f>
        <v>1</v>
      </c>
      <c r="H40" t="str" cm="1">
        <f t="array" ref="H40">IF(F40="Non-PDL","",IF(FuzzyPercent(D40,E40,2)&lt;0.4,"CHECK",""))</f>
        <v/>
      </c>
    </row>
    <row r="41" spans="1:8" x14ac:dyDescent="0.2">
      <c r="A41" t="s">
        <v>80</v>
      </c>
      <c r="B41" t="s">
        <v>0</v>
      </c>
      <c r="D41" t="s">
        <v>2157</v>
      </c>
      <c r="E41" t="str" cm="1">
        <f t="array" ref="E41">IF(COUNTIF(A:A, "*" &amp; LEFT(D41, FIND(" ", D41 &amp; " ") - 1) &amp; "*") &gt; 0,INDEX(A:A,FuzzyVLookup(D41,A:A,0,,,2)),"Non-PDL")</f>
        <v>ALUNBRIG (brigatinib)</v>
      </c>
      <c r="F41" t="str">
        <f t="shared" si="0"/>
        <v>Non-Preferred</v>
      </c>
      <c r="G41" s="1" cm="1">
        <f t="array" ref="G41">FuzzyPercent(D41,E41,2)</f>
        <v>0.39344263076782227</v>
      </c>
      <c r="H41" t="str" cm="1">
        <f t="array" ref="H41">IF(F41="Non-PDL","",IF(FuzzyPercent(D41,E41,2)&lt;0.4,"CHECK",""))</f>
        <v>CHECK</v>
      </c>
    </row>
    <row r="42" spans="1:8" x14ac:dyDescent="0.2">
      <c r="A42" t="s">
        <v>82</v>
      </c>
      <c r="B42" t="s">
        <v>0</v>
      </c>
      <c r="D42" t="s">
        <v>2158</v>
      </c>
      <c r="E42" t="str" cm="1">
        <f t="array" ref="E42">IF(COUNTIF(A:A, "*" &amp; LEFT(D42, FIND(" ", D42 &amp; " ") - 1) &amp; "*") &gt; 0,INDEX(A:A,FuzzyVLookup(D42,A:A,0,,,2)),"Non-PDL")</f>
        <v>ALVESCO (ciclesonide)</v>
      </c>
      <c r="F42" t="str">
        <f t="shared" si="0"/>
        <v>Non-Preferred</v>
      </c>
      <c r="G42" s="1" cm="1">
        <f t="array" ref="G42">FuzzyPercent(D42,E42,2)</f>
        <v>0.31034481525421143</v>
      </c>
      <c r="H42" t="str" cm="1">
        <f t="array" ref="H42">IF(F42="Non-PDL","",IF(FuzzyPercent(D42,E42,2)&lt;0.4,"CHECK",""))</f>
        <v>CHECK</v>
      </c>
    </row>
    <row r="43" spans="1:8" x14ac:dyDescent="0.2">
      <c r="A43" t="s">
        <v>84</v>
      </c>
      <c r="B43" t="s">
        <v>0</v>
      </c>
      <c r="D43" t="s">
        <v>2159</v>
      </c>
      <c r="E43" t="str" cm="1">
        <f t="array" ref="E43">IF(COUNTIF(A:A, "*" &amp; LEFT(D43, FIND(" ", D43 &amp; " ") - 1) &amp; "*") &gt; 0,INDEX(A:A,FuzzyVLookup(D43,A:A,0,,,2)),"Non-PDL")</f>
        <v>ALYGLO</v>
      </c>
      <c r="F43" t="str">
        <f t="shared" si="0"/>
        <v>Non-Preferred</v>
      </c>
      <c r="G43" s="1" cm="1">
        <f t="array" ref="G43">FuzzyPercent(D43,E43,2)</f>
        <v>0.3333333432674408</v>
      </c>
      <c r="H43" t="str" cm="1">
        <f t="array" ref="H43">IF(F43="Non-PDL","",IF(FuzzyPercent(D43,E43,2)&lt;0.4,"CHECK",""))</f>
        <v>CHECK</v>
      </c>
    </row>
    <row r="44" spans="1:8" x14ac:dyDescent="0.2">
      <c r="A44" t="s">
        <v>86</v>
      </c>
      <c r="B44" t="s">
        <v>0</v>
      </c>
      <c r="D44" t="s">
        <v>2160</v>
      </c>
      <c r="E44" t="str" cm="1">
        <f t="array" ref="E44">IF(COUNTIF(A:A, "*" &amp; LEFT(D44, FIND(" ", D44 &amp; " ") - 1) &amp; "*") &gt; 0,INDEX(A:A,FuzzyVLookup(D44,A:A,0,,,2)),"Non-PDL")</f>
        <v>AMBIEN (zolpidem)</v>
      </c>
      <c r="F44" t="str">
        <f t="shared" si="0"/>
        <v>Non-Preferred</v>
      </c>
      <c r="G44" s="1" cm="1">
        <f t="array" ref="G44">FuzzyPercent(D44,E44,2)</f>
        <v>0.37209302186965942</v>
      </c>
      <c r="H44" t="str" cm="1">
        <f t="array" ref="H44">IF(F44="Non-PDL","",IF(FuzzyPercent(D44,E44,2)&lt;0.4,"CHECK",""))</f>
        <v>CHECK</v>
      </c>
    </row>
    <row r="45" spans="1:8" x14ac:dyDescent="0.2">
      <c r="A45" t="s">
        <v>88</v>
      </c>
      <c r="B45" t="s">
        <v>0</v>
      </c>
      <c r="D45" t="s">
        <v>2161</v>
      </c>
      <c r="E45" t="str" cm="1">
        <f t="array" ref="E45">IF(COUNTIF(A:A, "*" &amp; LEFT(D45, FIND(" ", D45 &amp; " ") - 1) &amp; "*") &gt; 0,INDEX(A:A,FuzzyVLookup(D45,A:A,0,,,2)),"Non-PDL")</f>
        <v>AMBIEN CR (zolpidem)</v>
      </c>
      <c r="F45" t="str">
        <f t="shared" si="0"/>
        <v>Non-Preferred</v>
      </c>
      <c r="G45" s="1" cm="1">
        <f t="array" ref="G45">FuzzyPercent(D45,E45,2)</f>
        <v>0.46666666865348816</v>
      </c>
      <c r="H45" t="str" cm="1">
        <f t="array" ref="H45">IF(F45="Non-PDL","",IF(FuzzyPercent(D45,E45,2)&lt;0.4,"CHECK",""))</f>
        <v/>
      </c>
    </row>
    <row r="46" spans="1:8" x14ac:dyDescent="0.2">
      <c r="A46" t="s">
        <v>90</v>
      </c>
      <c r="B46" t="s">
        <v>0</v>
      </c>
      <c r="D46" t="s">
        <v>2162</v>
      </c>
      <c r="E46" t="str" cm="1">
        <f t="array" ref="E46">IF(COUNTIF(A:A, "*" &amp; LEFT(D46, FIND(" ", D46 &amp; " ") - 1) &amp; "*") &gt; 0,INDEX(A:A,FuzzyVLookup(D46,A:A,0,,,2)),"Non-PDL")</f>
        <v>ambrisentan</v>
      </c>
      <c r="F46" t="str">
        <f t="shared" si="0"/>
        <v>Preferred</v>
      </c>
      <c r="G46" s="1" cm="1">
        <f t="array" ref="G46">FuzzyPercent(D46,E46,2)</f>
        <v>1</v>
      </c>
      <c r="H46" t="str" cm="1">
        <f t="array" ref="H46">IF(F46="Non-PDL","",IF(FuzzyPercent(D46,E46,2)&lt;0.4,"CHECK",""))</f>
        <v/>
      </c>
    </row>
    <row r="47" spans="1:8" x14ac:dyDescent="0.2">
      <c r="A47" t="s">
        <v>92</v>
      </c>
      <c r="B47" t="s">
        <v>0</v>
      </c>
      <c r="D47" t="s">
        <v>2163</v>
      </c>
      <c r="E47" t="str" cm="1">
        <f t="array" ref="E47">IF(COUNTIF(A:A, "*" &amp; LEFT(D47, FIND(" ", D47 &amp; " ") - 1) &amp; "*") &gt; 0,INDEX(A:A,FuzzyVLookup(D47,A:A,0,,,2)),"Non-PDL")</f>
        <v>AMJEVITA (adalimuab-atto)</v>
      </c>
      <c r="F47" t="str">
        <f t="shared" si="0"/>
        <v>Non-Preferred</v>
      </c>
      <c r="G47" s="1" cm="1">
        <f t="array" ref="G47">FuzzyPercent(D47,E47,2)</f>
        <v>0.32432430982589722</v>
      </c>
      <c r="H47" t="str" cm="1">
        <f t="array" ref="H47">IF(F47="Non-PDL","",IF(FuzzyPercent(D47,E47,2)&lt;0.4,"CHECK",""))</f>
        <v>CHECK</v>
      </c>
    </row>
    <row r="48" spans="1:8" x14ac:dyDescent="0.2">
      <c r="A48" t="s">
        <v>94</v>
      </c>
      <c r="B48" t="s">
        <v>0</v>
      </c>
      <c r="D48" t="s">
        <v>2164</v>
      </c>
      <c r="E48" t="str" cm="1">
        <f t="array" ref="E48">IF(COUNTIF(A:A, "*" &amp; LEFT(D48, FIND(" ", D48 &amp; " ") - 1) &amp; "*") &gt; 0,INDEX(A:A,FuzzyVLookup(D48,A:A,0,,,2)),"Non-PDL")</f>
        <v>AMJEVITA (adalimuab-atto)</v>
      </c>
      <c r="F48" t="str">
        <f t="shared" si="0"/>
        <v>Non-Preferred</v>
      </c>
      <c r="G48" s="1" cm="1">
        <f t="array" ref="G48">FuzzyPercent(D48,E48,2)</f>
        <v>0.32558140158653259</v>
      </c>
      <c r="H48" t="str" cm="1">
        <f t="array" ref="H48">IF(F48="Non-PDL","",IF(FuzzyPercent(D48,E48,2)&lt;0.4,"CHECK",""))</f>
        <v>CHECK</v>
      </c>
    </row>
    <row r="49" spans="1:8" x14ac:dyDescent="0.2">
      <c r="A49" t="s">
        <v>96</v>
      </c>
      <c r="B49" t="s">
        <v>0</v>
      </c>
      <c r="D49" t="s">
        <v>2165</v>
      </c>
      <c r="E49" t="str" cm="1">
        <f t="array" ref="E49">IF(COUNTIF(A:A, "*" &amp; LEFT(D49, FIND(" ", D49 &amp; " ") - 1) &amp; "*") &gt; 0,INDEX(A:A,FuzzyVLookup(D49,A:A,0,,,2)),"Non-PDL")</f>
        <v>AMJEVITA (adalimuab-atto)</v>
      </c>
      <c r="F49" t="str">
        <f t="shared" si="0"/>
        <v>Non-Preferred</v>
      </c>
      <c r="G49" s="1" cm="1">
        <f t="array" ref="G49">FuzzyPercent(D49,E49,2)</f>
        <v>0.32941177487373352</v>
      </c>
      <c r="H49" t="str" cm="1">
        <f t="array" ref="H49">IF(F49="Non-PDL","",IF(FuzzyPercent(D49,E49,2)&lt;0.4,"CHECK",""))</f>
        <v>CHECK</v>
      </c>
    </row>
    <row r="50" spans="1:8" x14ac:dyDescent="0.2">
      <c r="A50" t="s">
        <v>98</v>
      </c>
      <c r="B50" t="s">
        <v>0</v>
      </c>
      <c r="D50" t="s">
        <v>2166</v>
      </c>
      <c r="E50" t="str" cm="1">
        <f t="array" ref="E50">IF(COUNTIF(A:A, "*" &amp; LEFT(D50, FIND(" ", D50 &amp; " ") - 1) &amp; "*") &gt; 0,INDEX(A:A,FuzzyVLookup(D50,A:A,0,,,2)),"Non-PDL")</f>
        <v>olmesartan/amlodipine</v>
      </c>
      <c r="F50" t="str">
        <f t="shared" si="0"/>
        <v>Preferred</v>
      </c>
      <c r="G50" s="1" cm="1">
        <f t="array" ref="G50">FuzzyPercent(D50,E50,2)</f>
        <v>0.29230770468711853</v>
      </c>
      <c r="H50" t="str" cm="1">
        <f t="array" ref="H50">IF(F50="Non-PDL","",IF(FuzzyPercent(D50,E50,2)&lt;0.4,"CHECK",""))</f>
        <v>CHECK</v>
      </c>
    </row>
    <row r="51" spans="1:8" x14ac:dyDescent="0.2">
      <c r="A51" t="s">
        <v>100</v>
      </c>
      <c r="B51" t="s">
        <v>0</v>
      </c>
      <c r="D51" t="s">
        <v>2167</v>
      </c>
      <c r="E51" t="str" cm="1">
        <f t="array" ref="E51">IF(COUNTIF(A:A, "*" &amp; LEFT(D51, FIND(" ", D51 &amp; " ") - 1) &amp; "*") &gt; 0,INDEX(A:A,FuzzyVLookup(D51,A:A,0,,,2)),"Non-PDL")</f>
        <v>AMONDYS-45 (casimersen)</v>
      </c>
      <c r="F51" t="str">
        <f t="shared" si="0"/>
        <v>Non-Preferred</v>
      </c>
      <c r="G51" s="1" cm="1">
        <f t="array" ref="G51">FuzzyPercent(D51,E51,2)</f>
        <v>0.28571429848670959</v>
      </c>
      <c r="H51" t="str" cm="1">
        <f t="array" ref="H51">IF(F51="Non-PDL","",IF(FuzzyPercent(D51,E51,2)&lt;0.4,"CHECK",""))</f>
        <v>CHECK</v>
      </c>
    </row>
    <row r="52" spans="1:8" x14ac:dyDescent="0.2">
      <c r="A52" t="s">
        <v>102</v>
      </c>
      <c r="B52" t="s">
        <v>0</v>
      </c>
      <c r="D52" t="s">
        <v>2168</v>
      </c>
      <c r="E52" t="str" cm="1">
        <f t="array" ref="E52">IF(COUNTIF(A:A, "*" &amp; LEFT(D52, FIND(" ", D52 &amp; " ") - 1) &amp; "*") &gt; 0,INDEX(A:A,FuzzyVLookup(D52,A:A,0,,,2)),"Non-PDL")</f>
        <v>AMRIX (cyclobenzaprine)</v>
      </c>
      <c r="F52" t="str">
        <f t="shared" si="0"/>
        <v>Non-Preferred</v>
      </c>
      <c r="G52" s="1" cm="1">
        <f t="array" ref="G52">FuzzyPercent(D52,E52,2)</f>
        <v>0.17241379618644714</v>
      </c>
      <c r="H52" t="str" cm="1">
        <f t="array" ref="H52">IF(F52="Non-PDL","",IF(FuzzyPercent(D52,E52,2)&lt;0.4,"CHECK",""))</f>
        <v>CHECK</v>
      </c>
    </row>
    <row r="53" spans="1:8" x14ac:dyDescent="0.2">
      <c r="A53" t="s">
        <v>104</v>
      </c>
      <c r="B53" t="s">
        <v>0</v>
      </c>
      <c r="D53" t="s">
        <v>2169</v>
      </c>
      <c r="E53" t="str" cm="1">
        <f t="array" ref="E53">IF(COUNTIF(A:A, "*" &amp; LEFT(D53, FIND(" ", D53 &amp; " ") - 1) &amp; "*") &gt; 0,INDEX(A:A,FuzzyVLookup(D53,A:A,0,,,2)),"Non-PDL")</f>
        <v>Non-PDL</v>
      </c>
      <c r="F53" t="str">
        <f t="shared" si="0"/>
        <v>Non-PDL</v>
      </c>
      <c r="G53" s="1" cm="1">
        <f t="array" ref="G53">FuzzyPercent(D53,E53,2)</f>
        <v>0</v>
      </c>
      <c r="H53" t="str" cm="1">
        <f t="array" ref="H53">IF(F53="Non-PDL","",IF(FuzzyPercent(D53,E53,2)&lt;0.4,"CHECK",""))</f>
        <v/>
      </c>
    </row>
    <row r="54" spans="1:8" x14ac:dyDescent="0.2">
      <c r="A54" t="s">
        <v>106</v>
      </c>
      <c r="B54" t="s">
        <v>0</v>
      </c>
      <c r="D54" t="s">
        <v>2170</v>
      </c>
      <c r="E54" t="str" cm="1">
        <f t="array" ref="E54">IF(COUNTIF(A:A, "*" &amp; LEFT(D54, FIND(" ", D54 &amp; " ") - 1) &amp; "*") &gt; 0,INDEX(A:A,FuzzyVLookup(D54,A:A,0,,,2)),"Non-PDL")</f>
        <v>Non-PDL</v>
      </c>
      <c r="F54" t="str">
        <f t="shared" si="0"/>
        <v>Non-PDL</v>
      </c>
      <c r="G54" s="1" cm="1">
        <f t="array" ref="G54">FuzzyPercent(D54,E54,2)</f>
        <v>8.3333335816860199E-2</v>
      </c>
      <c r="H54" t="str" cm="1">
        <f t="array" ref="H54">IF(F54="Non-PDL","",IF(FuzzyPercent(D54,E54,2)&lt;0.4,"CHECK",""))</f>
        <v/>
      </c>
    </row>
    <row r="55" spans="1:8" x14ac:dyDescent="0.2">
      <c r="A55" t="s">
        <v>108</v>
      </c>
      <c r="B55" t="s">
        <v>0</v>
      </c>
      <c r="D55" t="s">
        <v>2171</v>
      </c>
      <c r="E55" t="str" cm="1">
        <f t="array" ref="E55">IF(COUNTIF(A:A, "*" &amp; LEFT(D55, FIND(" ", D55 &amp; " ") - 1) &amp; "*") &gt; 0,INDEX(A:A,FuzzyVLookup(D55,A:A,0,,,2)),"Non-PDL")</f>
        <v>ANORO ELLIPTA (umeclidinium/vilanterol)</v>
      </c>
      <c r="F55" t="str">
        <f t="shared" si="0"/>
        <v>Preferred</v>
      </c>
      <c r="G55" s="1" cm="1">
        <f t="array" ref="G55">FuzzyPercent(D55,E55,2)</f>
        <v>0.35555556416511536</v>
      </c>
      <c r="H55" t="str" cm="1">
        <f t="array" ref="H55">IF(F55="Non-PDL","",IF(FuzzyPercent(D55,E55,2)&lt;0.4,"CHECK",""))</f>
        <v>CHECK</v>
      </c>
    </row>
    <row r="56" spans="1:8" x14ac:dyDescent="0.2">
      <c r="A56" t="s">
        <v>110</v>
      </c>
      <c r="B56" t="s">
        <v>0</v>
      </c>
      <c r="D56" t="s">
        <v>2172</v>
      </c>
      <c r="E56" t="str" cm="1">
        <f t="array" ref="E56">IF(COUNTIF(A:A, "*" &amp; LEFT(D56, FIND(" ", D56 &amp; " ") - 1) &amp; "*") &gt; 0,INDEX(A:A,FuzzyVLookup(D56,A:A,0,,,2)),"Non-PDL")</f>
        <v>APIDRA (insulin glulisine)</v>
      </c>
      <c r="F56" t="str">
        <f t="shared" si="0"/>
        <v>Non-Preferred</v>
      </c>
      <c r="G56" s="1" cm="1">
        <f t="array" ref="G56">FuzzyPercent(D56,E56,2)</f>
        <v>0.21917808055877686</v>
      </c>
      <c r="H56" t="str" cm="1">
        <f t="array" ref="H56">IF(F56="Non-PDL","",IF(FuzzyPercent(D56,E56,2)&lt;0.4,"CHECK",""))</f>
        <v>CHECK</v>
      </c>
    </row>
    <row r="57" spans="1:8" x14ac:dyDescent="0.2">
      <c r="A57" t="s">
        <v>112</v>
      </c>
      <c r="B57" t="s">
        <v>0</v>
      </c>
      <c r="D57" t="s">
        <v>2173</v>
      </c>
      <c r="E57" t="str" cm="1">
        <f t="array" ref="E57">IF(COUNTIF(A:A, "*" &amp; LEFT(D57, FIND(" ", D57 &amp; " ") - 1) &amp; "*") &gt; 0,INDEX(A:A,FuzzyVLookup(D57,A:A,0,,,2)),"Non-PDL")</f>
        <v>APIDRA (insulin glulisine)</v>
      </c>
      <c r="F57" t="str">
        <f t="shared" si="0"/>
        <v>Non-Preferred</v>
      </c>
      <c r="G57" s="1" cm="1">
        <f t="array" ref="G57">FuzzyPercent(D57,E57,2)</f>
        <v>0.18947368860244751</v>
      </c>
      <c r="H57" t="str" cm="1">
        <f t="array" ref="H57">IF(F57="Non-PDL","",IF(FuzzyPercent(D57,E57,2)&lt;0.4,"CHECK",""))</f>
        <v>CHECK</v>
      </c>
    </row>
    <row r="58" spans="1:8" x14ac:dyDescent="0.2">
      <c r="A58" t="s">
        <v>114</v>
      </c>
      <c r="B58" t="s">
        <v>0</v>
      </c>
      <c r="D58" t="s">
        <v>2174</v>
      </c>
      <c r="E58" t="str" cm="1">
        <f t="array" ref="E58">IF(COUNTIF(A:A, "*" &amp; LEFT(D58, FIND(" ", D58 &amp; " ") - 1) &amp; "*") &gt; 0,INDEX(A:A,FuzzyVLookup(D58,A:A,0,,,2)),"Non-PDL")</f>
        <v>APLENZIN (bupropion)</v>
      </c>
      <c r="F58" t="str">
        <f t="shared" si="0"/>
        <v>Non-Preferred</v>
      </c>
      <c r="G58" s="1" cm="1">
        <f t="array" ref="G58">FuzzyPercent(D58,E58,2)</f>
        <v>0.41379311680793762</v>
      </c>
      <c r="H58" t="str" cm="1">
        <f t="array" ref="H58">IF(F58="Non-PDL","",IF(FuzzyPercent(D58,E58,2)&lt;0.4,"CHECK",""))</f>
        <v/>
      </c>
    </row>
    <row r="59" spans="1:8" x14ac:dyDescent="0.2">
      <c r="A59" t="s">
        <v>116</v>
      </c>
      <c r="B59" t="s">
        <v>0</v>
      </c>
      <c r="D59" t="s">
        <v>2175</v>
      </c>
      <c r="E59" t="str" cm="1">
        <f t="array" ref="E59">IF(COUNTIF(A:A, "*" &amp; LEFT(D59, FIND(" ", D59 &amp; " ") - 1) &amp; "*") &gt; 0,INDEX(A:A,FuzzyVLookup(D59,A:A,0,,,2)),"Non-PDL")</f>
        <v>APTIOM (eslicarbazine)</v>
      </c>
      <c r="F59" t="str">
        <f t="shared" si="0"/>
        <v>Non-Preferred</v>
      </c>
      <c r="G59" s="1" cm="1">
        <f t="array" ref="G59">FuzzyPercent(D59,E59,2)</f>
        <v>0.26666668057441711</v>
      </c>
      <c r="H59" t="str" cm="1">
        <f t="array" ref="H59">IF(F59="Non-PDL","",IF(FuzzyPercent(D59,E59,2)&lt;0.4,"CHECK",""))</f>
        <v>CHECK</v>
      </c>
    </row>
    <row r="60" spans="1:8" x14ac:dyDescent="0.2">
      <c r="A60" t="s">
        <v>118</v>
      </c>
      <c r="B60" t="s">
        <v>0</v>
      </c>
      <c r="D60" t="s">
        <v>2176</v>
      </c>
      <c r="E60" t="str" cm="1">
        <f t="array" ref="E60">IF(COUNTIF(A:A, "*" &amp; LEFT(D60, FIND(" ", D60 &amp; " ") - 1) &amp; "*") &gt; 0,INDEX(A:A,FuzzyVLookup(D60,A:A,0,,,2)),"Non-PDL")</f>
        <v>Non-PDL</v>
      </c>
      <c r="F60" t="str">
        <f t="shared" si="0"/>
        <v>Non-PDL</v>
      </c>
      <c r="G60" s="1" cm="1">
        <f t="array" ref="G60">FuzzyPercent(D60,E60,2)</f>
        <v>1.666666753590107E-2</v>
      </c>
      <c r="H60" t="str" cm="1">
        <f t="array" ref="H60">IF(F60="Non-PDL","",IF(FuzzyPercent(D60,E60,2)&lt;0.4,"CHECK",""))</f>
        <v/>
      </c>
    </row>
    <row r="61" spans="1:8" x14ac:dyDescent="0.2">
      <c r="A61" t="s">
        <v>120</v>
      </c>
      <c r="B61" t="s">
        <v>0</v>
      </c>
      <c r="D61" t="s">
        <v>2177</v>
      </c>
      <c r="E61" t="str" cm="1">
        <f t="array" ref="E61">IF(COUNTIF(A:A, "*" &amp; LEFT(D61, FIND(" ", D61 &amp; " ") - 1) &amp; "*") &gt; 0,INDEX(A:A,FuzzyVLookup(D61,A:A,0,,,2)),"Non-PDL")</f>
        <v>ARCALYST (rilonacept)</v>
      </c>
      <c r="F61" t="str">
        <f t="shared" si="0"/>
        <v>Non-Preferred</v>
      </c>
      <c r="G61" s="1" cm="1">
        <f t="array" ref="G61">FuzzyPercent(D61,E61,2)</f>
        <v>0.39344263076782227</v>
      </c>
      <c r="H61" t="str" cm="1">
        <f t="array" ref="H61">IF(F61="Non-PDL","",IF(FuzzyPercent(D61,E61,2)&lt;0.4,"CHECK",""))</f>
        <v>CHECK</v>
      </c>
    </row>
    <row r="62" spans="1:8" x14ac:dyDescent="0.2">
      <c r="A62" t="s">
        <v>122</v>
      </c>
      <c r="B62" t="s">
        <v>0</v>
      </c>
      <c r="D62" t="s">
        <v>2178</v>
      </c>
      <c r="E62" t="str" cm="1">
        <f t="array" ref="E62">IF(COUNTIF(A:A, "*" &amp; LEFT(D62, FIND(" ", D62 &amp; " ") - 1) &amp; "*") &gt; 0,INDEX(A:A,FuzzyVLookup(D62,A:A,0,,,2)),"Non-PDL")</f>
        <v>ARICEPT (donepezil)</v>
      </c>
      <c r="F62" t="str">
        <f t="shared" si="0"/>
        <v>Non-Preferred</v>
      </c>
      <c r="G62" s="1" cm="1">
        <f t="array" ref="G62">FuzzyPercent(D62,E62,2)</f>
        <v>0.36000001430511475</v>
      </c>
      <c r="H62" t="str" cm="1">
        <f t="array" ref="H62">IF(F62="Non-PDL","",IF(FuzzyPercent(D62,E62,2)&lt;0.4,"CHECK",""))</f>
        <v>CHECK</v>
      </c>
    </row>
    <row r="63" spans="1:8" x14ac:dyDescent="0.2">
      <c r="A63" t="s">
        <v>124</v>
      </c>
      <c r="B63" t="s">
        <v>0</v>
      </c>
      <c r="D63" t="s">
        <v>2179</v>
      </c>
      <c r="E63" t="str" cm="1">
        <f t="array" ref="E63">IF(COUNTIF(A:A, "*" &amp; LEFT(D63, FIND(" ", D63 &amp; " ") - 1) &amp; "*") &gt; 0,INDEX(A:A,FuzzyVLookup(D63,A:A,0,,,2)),"Non-PDL")</f>
        <v>Non-PDL</v>
      </c>
      <c r="F63" t="str">
        <f t="shared" si="0"/>
        <v>Non-PDL</v>
      </c>
      <c r="G63" s="1" cm="1">
        <f t="array" ref="G63">FuzzyPercent(D63,E63,2)</f>
        <v>0</v>
      </c>
      <c r="H63" t="str" cm="1">
        <f t="array" ref="H63">IF(F63="Non-PDL","",IF(FuzzyPercent(D63,E63,2)&lt;0.4,"CHECK",""))</f>
        <v/>
      </c>
    </row>
    <row r="64" spans="1:8" x14ac:dyDescent="0.2">
      <c r="A64" t="s">
        <v>126</v>
      </c>
      <c r="B64" t="s">
        <v>0</v>
      </c>
      <c r="D64" t="s">
        <v>2180</v>
      </c>
      <c r="E64" t="str" cm="1">
        <f t="array" ref="E64">IF(COUNTIF(A:A, "*" &amp; LEFT(D64, FIND(" ", D64 &amp; " ") - 1) &amp; "*") &gt; 0,INDEX(A:A,FuzzyVLookup(D64,A:A,0,,,2)),"Non-PDL")</f>
        <v>aripiprazole ODT, solution</v>
      </c>
      <c r="F64" t="str">
        <f t="shared" si="0"/>
        <v>Non-Preferred</v>
      </c>
      <c r="G64" s="1" cm="1">
        <f t="array" ref="G64">FuzzyPercent(D64,E64,2)</f>
        <v>0.68686866760253906</v>
      </c>
      <c r="H64" t="str" cm="1">
        <f t="array" ref="H64">IF(F64="Non-PDL","",IF(FuzzyPercent(D64,E64,2)&lt;0.4,"CHECK",""))</f>
        <v/>
      </c>
    </row>
    <row r="65" spans="1:8" x14ac:dyDescent="0.2">
      <c r="A65" t="s">
        <v>128</v>
      </c>
      <c r="B65" t="s">
        <v>0</v>
      </c>
      <c r="D65" t="s">
        <v>2181</v>
      </c>
      <c r="E65" t="str" cm="1">
        <f t="array" ref="E65">IF(COUNTIF(A:A, "*" &amp; LEFT(D65, FIND(" ", D65 &amp; " ") - 1) &amp; "*") &gt; 0,INDEX(A:A,FuzzyVLookup(D65,A:A,0,,,2)),"Non-PDL")</f>
        <v>aripiprazole ODT, solution</v>
      </c>
      <c r="F65" t="str">
        <f t="shared" si="0"/>
        <v>Non-Preferred</v>
      </c>
      <c r="G65" s="1" cm="1">
        <f t="array" ref="G65">FuzzyPercent(D65,E65,2)</f>
        <v>0.55384618043899536</v>
      </c>
      <c r="H65" t="str" cm="1">
        <f t="array" ref="H65">IF(F65="Non-PDL","",IF(FuzzyPercent(D65,E65,2)&lt;0.4,"CHECK",""))</f>
        <v/>
      </c>
    </row>
    <row r="66" spans="1:8" x14ac:dyDescent="0.2">
      <c r="A66" t="s">
        <v>130</v>
      </c>
      <c r="B66" t="s">
        <v>0</v>
      </c>
      <c r="D66" t="s">
        <v>2182</v>
      </c>
      <c r="E66" t="str" cm="1">
        <f t="array" ref="E66">IF(COUNTIF(A:A, "*" &amp; LEFT(D66, FIND(" ", D66 &amp; " ") - 1) &amp; "*") &gt; 0,INDEX(A:A,FuzzyVLookup(D66,A:A,0,,,2)),"Non-PDL")</f>
        <v>OPIPZA (aripiprazole)</v>
      </c>
      <c r="F66" t="str">
        <f t="shared" si="0"/>
        <v>Non-Preferred</v>
      </c>
      <c r="G66" s="1" cm="1">
        <f t="array" ref="G66">FuzzyPercent(D66,E66,2)</f>
        <v>0.45555555820465088</v>
      </c>
      <c r="H66" t="str" cm="1">
        <f t="array" ref="H66">IF(F66="Non-PDL","",IF(FuzzyPercent(D66,E66,2)&lt;0.4,"CHECK",""))</f>
        <v/>
      </c>
    </row>
    <row r="67" spans="1:8" x14ac:dyDescent="0.2">
      <c r="A67" t="s">
        <v>132</v>
      </c>
      <c r="B67" t="s">
        <v>0</v>
      </c>
      <c r="D67" t="s">
        <v>2183</v>
      </c>
      <c r="E67" t="str" cm="1">
        <f t="array" ref="E67">IF(COUNTIF(A:A, "*" &amp; LEFT(D67, FIND(" ", D67 &amp; " ") - 1) &amp; "*") &gt; 0,INDEX(A:A,FuzzyVLookup(D67,A:A,0,,,2)),"Non-PDL")</f>
        <v>tadalafil</v>
      </c>
      <c r="F67" t="str">
        <f t="shared" ref="F67:F130" si="1">_xlfn.IFNA(_xlfn.XLOOKUP(E67,A:A,B:B),"Non-PDL")</f>
        <v>Preferred</v>
      </c>
      <c r="G67" s="1" cm="1">
        <f t="array" ref="G67">FuzzyPercent(D67,E67,2)</f>
        <v>0.26923078298568726</v>
      </c>
      <c r="H67" t="str" cm="1">
        <f t="array" ref="H67">IF(F67="Non-PDL","",IF(FuzzyPercent(D67,E67,2)&lt;0.4,"CHECK",""))</f>
        <v>CHECK</v>
      </c>
    </row>
    <row r="68" spans="1:8" x14ac:dyDescent="0.2">
      <c r="A68" t="s">
        <v>134</v>
      </c>
      <c r="B68" t="s">
        <v>0</v>
      </c>
      <c r="D68" t="s">
        <v>2184</v>
      </c>
      <c r="E68" t="str" cm="1">
        <f t="array" ref="E68">IF(COUNTIF(A:A, "*" &amp; LEFT(D68, FIND(" ", D68 &amp; " ") - 1) &amp; "*") &gt; 0,INDEX(A:A,FuzzyVLookup(D68,A:A,0,,,2)),"Non-PDL")</f>
        <v>ARISTADA INITIO (aripiprazole lauroxil)</v>
      </c>
      <c r="F68" t="str">
        <f t="shared" si="1"/>
        <v>Preferred</v>
      </c>
      <c r="G68" s="1" cm="1">
        <f t="array" ref="G68">FuzzyPercent(D68,E68,2)</f>
        <v>0.42553192377090454</v>
      </c>
      <c r="H68" t="str" cm="1">
        <f t="array" ref="H68">IF(F68="Non-PDL","",IF(FuzzyPercent(D68,E68,2)&lt;0.4,"CHECK",""))</f>
        <v/>
      </c>
    </row>
    <row r="69" spans="1:8" x14ac:dyDescent="0.2">
      <c r="A69" t="s">
        <v>136</v>
      </c>
      <c r="B69" t="s">
        <v>0</v>
      </c>
      <c r="D69" t="s">
        <v>2185</v>
      </c>
      <c r="E69" t="str" cm="1">
        <f t="array" ref="E69">IF(COUNTIF(A:A, "*" &amp; LEFT(D69, FIND(" ", D69 &amp; " ") - 1) &amp; "*") &gt; 0,INDEX(A:A,FuzzyVLookup(D69,A:A,0,,,2)),"Non-PDL")</f>
        <v>ARMONAIR DIGIHALER (fluticasone)</v>
      </c>
      <c r="F69" t="str">
        <f t="shared" si="1"/>
        <v>Non-Preferred</v>
      </c>
      <c r="G69" s="1" cm="1">
        <f t="array" ref="G69">FuzzyPercent(D69,E69,2)</f>
        <v>0.62992125749588013</v>
      </c>
      <c r="H69" t="str" cm="1">
        <f t="array" ref="H69">IF(F69="Non-PDL","",IF(FuzzyPercent(D69,E69,2)&lt;0.4,"CHECK",""))</f>
        <v/>
      </c>
    </row>
    <row r="70" spans="1:8" x14ac:dyDescent="0.2">
      <c r="A70" t="s">
        <v>138</v>
      </c>
      <c r="B70" t="s">
        <v>0</v>
      </c>
      <c r="D70" t="s">
        <v>2186</v>
      </c>
      <c r="E70" t="str" cm="1">
        <f t="array" ref="E70">IF(COUNTIF(A:A, "*" &amp; LEFT(D70, FIND(" ", D70 &amp; " ") - 1) &amp; "*") &gt; 0,INDEX(A:A,FuzzyVLookup(D70,A:A,0,,,2)),"Non-PDL")</f>
        <v>Non-PDL</v>
      </c>
      <c r="F70" t="str">
        <f t="shared" si="1"/>
        <v>Non-PDL</v>
      </c>
      <c r="G70" s="1" cm="1">
        <f t="array" ref="G70">FuzzyPercent(D70,E70,2)</f>
        <v>0</v>
      </c>
      <c r="H70" t="str" cm="1">
        <f t="array" ref="H70">IF(F70="Non-PDL","",IF(FuzzyPercent(D70,E70,2)&lt;0.4,"CHECK",""))</f>
        <v/>
      </c>
    </row>
    <row r="71" spans="1:8" x14ac:dyDescent="0.2">
      <c r="A71" t="s">
        <v>140</v>
      </c>
      <c r="B71" t="s">
        <v>0</v>
      </c>
      <c r="D71" t="s">
        <v>2187</v>
      </c>
      <c r="E71" t="str" cm="1">
        <f t="array" ref="E71">IF(COUNTIF(A:A, "*" &amp; LEFT(D71, FIND(" ", D71 &amp; " ") - 1) &amp; "*") &gt; 0,INDEX(A:A,FuzzyVLookup(D71,A:A,0,,,2)),"Non-PDL")</f>
        <v>ARNUITY ELLIPTA (fluticasone)</v>
      </c>
      <c r="F71" t="str">
        <f t="shared" si="1"/>
        <v>Non-Preferred</v>
      </c>
      <c r="G71" s="1" cm="1">
        <f t="array" ref="G71">FuzzyPercent(D71,E71,2)</f>
        <v>0.57692307233810425</v>
      </c>
      <c r="H71" t="str" cm="1">
        <f t="array" ref="H71">IF(F71="Non-PDL","",IF(FuzzyPercent(D71,E71,2)&lt;0.4,"CHECK",""))</f>
        <v/>
      </c>
    </row>
    <row r="72" spans="1:8" x14ac:dyDescent="0.2">
      <c r="A72" t="s">
        <v>142</v>
      </c>
      <c r="B72" t="s">
        <v>0</v>
      </c>
      <c r="D72" t="s">
        <v>2188</v>
      </c>
      <c r="E72" t="str" cm="1">
        <f t="array" ref="E72">IF(COUNTIF(A:A, "*" &amp; LEFT(D72, FIND(" ", D72 &amp; " ") - 1) &amp; "*") &gt; 0,INDEX(A:A,FuzzyVLookup(D72,A:A,0,,,2)),"Non-PDL")</f>
        <v>Non-PDL</v>
      </c>
      <c r="F72" t="str">
        <f t="shared" si="1"/>
        <v>Non-PDL</v>
      </c>
      <c r="G72" s="1" cm="1">
        <f t="array" ref="G72">FuzzyPercent(D72,E72,2)</f>
        <v>0</v>
      </c>
      <c r="H72" t="str" cm="1">
        <f t="array" ref="H72">IF(F72="Non-PDL","",IF(FuzzyPercent(D72,E72,2)&lt;0.4,"CHECK",""))</f>
        <v/>
      </c>
    </row>
    <row r="73" spans="1:8" x14ac:dyDescent="0.2">
      <c r="A73" t="s">
        <v>144</v>
      </c>
      <c r="B73" t="s">
        <v>0</v>
      </c>
      <c r="D73" t="s">
        <v>2189</v>
      </c>
      <c r="E73" t="str" cm="1">
        <f t="array" ref="E73">IF(COUNTIF(A:A, "*" &amp; LEFT(D73, FIND(" ", D73 &amp; " ") - 1) &amp; "*") &gt; 0,INDEX(A:A,FuzzyVLookup(D73,A:A,0,,,2)),"Non-PDL")</f>
        <v>asenapine</v>
      </c>
      <c r="F73" t="str">
        <f t="shared" si="1"/>
        <v>Preferred</v>
      </c>
      <c r="G73" s="1" cm="1">
        <f t="array" ref="G73">FuzzyPercent(D73,E73,2)</f>
        <v>1</v>
      </c>
      <c r="H73" t="str" cm="1">
        <f t="array" ref="H73">IF(F73="Non-PDL","",IF(FuzzyPercent(D73,E73,2)&lt;0.4,"CHECK",""))</f>
        <v/>
      </c>
    </row>
    <row r="74" spans="1:8" x14ac:dyDescent="0.2">
      <c r="A74" t="s">
        <v>146</v>
      </c>
      <c r="B74" t="s">
        <v>0</v>
      </c>
      <c r="D74" t="s">
        <v>2190</v>
      </c>
      <c r="E74" t="str" cm="1">
        <f t="array" ref="E74">IF(COUNTIF(A:A, "*" &amp; LEFT(D74, FIND(" ", D74 &amp; " ") - 1) &amp; "*") &gt; 0,INDEX(A:A,FuzzyVLookup(D74,A:A,0,,,2)),"Non-PDL")</f>
        <v>ASMANEX HFA (mometasone)</v>
      </c>
      <c r="F74" t="str">
        <f t="shared" si="1"/>
        <v>Non-Preferred</v>
      </c>
      <c r="G74" s="1" cm="1">
        <f t="array" ref="G74">FuzzyPercent(D74,E74,2)</f>
        <v>0.46153846383094788</v>
      </c>
      <c r="H74" t="str" cm="1">
        <f t="array" ref="H74">IF(F74="Non-PDL","",IF(FuzzyPercent(D74,E74,2)&lt;0.4,"CHECK",""))</f>
        <v/>
      </c>
    </row>
    <row r="75" spans="1:8" x14ac:dyDescent="0.2">
      <c r="A75" t="s">
        <v>148</v>
      </c>
      <c r="B75" t="s">
        <v>0</v>
      </c>
      <c r="D75" t="s">
        <v>2191</v>
      </c>
      <c r="E75" t="str" cm="1">
        <f t="array" ref="E75">IF(COUNTIF(A:A, "*" &amp; LEFT(D75, FIND(" ", D75 &amp; " ") - 1) &amp; "*") &gt; 0,INDEX(A:A,FuzzyVLookup(D75,A:A,0,,,2)),"Non-PDL")</f>
        <v>ASMANEX (mometasone)</v>
      </c>
      <c r="F75" t="str">
        <f t="shared" si="1"/>
        <v>Preferred</v>
      </c>
      <c r="G75" s="1" cm="1">
        <f t="array" ref="G75">FuzzyPercent(D75,E75,2)</f>
        <v>0.27906978130340576</v>
      </c>
      <c r="H75" t="str" cm="1">
        <f t="array" ref="H75">IF(F75="Non-PDL","",IF(FuzzyPercent(D75,E75,2)&lt;0.4,"CHECK",""))</f>
        <v>CHECK</v>
      </c>
    </row>
    <row r="76" spans="1:8" x14ac:dyDescent="0.2">
      <c r="A76" t="s">
        <v>150</v>
      </c>
      <c r="B76" t="s">
        <v>0</v>
      </c>
      <c r="D76" t="s">
        <v>2192</v>
      </c>
      <c r="E76" t="str" cm="1">
        <f t="array" ref="E76">IF(COUNTIF(A:A, "*" &amp; LEFT(D76, FIND(" ", D76 &amp; " ") - 1) &amp; "*") &gt; 0,INDEX(A:A,FuzzyVLookup(D76,A:A,0,,,2)),"Non-PDL")</f>
        <v>sumatriptan</v>
      </c>
      <c r="F76" t="str">
        <f t="shared" si="1"/>
        <v>Preferred</v>
      </c>
      <c r="G76" s="1" cm="1">
        <f t="array" ref="G76">FuzzyPercent(D76,E76,2)</f>
        <v>0.3333333432674408</v>
      </c>
      <c r="H76" t="str" cm="1">
        <f t="array" ref="H76">IF(F76="Non-PDL","",IF(FuzzyPercent(D76,E76,2)&lt;0.4,"CHECK",""))</f>
        <v>CHECK</v>
      </c>
    </row>
    <row r="77" spans="1:8" x14ac:dyDescent="0.2">
      <c r="A77" t="s">
        <v>152</v>
      </c>
      <c r="B77" t="s">
        <v>0</v>
      </c>
      <c r="D77" t="s">
        <v>2193</v>
      </c>
      <c r="E77" t="str" cm="1">
        <f t="array" ref="E77">IF(COUNTIF(A:A, "*" &amp; LEFT(D77, FIND(" ", D77 &amp; " ") - 1) &amp; "*") &gt; 0,INDEX(A:A,FuzzyVLookup(D77,A:A,0,,,2)),"Non-PDL")</f>
        <v>Non-PDL</v>
      </c>
      <c r="F77" t="str">
        <f t="shared" si="1"/>
        <v>Non-PDL</v>
      </c>
      <c r="G77" s="1" cm="1">
        <f t="array" ref="G77">FuzzyPercent(D77,E77,2)</f>
        <v>0</v>
      </c>
      <c r="H77" t="str" cm="1">
        <f t="array" ref="H77">IF(F77="Non-PDL","",IF(FuzzyPercent(D77,E77,2)&lt;0.4,"CHECK",""))</f>
        <v/>
      </c>
    </row>
    <row r="78" spans="1:8" x14ac:dyDescent="0.2">
      <c r="A78" t="s">
        <v>154</v>
      </c>
      <c r="B78" t="s">
        <v>0</v>
      </c>
      <c r="D78" t="s">
        <v>2194</v>
      </c>
      <c r="E78" t="str" cm="1">
        <f t="array" ref="E78">IF(COUNTIF(A:A, "*" &amp; LEFT(D78, FIND(" ", D78 &amp; " ") - 1) &amp; "*") &gt; 0,INDEX(A:A,FuzzyVLookup(D78,A:A,0,,,2)),"Non-PDL")</f>
        <v>AUBAGIO (teriflunomide)</v>
      </c>
      <c r="F78" t="str">
        <f t="shared" si="1"/>
        <v>Non-Preferred</v>
      </c>
      <c r="G78" s="1" cm="1">
        <f t="array" ref="G78">FuzzyPercent(D78,E78,2)</f>
        <v>0.30000001192092896</v>
      </c>
      <c r="H78" t="str" cm="1">
        <f t="array" ref="H78">IF(F78="Non-PDL","",IF(FuzzyPercent(D78,E78,2)&lt;0.4,"CHECK",""))</f>
        <v>CHECK</v>
      </c>
    </row>
    <row r="79" spans="1:8" x14ac:dyDescent="0.2">
      <c r="A79" t="s">
        <v>156</v>
      </c>
      <c r="B79" t="s">
        <v>0</v>
      </c>
      <c r="D79" t="s">
        <v>2195</v>
      </c>
      <c r="E79" t="str" cm="1">
        <f t="array" ref="E79">IF(COUNTIF(A:A, "*" &amp; LEFT(D79, FIND(" ", D79 &amp; " ") - 1) &amp; "*") &gt; 0,INDEX(A:A,FuzzyVLookup(D79,A:A,0,,,2)),"Non-PDL")</f>
        <v>AUGTYRO (repotrectinib)</v>
      </c>
      <c r="F79" t="str">
        <f t="shared" si="1"/>
        <v>Non-Preferred</v>
      </c>
      <c r="G79" s="1" cm="1">
        <f t="array" ref="G79">FuzzyPercent(D79,E79,2)</f>
        <v>0.28915661573410034</v>
      </c>
      <c r="H79" t="str" cm="1">
        <f t="array" ref="H79">IF(F79="Non-PDL","",IF(FuzzyPercent(D79,E79,2)&lt;0.4,"CHECK",""))</f>
        <v>CHECK</v>
      </c>
    </row>
    <row r="80" spans="1:8" x14ac:dyDescent="0.2">
      <c r="A80" t="s">
        <v>158</v>
      </c>
      <c r="B80" t="s">
        <v>0</v>
      </c>
      <c r="D80" t="s">
        <v>2196</v>
      </c>
      <c r="E80" t="str" cm="1">
        <f t="array" ref="E80">IF(COUNTIF(A:A, "*" &amp; LEFT(D80, FIND(" ", D80 &amp; " ") - 1) &amp; "*") &gt; 0,INDEX(A:A,FuzzyVLookup(D80,A:A,0,,,2)),"Non-PDL")</f>
        <v>AURYXIA (ferric citrate)</v>
      </c>
      <c r="F80" t="str">
        <f t="shared" si="1"/>
        <v>Non-Preferred</v>
      </c>
      <c r="G80" s="1" cm="1">
        <f t="array" ref="G80">FuzzyPercent(D80,E80,2)</f>
        <v>0.26086956262588501</v>
      </c>
      <c r="H80" t="str" cm="1">
        <f t="array" ref="H80">IF(F80="Non-PDL","",IF(FuzzyPercent(D80,E80,2)&lt;0.4,"CHECK",""))</f>
        <v>CHECK</v>
      </c>
    </row>
    <row r="81" spans="1:8" x14ac:dyDescent="0.2">
      <c r="A81" t="s">
        <v>160</v>
      </c>
      <c r="B81" t="s">
        <v>0</v>
      </c>
      <c r="D81" t="s">
        <v>2197</v>
      </c>
      <c r="E81" t="str" cm="1">
        <f t="array" ref="E81">IF(COUNTIF(A:A, "*" &amp; LEFT(D81, FIND(" ", D81 &amp; " ") - 1) &amp; "*") &gt; 0,INDEX(A:A,FuzzyVLookup(D81,A:A,0,,,2)),"Non-PDL")</f>
        <v>Non-PDL</v>
      </c>
      <c r="F81" t="str">
        <f t="shared" si="1"/>
        <v>Non-PDL</v>
      </c>
      <c r="G81" s="1" cm="1">
        <f t="array" ref="G81">FuzzyPercent(D81,E81,2)</f>
        <v>0</v>
      </c>
      <c r="H81" t="str" cm="1">
        <f t="array" ref="H81">IF(F81="Non-PDL","",IF(FuzzyPercent(D81,E81,2)&lt;0.4,"CHECK",""))</f>
        <v/>
      </c>
    </row>
    <row r="82" spans="1:8" x14ac:dyDescent="0.2">
      <c r="A82" t="s">
        <v>162</v>
      </c>
      <c r="B82" t="s">
        <v>0</v>
      </c>
      <c r="D82" t="s">
        <v>2198</v>
      </c>
      <c r="E82" t="str" cm="1">
        <f t="array" ref="E82">IF(COUNTIF(A:A, "*" &amp; LEFT(D82, FIND(" ", D82 &amp; " ") - 1) &amp; "*") &gt; 0,INDEX(A:A,FuzzyVLookup(D82,A:A,0,,,2)),"Non-PDL")</f>
        <v>Non-PDL</v>
      </c>
      <c r="F82" t="str">
        <f t="shared" si="1"/>
        <v>Non-PDL</v>
      </c>
      <c r="G82" s="1" cm="1">
        <f t="array" ref="G82">FuzzyPercent(D82,E82,2)</f>
        <v>0</v>
      </c>
      <c r="H82" t="str" cm="1">
        <f t="array" ref="H82">IF(F82="Non-PDL","",IF(FuzzyPercent(D82,E82,2)&lt;0.4,"CHECK",""))</f>
        <v/>
      </c>
    </row>
    <row r="83" spans="1:8" x14ac:dyDescent="0.2">
      <c r="A83" t="s">
        <v>164</v>
      </c>
      <c r="B83" t="s">
        <v>0</v>
      </c>
      <c r="D83" t="s">
        <v>2199</v>
      </c>
      <c r="E83" t="str" cm="1">
        <f t="array" ref="E83">IF(COUNTIF(A:A, "*" &amp; LEFT(D83, FIND(" ", D83 &amp; " ") - 1) &amp; "*") &gt; 0,INDEX(A:A,FuzzyVLookup(D83,A:A,0,,,2)),"Non-PDL")</f>
        <v>Non-PDL</v>
      </c>
      <c r="F83" t="str">
        <f t="shared" si="1"/>
        <v>Non-PDL</v>
      </c>
      <c r="G83" s="1" cm="1">
        <f t="array" ref="G83">FuzzyPercent(D83,E83,2)</f>
        <v>1.6129031777381897E-2</v>
      </c>
      <c r="H83" t="str" cm="1">
        <f t="array" ref="H83">IF(F83="Non-PDL","",IF(FuzzyPercent(D83,E83,2)&lt;0.4,"CHECK",""))</f>
        <v/>
      </c>
    </row>
    <row r="84" spans="1:8" x14ac:dyDescent="0.2">
      <c r="A84" t="s">
        <v>166</v>
      </c>
      <c r="B84" t="s">
        <v>0</v>
      </c>
      <c r="D84" t="s">
        <v>2200</v>
      </c>
      <c r="E84" t="str" cm="1">
        <f t="array" ref="E84">IF(COUNTIF(A:A, "*" &amp; LEFT(D84, FIND(" ", D84 &amp; " ") - 1) &amp; "*") &gt; 0,INDEX(A:A,FuzzyVLookup(D84,A:A,0,,,2)),"Non-PDL")</f>
        <v>AUVELITY (bupropion/dextromethorphan)</v>
      </c>
      <c r="F84" t="str">
        <f t="shared" si="1"/>
        <v>Non-Preferred</v>
      </c>
      <c r="G84" s="1" cm="1">
        <f t="array" ref="G84">FuzzyPercent(D84,E84,2)</f>
        <v>0.20512820780277252</v>
      </c>
      <c r="H84" t="str" cm="1">
        <f t="array" ref="H84">IF(F84="Non-PDL","",IF(FuzzyPercent(D84,E84,2)&lt;0.4,"CHECK",""))</f>
        <v>CHECK</v>
      </c>
    </row>
    <row r="85" spans="1:8" x14ac:dyDescent="0.2">
      <c r="A85" t="s">
        <v>168</v>
      </c>
      <c r="B85" t="s">
        <v>0</v>
      </c>
      <c r="D85" t="s">
        <v>2201</v>
      </c>
      <c r="E85" t="str" cm="1">
        <f t="array" ref="E85">IF(COUNTIF(A:A, "*" &amp; LEFT(D85, FIND(" ", D85 &amp; " ") - 1) &amp; "*") &gt; 0,INDEX(A:A,FuzzyVLookup(D85,A:A,0,,,2)),"Non-PDL")</f>
        <v>AUVI-Q (epinephrine)</v>
      </c>
      <c r="F85" t="str">
        <f t="shared" si="1"/>
        <v>Non-Preferred</v>
      </c>
      <c r="G85" s="1" cm="1">
        <f t="array" ref="G85">FuzzyPercent(D85,E85,2)</f>
        <v>0.24657534062862396</v>
      </c>
      <c r="H85" t="str" cm="1">
        <f t="array" ref="H85">IF(F85="Non-PDL","",IF(FuzzyPercent(D85,E85,2)&lt;0.4,"CHECK",""))</f>
        <v>CHECK</v>
      </c>
    </row>
    <row r="86" spans="1:8" x14ac:dyDescent="0.2">
      <c r="A86" t="s">
        <v>170</v>
      </c>
      <c r="B86" t="s">
        <v>0</v>
      </c>
      <c r="D86" t="s">
        <v>2202</v>
      </c>
      <c r="E86" t="str" cm="1">
        <f t="array" ref="E86">IF(COUNTIF(A:A, "*" &amp; LEFT(D86, FIND(" ", D86 &amp; " ") - 1) &amp; "*") &gt; 0,INDEX(A:A,FuzzyVLookup(D86,A:A,0,,,2)),"Non-PDL")</f>
        <v>AUVI-Q (epinephrine)</v>
      </c>
      <c r="F86" t="str">
        <f t="shared" si="1"/>
        <v>Non-Preferred</v>
      </c>
      <c r="G86" s="1" cm="1">
        <f t="array" ref="G86">FuzzyPercent(D86,E86,2)</f>
        <v>0.25714287161827087</v>
      </c>
      <c r="H86" t="str" cm="1">
        <f t="array" ref="H86">IF(F86="Non-PDL","",IF(FuzzyPercent(D86,E86,2)&lt;0.4,"CHECK",""))</f>
        <v>CHECK</v>
      </c>
    </row>
    <row r="87" spans="1:8" x14ac:dyDescent="0.2">
      <c r="A87" t="s">
        <v>172</v>
      </c>
      <c r="B87" t="s">
        <v>0</v>
      </c>
      <c r="D87" t="s">
        <v>2203</v>
      </c>
      <c r="E87" t="str" cm="1">
        <f t="array" ref="E87">IF(COUNTIF(A:A, "*" &amp; LEFT(D87, FIND(" ", D87 &amp; " ") - 1) &amp; "*") &gt; 0,INDEX(A:A,FuzzyVLookup(D87,A:A,0,,,2)),"Non-PDL")</f>
        <v>AUVI-Q (epinephrine)</v>
      </c>
      <c r="F87" t="str">
        <f t="shared" si="1"/>
        <v>Non-Preferred</v>
      </c>
      <c r="G87" s="1" cm="1">
        <f t="array" ref="G87">FuzzyPercent(D87,E87,2)</f>
        <v>0.25714287161827087</v>
      </c>
      <c r="H87" t="str" cm="1">
        <f t="array" ref="H87">IF(F87="Non-PDL","",IF(FuzzyPercent(D87,E87,2)&lt;0.4,"CHECK",""))</f>
        <v>CHECK</v>
      </c>
    </row>
    <row r="88" spans="1:8" x14ac:dyDescent="0.2">
      <c r="A88" t="s">
        <v>174</v>
      </c>
      <c r="B88" t="s">
        <v>0</v>
      </c>
      <c r="D88" t="s">
        <v>2204</v>
      </c>
      <c r="E88" t="str" cm="1">
        <f t="array" ref="E88">IF(COUNTIF(A:A, "*" &amp; LEFT(D88, FIND(" ", D88 &amp; " ") - 1) &amp; "*") &gt; 0,INDEX(A:A,FuzzyVLookup(D88,A:A,0,,,2)),"Non-PDL")</f>
        <v>Non-PDL</v>
      </c>
      <c r="F88" t="str">
        <f t="shared" si="1"/>
        <v>Non-PDL</v>
      </c>
      <c r="G88" s="1" cm="1">
        <f t="array" ref="G88">FuzzyPercent(D88,E88,2)</f>
        <v>0</v>
      </c>
      <c r="H88" t="str" cm="1">
        <f t="array" ref="H88">IF(F88="Non-PDL","",IF(FuzzyPercent(D88,E88,2)&lt;0.4,"CHECK",""))</f>
        <v/>
      </c>
    </row>
    <row r="89" spans="1:8" x14ac:dyDescent="0.2">
      <c r="A89" t="s">
        <v>176</v>
      </c>
      <c r="B89" t="s">
        <v>0</v>
      </c>
      <c r="D89" t="s">
        <v>2205</v>
      </c>
      <c r="E89" t="str" cm="1">
        <f t="array" ref="E89">IF(COUNTIF(A:A, "*" &amp; LEFT(D89, FIND(" ", D89 &amp; " ") - 1) &amp; "*") &gt; 0,INDEX(A:A,FuzzyVLookup(D89,A:A,0,,,2)),"Non-PDL")</f>
        <v>AVONEX (interferon beta-1a)</v>
      </c>
      <c r="F89" t="str">
        <f t="shared" si="1"/>
        <v>Non-Preferred</v>
      </c>
      <c r="G89" s="1" cm="1">
        <f t="array" ref="G89">FuzzyPercent(D89,E89,2)</f>
        <v>0.17543859779834747</v>
      </c>
      <c r="H89" t="str" cm="1">
        <f t="array" ref="H89">IF(F89="Non-PDL","",IF(FuzzyPercent(D89,E89,2)&lt;0.4,"CHECK",""))</f>
        <v>CHECK</v>
      </c>
    </row>
    <row r="90" spans="1:8" x14ac:dyDescent="0.2">
      <c r="A90" t="s">
        <v>178</v>
      </c>
      <c r="B90" t="s">
        <v>0</v>
      </c>
      <c r="D90" t="s">
        <v>2206</v>
      </c>
      <c r="E90" t="str" cm="1">
        <f t="array" ref="E90">IF(COUNTIF(A:A, "*" &amp; LEFT(D90, FIND(" ", D90 &amp; " ") - 1) &amp; "*") &gt; 0,INDEX(A:A,FuzzyVLookup(D90,A:A,0,,,2)),"Non-PDL")</f>
        <v>ibandronate syringe/vial</v>
      </c>
      <c r="F90" t="str">
        <f t="shared" si="1"/>
        <v>Non-Preferred</v>
      </c>
      <c r="G90" s="1" cm="1">
        <f t="array" ref="G90">FuzzyPercent(D90,E90,2)</f>
        <v>0.18333333730697632</v>
      </c>
      <c r="H90" t="str" cm="1">
        <f t="array" ref="H90">IF(F90="Non-PDL","",IF(FuzzyPercent(D90,E90,2)&lt;0.4,"CHECK",""))</f>
        <v>CHECK</v>
      </c>
    </row>
    <row r="91" spans="1:8" x14ac:dyDescent="0.2">
      <c r="A91" t="s">
        <v>180</v>
      </c>
      <c r="B91" t="s">
        <v>0</v>
      </c>
      <c r="D91" t="s">
        <v>2207</v>
      </c>
      <c r="E91" t="str" cm="1">
        <f t="array" ref="E91">IF(COUNTIF(A:A, "*" &amp; LEFT(D91, FIND(" ", D91 &amp; " ") - 1) &amp; "*") &gt; 0,INDEX(A:A,FuzzyVLookup(D91,A:A,0,,,2)),"Non-PDL")</f>
        <v>ONUREG (azacitidine)</v>
      </c>
      <c r="F91" t="str">
        <f t="shared" si="1"/>
        <v>Non-Preferred</v>
      </c>
      <c r="G91" s="1" cm="1">
        <f t="array" ref="G91">FuzzyPercent(D91,E91,2)</f>
        <v>0.40000000596046448</v>
      </c>
      <c r="H91" t="str" cm="1">
        <f t="array" ref="H91">IF(F91="Non-PDL","",IF(FuzzyPercent(D91,E91,2)&lt;0.4,"CHECK",""))</f>
        <v/>
      </c>
    </row>
    <row r="92" spans="1:8" x14ac:dyDescent="0.2">
      <c r="A92" t="s">
        <v>182</v>
      </c>
      <c r="B92" t="s">
        <v>0</v>
      </c>
      <c r="D92" t="s">
        <v>2208</v>
      </c>
      <c r="E92" t="str" cm="1">
        <f t="array" ref="E92">IF(COUNTIF(A:A, "*" &amp; LEFT(D92, FIND(" ", D92 &amp; " ") - 1) &amp; "*") &gt; 0,INDEX(A:A,FuzzyVLookup(D92,A:A,0,,,2)),"Non-PDL")</f>
        <v>EDARBI (azilsartan)</v>
      </c>
      <c r="F92" t="str">
        <f t="shared" si="1"/>
        <v>Non-Preferred</v>
      </c>
      <c r="G92" s="1" cm="1">
        <f t="array" ref="G92">FuzzyPercent(D92,E92,2)</f>
        <v>0.51724135875701904</v>
      </c>
      <c r="H92" t="str" cm="1">
        <f t="array" ref="H92">IF(F92="Non-PDL","",IF(FuzzyPercent(D92,E92,2)&lt;0.4,"CHECK",""))</f>
        <v/>
      </c>
    </row>
    <row r="93" spans="1:8" x14ac:dyDescent="0.2">
      <c r="A93" t="s">
        <v>184</v>
      </c>
      <c r="B93" t="s">
        <v>0</v>
      </c>
      <c r="D93" t="s">
        <v>2209</v>
      </c>
      <c r="E93" t="str" cm="1">
        <f t="array" ref="E93">IF(COUNTIF(A:A, "*" &amp; LEFT(D93, FIND(" ", D93 &amp; " ") - 1) &amp; "*") &gt; 0,INDEX(A:A,FuzzyVLookup(D93,A:A,0,,,2)),"Non-PDL")</f>
        <v>AZSTARYS (serdexmethylphenidate/dexmethylphenidate)</v>
      </c>
      <c r="F93" t="str">
        <f t="shared" si="1"/>
        <v>Non-Preferred</v>
      </c>
      <c r="G93" s="1" cm="1">
        <f t="array" ref="G93">FuzzyPercent(D93,E93,2)</f>
        <v>0.13953489065170288</v>
      </c>
      <c r="H93" t="str" cm="1">
        <f t="array" ref="H93">IF(F93="Non-PDL","",IF(FuzzyPercent(D93,E93,2)&lt;0.4,"CHECK",""))</f>
        <v>CHECK</v>
      </c>
    </row>
    <row r="94" spans="1:8" x14ac:dyDescent="0.2">
      <c r="A94" t="s">
        <v>186</v>
      </c>
      <c r="B94" t="s">
        <v>0</v>
      </c>
      <c r="D94" t="s">
        <v>2210</v>
      </c>
      <c r="E94" t="str" cm="1">
        <f t="array" ref="E94">IF(COUNTIF(A:A, "*" &amp; LEFT(D94, FIND(" ", D94 &amp; " ") - 1) &amp; "*") &gt; 0,INDEX(A:A,FuzzyVLookup(D94,A:A,0,,,2)),"Non-PDL")</f>
        <v>baclofen suspension</v>
      </c>
      <c r="F94" t="str">
        <f t="shared" si="1"/>
        <v>Non-Preferred</v>
      </c>
      <c r="G94" s="1" cm="1">
        <f t="array" ref="G94">FuzzyPercent(D94,E94,2)</f>
        <v>0.47368422150611877</v>
      </c>
      <c r="H94" t="str" cm="1">
        <f t="array" ref="H94">IF(F94="Non-PDL","",IF(FuzzyPercent(D94,E94,2)&lt;0.4,"CHECK",""))</f>
        <v/>
      </c>
    </row>
    <row r="95" spans="1:8" x14ac:dyDescent="0.2">
      <c r="A95" t="s">
        <v>188</v>
      </c>
      <c r="B95" t="s">
        <v>0</v>
      </c>
      <c r="D95" t="s">
        <v>2211</v>
      </c>
      <c r="E95" t="str" cm="1">
        <f t="array" ref="E95">IF(COUNTIF(A:A, "*" &amp; LEFT(D95, FIND(" ", D95 &amp; " ") - 1) &amp; "*") &gt; 0,INDEX(A:A,FuzzyVLookup(D95,A:A,0,,,2)),"Non-PDL")</f>
        <v>baclofen 15 mg tablet</v>
      </c>
      <c r="F95" t="str">
        <f t="shared" si="1"/>
        <v>Non-Preferred</v>
      </c>
      <c r="G95" s="1" cm="1">
        <f t="array" ref="G95">FuzzyPercent(D95,E95,2)</f>
        <v>0.5443037748336792</v>
      </c>
      <c r="H95" t="str" cm="1">
        <f t="array" ref="H95">IF(F95="Non-PDL","",IF(FuzzyPercent(D95,E95,2)&lt;0.4,"CHECK",""))</f>
        <v/>
      </c>
    </row>
    <row r="96" spans="1:8" x14ac:dyDescent="0.2">
      <c r="A96" t="s">
        <v>190</v>
      </c>
      <c r="B96" t="s">
        <v>0</v>
      </c>
      <c r="D96" t="s">
        <v>2212</v>
      </c>
      <c r="E96" t="str" cm="1">
        <f t="array" ref="E96">IF(COUNTIF(A:A, "*" &amp; LEFT(D96, FIND(" ", D96 &amp; " ") - 1) &amp; "*") &gt; 0,INDEX(A:A,FuzzyVLookup(D96,A:A,0,,,2)),"Non-PDL")</f>
        <v>BAFIERTAM (monomethyl fumarate)</v>
      </c>
      <c r="F96" t="str">
        <f t="shared" si="1"/>
        <v>Non-Preferred</v>
      </c>
      <c r="G96" s="1" cm="1">
        <f t="array" ref="G96">FuzzyPercent(D96,E96,2)</f>
        <v>0.2916666567325592</v>
      </c>
      <c r="H96" t="str" cm="1">
        <f t="array" ref="H96">IF(F96="Non-PDL","",IF(FuzzyPercent(D96,E96,2)&lt;0.4,"CHECK",""))</f>
        <v>CHECK</v>
      </c>
    </row>
    <row r="97" spans="1:8" x14ac:dyDescent="0.2">
      <c r="A97" t="s">
        <v>192</v>
      </c>
      <c r="B97" t="s">
        <v>0</v>
      </c>
      <c r="D97" t="s">
        <v>2213</v>
      </c>
      <c r="E97" t="str" cm="1">
        <f t="array" ref="E97">IF(COUNTIF(A:A, "*" &amp; LEFT(D97, FIND(" ", D97 &amp; " ") - 1) &amp; "*") &gt; 0,INDEX(A:A,FuzzyVLookup(D97,A:A,0,,,2)),"Non-PDL")</f>
        <v>baclofen suspension</v>
      </c>
      <c r="F97" t="str">
        <f t="shared" si="1"/>
        <v>Non-Preferred</v>
      </c>
      <c r="G97" s="1" cm="1">
        <f t="array" ref="G97">FuzzyPercent(D97,E97,2)</f>
        <v>0.28846153616905212</v>
      </c>
      <c r="H97" t="str" cm="1">
        <f t="array" ref="H97">IF(F97="Non-PDL","",IF(FuzzyPercent(D97,E97,2)&lt;0.4,"CHECK",""))</f>
        <v>CHECK</v>
      </c>
    </row>
    <row r="98" spans="1:8" x14ac:dyDescent="0.2">
      <c r="A98" t="s">
        <v>194</v>
      </c>
      <c r="B98" t="s">
        <v>0</v>
      </c>
      <c r="D98" t="s">
        <v>2214</v>
      </c>
      <c r="E98" t="str" cm="1">
        <f t="array" ref="E98">IF(COUNTIF(A:A, "*" &amp; LEFT(D98, FIND(" ", D98 &amp; " ") - 1) &amp; "*") &gt; 0,INDEX(A:A,FuzzyVLookup(D98,A:A,0,,,2)),"Non-PDL")</f>
        <v>BANZEL (rufinamide)</v>
      </c>
      <c r="F98" t="str">
        <f t="shared" si="1"/>
        <v>Non-Preferred</v>
      </c>
      <c r="G98" s="1" cm="1">
        <f t="array" ref="G98">FuzzyPercent(D98,E98,2)</f>
        <v>0.27692309021949768</v>
      </c>
      <c r="H98" t="str" cm="1">
        <f t="array" ref="H98">IF(F98="Non-PDL","",IF(FuzzyPercent(D98,E98,2)&lt;0.4,"CHECK",""))</f>
        <v>CHECK</v>
      </c>
    </row>
    <row r="99" spans="1:8" x14ac:dyDescent="0.2">
      <c r="A99" t="s">
        <v>196</v>
      </c>
      <c r="B99" t="s">
        <v>0</v>
      </c>
      <c r="D99" t="s">
        <v>2215</v>
      </c>
      <c r="E99" t="str" cm="1">
        <f t="array" ref="E99">IF(COUNTIF(A:A, "*" &amp; LEFT(D99, FIND(" ", D99 &amp; " ") - 1) &amp; "*") &gt; 0,INDEX(A:A,FuzzyVLookup(D99,A:A,0,,,2)),"Non-PDL")</f>
        <v>BARACLUDE (entecavir)</v>
      </c>
      <c r="F99" t="str">
        <f t="shared" si="1"/>
        <v>Non-Preferred</v>
      </c>
      <c r="G99" s="1" cm="1">
        <f t="array" ref="G99">FuzzyPercent(D99,E99,2)</f>
        <v>0.4444444477558136</v>
      </c>
      <c r="H99" t="str" cm="1">
        <f t="array" ref="H99">IF(F99="Non-PDL","",IF(FuzzyPercent(D99,E99,2)&lt;0.4,"CHECK",""))</f>
        <v/>
      </c>
    </row>
    <row r="100" spans="1:8" x14ac:dyDescent="0.2">
      <c r="A100" t="s">
        <v>198</v>
      </c>
      <c r="B100" t="s">
        <v>0</v>
      </c>
      <c r="D100" t="s">
        <v>2216</v>
      </c>
      <c r="E100" t="str" cm="1">
        <f t="array" ref="E100">IF(COUNTIF(A:A, "*" &amp; LEFT(D100, FIND(" ", D100 &amp; " ") - 1) &amp; "*") &gt; 0,INDEX(A:A,FuzzyVLookup(D100,A:A,0,,,2)),"Non-PDL")</f>
        <v>BASAGLAR (insulin glargine)</v>
      </c>
      <c r="F100" t="str">
        <f t="shared" si="1"/>
        <v>Non-Preferred</v>
      </c>
      <c r="G100" s="1" cm="1">
        <f t="array" ref="G100">FuzzyPercent(D100,E100,2)</f>
        <v>0.27450981736183167</v>
      </c>
      <c r="H100" t="str" cm="1">
        <f t="array" ref="H100">IF(F100="Non-PDL","",IF(FuzzyPercent(D100,E100,2)&lt;0.4,"CHECK",""))</f>
        <v>CHECK</v>
      </c>
    </row>
    <row r="101" spans="1:8" x14ac:dyDescent="0.2">
      <c r="A101" t="s">
        <v>200</v>
      </c>
      <c r="B101" t="s">
        <v>0</v>
      </c>
      <c r="D101" t="s">
        <v>2217</v>
      </c>
      <c r="E101" t="str" cm="1">
        <f t="array" ref="E101">IF(COUNTIF(A:A, "*" &amp; LEFT(D101, FIND(" ", D101 &amp; " ") - 1) &amp; "*") &gt; 0,INDEX(A:A,FuzzyVLookup(D101,A:A,0,,,2)),"Non-PDL")</f>
        <v>Non-PDL</v>
      </c>
      <c r="F101" t="str">
        <f t="shared" si="1"/>
        <v>Non-PDL</v>
      </c>
      <c r="G101" s="1" cm="1">
        <f t="array" ref="G101">FuzzyPercent(D101,E101,2)</f>
        <v>0</v>
      </c>
      <c r="H101" t="str" cm="1">
        <f t="array" ref="H101">IF(F101="Non-PDL","",IF(FuzzyPercent(D101,E101,2)&lt;0.4,"CHECK",""))</f>
        <v/>
      </c>
    </row>
    <row r="102" spans="1:8" x14ac:dyDescent="0.2">
      <c r="A102" t="s">
        <v>202</v>
      </c>
      <c r="B102" t="s">
        <v>0</v>
      </c>
      <c r="D102" t="s">
        <v>2218</v>
      </c>
      <c r="E102" t="str" cm="1">
        <f t="array" ref="E102">IF(COUNTIF(A:A, "*" &amp; LEFT(D102, FIND(" ", D102 &amp; " ") - 1) &amp; "*") &gt; 0,INDEX(A:A,FuzzyVLookup(D102,A:A,0,,,2)),"Non-PDL")</f>
        <v>benazepril</v>
      </c>
      <c r="F102" t="str">
        <f t="shared" si="1"/>
        <v>Preferred</v>
      </c>
      <c r="G102" s="1" cm="1">
        <f t="array" ref="G102">FuzzyPercent(D102,E102,2)</f>
        <v>1</v>
      </c>
      <c r="H102" t="str" cm="1">
        <f t="array" ref="H102">IF(F102="Non-PDL","",IF(FuzzyPercent(D102,E102,2)&lt;0.4,"CHECK",""))</f>
        <v/>
      </c>
    </row>
    <row r="103" spans="1:8" x14ac:dyDescent="0.2">
      <c r="A103" t="s">
        <v>204</v>
      </c>
      <c r="B103" t="s">
        <v>0</v>
      </c>
      <c r="D103" t="s">
        <v>2219</v>
      </c>
      <c r="E103" t="str" cm="1">
        <f t="array" ref="E103">IF(COUNTIF(A:A, "*" &amp; LEFT(D103, FIND(" ", D103 &amp; " ") - 1) &amp; "*") &gt; 0,INDEX(A:A,FuzzyVLookup(D103,A:A,0,,,2)),"Non-PDL")</f>
        <v>BENEFIX</v>
      </c>
      <c r="F103" t="str">
        <f t="shared" si="1"/>
        <v>Preferred</v>
      </c>
      <c r="G103" s="1" cm="1">
        <f t="array" ref="G103">FuzzyPercent(D103,E103,2)</f>
        <v>1</v>
      </c>
      <c r="H103" t="str" cm="1">
        <f t="array" ref="H103">IF(F103="Non-PDL","",IF(FuzzyPercent(D103,E103,2)&lt;0.4,"CHECK",""))</f>
        <v/>
      </c>
    </row>
    <row r="104" spans="1:8" x14ac:dyDescent="0.2">
      <c r="A104" t="s">
        <v>206</v>
      </c>
      <c r="B104" t="s">
        <v>0</v>
      </c>
      <c r="D104" t="s">
        <v>2220</v>
      </c>
      <c r="E104" t="str" cm="1">
        <f t="array" ref="E104">IF(COUNTIF(A:A, "*" &amp; LEFT(D104, FIND(" ", D104 &amp; " ") - 1) &amp; "*") &gt; 0,INDEX(A:A,FuzzyVLookup(D104,A:A,0,,,2)),"Non-PDL")</f>
        <v>Non-PDL</v>
      </c>
      <c r="F104" t="str">
        <f t="shared" si="1"/>
        <v>Non-PDL</v>
      </c>
      <c r="G104" s="1" cm="1">
        <f t="array" ref="G104">FuzzyPercent(D104,E104,2)</f>
        <v>0</v>
      </c>
      <c r="H104" t="str" cm="1">
        <f t="array" ref="H104">IF(F104="Non-PDL","",IF(FuzzyPercent(D104,E104,2)&lt;0.4,"CHECK",""))</f>
        <v/>
      </c>
    </row>
    <row r="105" spans="1:8" x14ac:dyDescent="0.2">
      <c r="A105" t="s">
        <v>208</v>
      </c>
      <c r="B105" t="s">
        <v>0</v>
      </c>
      <c r="D105" t="s">
        <v>2221</v>
      </c>
      <c r="E105" t="str" cm="1">
        <f t="array" ref="E105">IF(COUNTIF(A:A, "*" &amp; LEFT(D105, FIND(" ", D105 &amp; " ") - 1) &amp; "*") &gt; 0,INDEX(A:A,FuzzyVLookup(D105,A:A,0,,,2)),"Non-PDL")</f>
        <v>Non-PDL</v>
      </c>
      <c r="F105" t="str">
        <f t="shared" si="1"/>
        <v>Non-PDL</v>
      </c>
      <c r="G105" s="1" cm="1">
        <f t="array" ref="G105">FuzzyPercent(D105,E105,2)</f>
        <v>0</v>
      </c>
      <c r="H105" t="str" cm="1">
        <f t="array" ref="H105">IF(F105="Non-PDL","",IF(FuzzyPercent(D105,E105,2)&lt;0.4,"CHECK",""))</f>
        <v/>
      </c>
    </row>
    <row r="106" spans="1:8" x14ac:dyDescent="0.2">
      <c r="A106" t="s">
        <v>210</v>
      </c>
      <c r="B106" t="s">
        <v>0</v>
      </c>
      <c r="D106" t="s">
        <v>2222</v>
      </c>
      <c r="E106" t="str" cm="1">
        <f t="array" ref="E106">IF(COUNTIF(A:A, "*" &amp; LEFT(D106, FIND(" ", D106 &amp; " ") - 1) &amp; "*") &gt; 0,INDEX(A:A,FuzzyVLookup(D106,A:A,0,,,2)),"Non-PDL")</f>
        <v>BETAPACE (sotalol)</v>
      </c>
      <c r="F106" t="str">
        <f t="shared" si="1"/>
        <v>Non-Preferred</v>
      </c>
      <c r="G106" s="1" cm="1">
        <f t="array" ref="G106">FuzzyPercent(D106,E106,2)</f>
        <v>0.46153846383094788</v>
      </c>
      <c r="H106" t="str" cm="1">
        <f t="array" ref="H106">IF(F106="Non-PDL","",IF(FuzzyPercent(D106,E106,2)&lt;0.4,"CHECK",""))</f>
        <v/>
      </c>
    </row>
    <row r="107" spans="1:8" x14ac:dyDescent="0.2">
      <c r="A107" t="s">
        <v>212</v>
      </c>
      <c r="B107" t="s">
        <v>0</v>
      </c>
      <c r="D107" t="s">
        <v>2223</v>
      </c>
      <c r="E107" t="str" cm="1">
        <f t="array" ref="E107">IF(COUNTIF(A:A, "*" &amp; LEFT(D107, FIND(" ", D107 &amp; " ") - 1) &amp; "*") &gt; 0,INDEX(A:A,FuzzyVLookup(D107,A:A,0,,,2)),"Non-PDL")</f>
        <v>BETAPACE AF (sotalol)</v>
      </c>
      <c r="F107" t="str">
        <f t="shared" si="1"/>
        <v>Non-Preferred</v>
      </c>
      <c r="G107" s="1" cm="1">
        <f t="array" ref="G107">FuzzyPercent(D107,E107,2)</f>
        <v>0.53731346130371094</v>
      </c>
      <c r="H107" t="str" cm="1">
        <f t="array" ref="H107">IF(F107="Non-PDL","",IF(FuzzyPercent(D107,E107,2)&lt;0.4,"CHECK",""))</f>
        <v/>
      </c>
    </row>
    <row r="108" spans="1:8" x14ac:dyDescent="0.2">
      <c r="A108" t="s">
        <v>214</v>
      </c>
      <c r="B108" t="s">
        <v>0</v>
      </c>
      <c r="D108" t="s">
        <v>2224</v>
      </c>
      <c r="E108" t="str" cm="1">
        <f t="array" ref="E108">IF(COUNTIF(A:A, "*" &amp; LEFT(D108, FIND(" ", D108 &amp; " ") - 1) &amp; "*") &gt; 0,INDEX(A:A,FuzzyVLookup(D108,A:A,0,,,2)),"Non-PDL")</f>
        <v>betaxolol</v>
      </c>
      <c r="F108" t="str">
        <f t="shared" si="1"/>
        <v>Non-Preferred</v>
      </c>
      <c r="G108" s="1" cm="1">
        <f t="array" ref="G108">FuzzyPercent(D108,E108,2)</f>
        <v>0.17391304671764374</v>
      </c>
      <c r="H108" t="str" cm="1">
        <f t="array" ref="H108">IF(F108="Non-PDL","",IF(FuzzyPercent(D108,E108,2)&lt;0.4,"CHECK",""))</f>
        <v>CHECK</v>
      </c>
    </row>
    <row r="109" spans="1:8" x14ac:dyDescent="0.2">
      <c r="A109" t="s">
        <v>216</v>
      </c>
      <c r="B109" t="s">
        <v>0</v>
      </c>
      <c r="D109" t="s">
        <v>2225</v>
      </c>
      <c r="E109" t="str" cm="1">
        <f t="array" ref="E109">IF(COUNTIF(A:A, "*" &amp; LEFT(D109, FIND(" ", D109 &amp; " ") - 1) &amp; "*") &gt; 0,INDEX(A:A,FuzzyVLookup(D109,A:A,0,,,2)),"Non-PDL")</f>
        <v>BEVESPI AEROSPHERE (glycopyrrolate/formoterol)</v>
      </c>
      <c r="F109" t="str">
        <f t="shared" si="1"/>
        <v>Non-Preferred</v>
      </c>
      <c r="G109" s="1" cm="1">
        <f t="array" ref="G109">FuzzyPercent(D109,E109,2)</f>
        <v>0.4444444477558136</v>
      </c>
      <c r="H109" t="str" cm="1">
        <f t="array" ref="H109">IF(F109="Non-PDL","",IF(FuzzyPercent(D109,E109,2)&lt;0.4,"CHECK",""))</f>
        <v/>
      </c>
    </row>
    <row r="110" spans="1:8" x14ac:dyDescent="0.2">
      <c r="A110" t="s">
        <v>218</v>
      </c>
      <c r="B110" t="s">
        <v>0</v>
      </c>
      <c r="D110" t="s">
        <v>2226</v>
      </c>
      <c r="E110" t="str" cm="1">
        <f t="array" ref="E110">IF(COUNTIF(A:A, "*" &amp; LEFT(D110, FIND(" ", D110 &amp; " ") - 1) &amp; "*") &gt; 0,INDEX(A:A,FuzzyVLookup(D110,A:A,0,,,2)),"Non-PDL")</f>
        <v>BIKTARVY (bictegravir/emtricitabine/tenofovir)</v>
      </c>
      <c r="F110" t="str">
        <f t="shared" si="1"/>
        <v>Preferred</v>
      </c>
      <c r="G110" s="1" cm="1">
        <f t="array" ref="G110">FuzzyPercent(D110,E110,2)</f>
        <v>0.15789473056793213</v>
      </c>
      <c r="H110" t="str" cm="1">
        <f t="array" ref="H110">IF(F110="Non-PDL","",IF(FuzzyPercent(D110,E110,2)&lt;0.4,"CHECK",""))</f>
        <v>CHECK</v>
      </c>
    </row>
    <row r="111" spans="1:8" x14ac:dyDescent="0.2">
      <c r="A111" t="s">
        <v>220</v>
      </c>
      <c r="B111" t="s">
        <v>0</v>
      </c>
      <c r="D111" t="s">
        <v>2227</v>
      </c>
      <c r="E111" t="str" cm="1">
        <f t="array" ref="E111">IF(COUNTIF(A:A, "*" &amp; LEFT(D111, FIND(" ", D111 &amp; " ") - 1) &amp; "*") &gt; 0,INDEX(A:A,FuzzyVLookup(D111,A:A,0,,,2)),"Non-PDL")</f>
        <v>BIMZELX (bimekizumab-bkzx)</v>
      </c>
      <c r="F111" t="str">
        <f t="shared" si="1"/>
        <v>Non-Preferred</v>
      </c>
      <c r="G111" s="1" cm="1">
        <f t="array" ref="G111">FuzzyPercent(D111,E111,2)</f>
        <v>0.24324324727058411</v>
      </c>
      <c r="H111" t="str" cm="1">
        <f t="array" ref="H111">IF(F111="Non-PDL","",IF(FuzzyPercent(D111,E111,2)&lt;0.4,"CHECK",""))</f>
        <v>CHECK</v>
      </c>
    </row>
    <row r="112" spans="1:8" x14ac:dyDescent="0.2">
      <c r="A112" t="s">
        <v>222</v>
      </c>
      <c r="B112" t="s">
        <v>0</v>
      </c>
      <c r="D112" t="s">
        <v>2228</v>
      </c>
      <c r="E112" t="str" cm="1">
        <f t="array" ref="E112">IF(COUNTIF(A:A, "*" &amp; LEFT(D112, FIND(" ", D112 &amp; " ") - 1) &amp; "*") &gt; 0,INDEX(A:A,FuzzyVLookup(D112,A:A,0,,,2)),"Non-PDL")</f>
        <v>Non-PDL</v>
      </c>
      <c r="F112" t="str">
        <f t="shared" si="1"/>
        <v>Non-PDL</v>
      </c>
      <c r="G112" s="1" cm="1">
        <f t="array" ref="G112">FuzzyPercent(D112,E112,2)</f>
        <v>0</v>
      </c>
      <c r="H112" t="str" cm="1">
        <f t="array" ref="H112">IF(F112="Non-PDL","",IF(FuzzyPercent(D112,E112,2)&lt;0.4,"CHECK",""))</f>
        <v/>
      </c>
    </row>
    <row r="113" spans="1:8" x14ac:dyDescent="0.2">
      <c r="A113" t="s">
        <v>224</v>
      </c>
      <c r="B113" t="s">
        <v>0</v>
      </c>
      <c r="D113" t="s">
        <v>2229</v>
      </c>
      <c r="E113" t="str" cm="1">
        <f t="array" ref="E113">IF(COUNTIF(A:A, "*" &amp; LEFT(D113, FIND(" ", D113 &amp; " ") - 1) &amp; "*") &gt; 0,INDEX(A:A,FuzzyVLookup(D113,A:A,0,,,2)),"Non-PDL")</f>
        <v>Non-PDL</v>
      </c>
      <c r="F113" t="str">
        <f t="shared" si="1"/>
        <v>Non-PDL</v>
      </c>
      <c r="G113" s="1" cm="1">
        <f t="array" ref="G113">FuzzyPercent(D113,E113,2)</f>
        <v>0</v>
      </c>
      <c r="H113" t="str" cm="1">
        <f t="array" ref="H113">IF(F113="Non-PDL","",IF(FuzzyPercent(D113,E113,2)&lt;0.4,"CHECK",""))</f>
        <v/>
      </c>
    </row>
    <row r="114" spans="1:8" x14ac:dyDescent="0.2">
      <c r="A114" t="s">
        <v>226</v>
      </c>
      <c r="B114" t="s">
        <v>0</v>
      </c>
      <c r="D114" t="s">
        <v>2230</v>
      </c>
      <c r="E114" t="str" cm="1">
        <f t="array" ref="E114">IF(COUNTIF(A:A, "*" &amp; LEFT(D114, FIND(" ", D114 &amp; " ") - 1) &amp; "*") &gt; 0,INDEX(A:A,FuzzyVLookup(D114,A:A,0,,,2)),"Non-PDL")</f>
        <v>bosentan</v>
      </c>
      <c r="F114" t="str">
        <f t="shared" si="1"/>
        <v>Preferred</v>
      </c>
      <c r="G114" s="1" cm="1">
        <f t="array" ref="G114">FuzzyPercent(D114,E114,2)</f>
        <v>1</v>
      </c>
      <c r="H114" t="str" cm="1">
        <f t="array" ref="H114">IF(F114="Non-PDL","",IF(FuzzyPercent(D114,E114,2)&lt;0.4,"CHECK",""))</f>
        <v/>
      </c>
    </row>
    <row r="115" spans="1:8" x14ac:dyDescent="0.2">
      <c r="A115" t="s">
        <v>228</v>
      </c>
      <c r="B115" t="s">
        <v>0</v>
      </c>
      <c r="D115" t="s">
        <v>2231</v>
      </c>
      <c r="E115" t="str" cm="1">
        <f t="array" ref="E115">IF(COUNTIF(A:A, "*" &amp; LEFT(D115, FIND(" ", D115 &amp; " ") - 1) &amp; "*") &gt; 0,INDEX(A:A,FuzzyVLookup(D115,A:A,0,,,2)),"Non-PDL")</f>
        <v>Non-PDL</v>
      </c>
      <c r="F115" t="str">
        <f t="shared" si="1"/>
        <v>Non-PDL</v>
      </c>
      <c r="G115" s="1" cm="1">
        <f t="array" ref="G115">FuzzyPercent(D115,E115,2)</f>
        <v>0</v>
      </c>
      <c r="H115" t="str" cm="1">
        <f t="array" ref="H115">IF(F115="Non-PDL","",IF(FuzzyPercent(D115,E115,2)&lt;0.4,"CHECK",""))</f>
        <v/>
      </c>
    </row>
    <row r="116" spans="1:8" x14ac:dyDescent="0.2">
      <c r="A116" t="s">
        <v>230</v>
      </c>
      <c r="B116" t="s">
        <v>0</v>
      </c>
      <c r="D116" t="s">
        <v>2232</v>
      </c>
      <c r="E116" t="str" cm="1">
        <f t="array" ref="E116">IF(COUNTIF(A:A, "*" &amp; LEFT(D116, FIND(" ", D116 &amp; " ") - 1) &amp; "*") &gt; 0,INDEX(A:A,FuzzyVLookup(D116,A:A,0,,,2)),"Non-PDL")</f>
        <v>BREO ELLIPTA (fluticasone/vilanterol)</v>
      </c>
      <c r="F116" t="str">
        <f t="shared" si="1"/>
        <v>Non-Preferred</v>
      </c>
      <c r="G116" s="1" cm="1">
        <f t="array" ref="G116">FuzzyPercent(D116,E116,2)</f>
        <v>0.359375</v>
      </c>
      <c r="H116" t="str" cm="1">
        <f t="array" ref="H116">IF(F116="Non-PDL","",IF(FuzzyPercent(D116,E116,2)&lt;0.4,"CHECK",""))</f>
        <v>CHECK</v>
      </c>
    </row>
    <row r="117" spans="1:8" x14ac:dyDescent="0.2">
      <c r="A117" t="s">
        <v>232</v>
      </c>
      <c r="B117" t="s">
        <v>0</v>
      </c>
      <c r="D117" t="s">
        <v>2233</v>
      </c>
      <c r="E117" t="str" cm="1">
        <f t="array" ref="E117">IF(COUNTIF(A:A, "*" &amp; LEFT(D117, FIND(" ", D117 &amp; " ") - 1) &amp; "*") &gt; 0,INDEX(A:A,FuzzyVLookup(D117,A:A,0,,,2)),"Non-PDL")</f>
        <v>Non-PDL</v>
      </c>
      <c r="F117" t="str">
        <f t="shared" si="1"/>
        <v>Non-PDL</v>
      </c>
      <c r="G117" s="1" cm="1">
        <f t="array" ref="G117">FuzzyPercent(D117,E117,2)</f>
        <v>0</v>
      </c>
      <c r="H117" t="str" cm="1">
        <f t="array" ref="H117">IF(F117="Non-PDL","",IF(FuzzyPercent(D117,E117,2)&lt;0.4,"CHECK",""))</f>
        <v/>
      </c>
    </row>
    <row r="118" spans="1:8" x14ac:dyDescent="0.2">
      <c r="A118" t="s">
        <v>234</v>
      </c>
      <c r="B118" t="s">
        <v>0</v>
      </c>
      <c r="D118" t="s">
        <v>2234</v>
      </c>
      <c r="E118" t="str" cm="1">
        <f t="array" ref="E118">IF(COUNTIF(A:A, "*" &amp; LEFT(D118, FIND(" ", D118 &amp; " ") - 1) &amp; "*") &gt; 0,INDEX(A:A,FuzzyVLookup(D118,A:A,0,,,2)),"Non-PDL")</f>
        <v>bromfenac</v>
      </c>
      <c r="F118" t="str">
        <f t="shared" si="1"/>
        <v>Non-Preferred</v>
      </c>
      <c r="G118" s="1" cm="1">
        <f t="array" ref="G118">FuzzyPercent(D118,E118,2)</f>
        <v>0.18181818723678589</v>
      </c>
      <c r="H118" t="str" cm="1">
        <f t="array" ref="H118">IF(F118="Non-PDL","",IF(FuzzyPercent(D118,E118,2)&lt;0.4,"CHECK",""))</f>
        <v>CHECK</v>
      </c>
    </row>
    <row r="119" spans="1:8" x14ac:dyDescent="0.2">
      <c r="A119" t="s">
        <v>236</v>
      </c>
      <c r="B119" t="s">
        <v>0</v>
      </c>
      <c r="D119" t="s">
        <v>2235</v>
      </c>
      <c r="E119" t="str" cm="1">
        <f t="array" ref="E119">IF(COUNTIF(A:A, "*" &amp; LEFT(D119, FIND(" ", D119 &amp; " ") - 1) &amp; "*") &gt; 0,INDEX(A:A,FuzzyVLookup(D119,A:A,0,,,2)),"Non-PDL")</f>
        <v>BREZTRI AEROSPHERE_x000D_(budesonide/glycopyrrolate/formoterol) DUR+</v>
      </c>
      <c r="F119" t="str">
        <f t="shared" si="1"/>
        <v>Preferred</v>
      </c>
      <c r="G119" s="1" cm="1">
        <f t="array" ref="G119">FuzzyPercent(D119,E119,2)</f>
        <v>0.32653060555458069</v>
      </c>
      <c r="H119" t="str" cm="1">
        <f t="array" ref="H119">IF(F119="Non-PDL","",IF(FuzzyPercent(D119,E119,2)&lt;0.4,"CHECK",""))</f>
        <v>CHECK</v>
      </c>
    </row>
    <row r="120" spans="1:8" x14ac:dyDescent="0.2">
      <c r="A120" t="s">
        <v>238</v>
      </c>
      <c r="B120" t="s">
        <v>0</v>
      </c>
      <c r="D120" t="s">
        <v>2236</v>
      </c>
      <c r="E120" t="str" cm="1">
        <f t="array" ref="E120">IF(COUNTIF(A:A, "*" &amp; LEFT(D120, FIND(" ", D120 &amp; " ") - 1) &amp; "*") &gt; 0,INDEX(A:A,FuzzyVLookup(D120,A:A,0,,,2)),"Non-PDL")</f>
        <v>BRIUMVI (ublituximab-xiiy)</v>
      </c>
      <c r="F120" t="str">
        <f t="shared" si="1"/>
        <v>Non-Preferred</v>
      </c>
      <c r="G120" s="1" cm="1">
        <f t="array" ref="G120">FuzzyPercent(D120,E120,2)</f>
        <v>0.24324324727058411</v>
      </c>
      <c r="H120" t="str" cm="1">
        <f t="array" ref="H120">IF(F120="Non-PDL","",IF(FuzzyPercent(D120,E120,2)&lt;0.4,"CHECK",""))</f>
        <v>CHECK</v>
      </c>
    </row>
    <row r="121" spans="1:8" x14ac:dyDescent="0.2">
      <c r="A121" t="s">
        <v>240</v>
      </c>
      <c r="B121" t="s">
        <v>0</v>
      </c>
      <c r="D121" t="s">
        <v>2237</v>
      </c>
      <c r="E121" t="str" cm="1">
        <f t="array" ref="E121">IF(COUNTIF(A:A, "*" &amp; LEFT(D121, FIND(" ", D121 &amp; " ") - 1) &amp; "*") &gt; 0,INDEX(A:A,FuzzyVLookup(D121,A:A,0,,,2)),"Non-PDL")</f>
        <v>BRIVIACT (brivaracetam)</v>
      </c>
      <c r="F121" t="str">
        <f t="shared" si="1"/>
        <v>Non-Preferred</v>
      </c>
      <c r="G121" s="1" cm="1">
        <f t="array" ref="G121">FuzzyPercent(D121,E121,2)</f>
        <v>0.36923077702522278</v>
      </c>
      <c r="H121" t="str" cm="1">
        <f t="array" ref="H121">IF(F121="Non-PDL","",IF(FuzzyPercent(D121,E121,2)&lt;0.4,"CHECK",""))</f>
        <v>CHECK</v>
      </c>
    </row>
    <row r="122" spans="1:8" x14ac:dyDescent="0.2">
      <c r="A122" t="s">
        <v>242</v>
      </c>
      <c r="B122" t="s">
        <v>0</v>
      </c>
      <c r="D122" t="s">
        <v>2238</v>
      </c>
      <c r="E122" t="str" cm="1">
        <f t="array" ref="E122">IF(COUNTIF(A:A, "*" &amp; LEFT(D122, FIND(" ", D122 &amp; " ") - 1) &amp; "*") &gt; 0,INDEX(A:A,FuzzyVLookup(D122,A:A,0,,,2)),"Non-PDL")</f>
        <v>BRUKINSA (zanubrutinib)</v>
      </c>
      <c r="F122" t="str">
        <f t="shared" si="1"/>
        <v>Non-Preferred</v>
      </c>
      <c r="G122" s="1" cm="1">
        <f t="array" ref="G122">FuzzyPercent(D122,E122,2)</f>
        <v>0.36923077702522278</v>
      </c>
      <c r="H122" t="str" cm="1">
        <f t="array" ref="H122">IF(F122="Non-PDL","",IF(FuzzyPercent(D122,E122,2)&lt;0.4,"CHECK",""))</f>
        <v>CHECK</v>
      </c>
    </row>
    <row r="123" spans="1:8" x14ac:dyDescent="0.2">
      <c r="A123" t="s">
        <v>244</v>
      </c>
      <c r="B123" t="s">
        <v>0</v>
      </c>
      <c r="D123" t="s">
        <v>2239</v>
      </c>
      <c r="E123" t="str" cm="1">
        <f t="array" ref="E123">IF(COUNTIF(A:A, "*" &amp; LEFT(D123, FIND(" ", D123 &amp; " ") - 1) &amp; "*") &gt; 0,INDEX(A:A,FuzzyVLookup(D123,A:A,0,,,2)),"Non-PDL")</f>
        <v>PULMICORT FLEXHALER (budesonide)</v>
      </c>
      <c r="F123" t="str">
        <f t="shared" si="1"/>
        <v>Preferred</v>
      </c>
      <c r="G123" s="1" cm="1">
        <f t="array" ref="G123">FuzzyPercent(D123,E123,2)</f>
        <v>0.15748031437397003</v>
      </c>
      <c r="H123" t="str" cm="1">
        <f t="array" ref="H123">IF(F123="Non-PDL","",IF(FuzzyPercent(D123,E123,2)&lt;0.4,"CHECK",""))</f>
        <v>CHECK</v>
      </c>
    </row>
    <row r="124" spans="1:8" x14ac:dyDescent="0.2">
      <c r="A124" t="s">
        <v>246</v>
      </c>
      <c r="B124" t="s">
        <v>0</v>
      </c>
      <c r="D124" t="s">
        <v>2240</v>
      </c>
      <c r="E124" t="str" cm="1">
        <f t="array" ref="E124">IF(COUNTIF(A:A, "*" &amp; LEFT(D124, FIND(" ", D124 &amp; " ") - 1) &amp; "*") &gt; 0,INDEX(A:A,FuzzyVLookup(D124,A:A,0,,,2)),"Non-PDL")</f>
        <v>BREYNA (budesonide/formoterol)</v>
      </c>
      <c r="F124" t="str">
        <f t="shared" si="1"/>
        <v>Non-Preferred</v>
      </c>
      <c r="G124" s="1" cm="1">
        <f t="array" ref="G124">FuzzyPercent(D124,E124,2)</f>
        <v>0.15757575631141663</v>
      </c>
      <c r="H124" t="str" cm="1">
        <f t="array" ref="H124">IF(F124="Non-PDL","",IF(FuzzyPercent(D124,E124,2)&lt;0.4,"CHECK",""))</f>
        <v>CHECK</v>
      </c>
    </row>
    <row r="125" spans="1:8" x14ac:dyDescent="0.2">
      <c r="A125" t="s">
        <v>248</v>
      </c>
      <c r="B125" t="s">
        <v>0</v>
      </c>
      <c r="D125" t="s">
        <v>2241</v>
      </c>
      <c r="E125" t="str" cm="1">
        <f t="array" ref="E125">IF(COUNTIF(A:A, "*" &amp; LEFT(D125, FIND(" ", D125 &amp; " ") - 1) &amp; "*") &gt; 0,INDEX(A:A,FuzzyVLookup(D125,A:A,0,,,2)),"Non-PDL")</f>
        <v>BUPHENYL (sodium phenylbutyrate)</v>
      </c>
      <c r="F125" t="str">
        <f t="shared" si="1"/>
        <v>Non-Preferred</v>
      </c>
      <c r="G125" s="1" cm="1">
        <f t="array" ref="G125">FuzzyPercent(D125,E125,2)</f>
        <v>0.25641027092933655</v>
      </c>
      <c r="H125" t="str" cm="1">
        <f t="array" ref="H125">IF(F125="Non-PDL","",IF(FuzzyPercent(D125,E125,2)&lt;0.4,"CHECK",""))</f>
        <v>CHECK</v>
      </c>
    </row>
    <row r="126" spans="1:8" x14ac:dyDescent="0.2">
      <c r="A126" t="s">
        <v>250</v>
      </c>
      <c r="B126" t="s">
        <v>0</v>
      </c>
      <c r="D126" t="s">
        <v>2242</v>
      </c>
      <c r="E126" t="str" cm="1">
        <f t="array" ref="E126">IF(COUNTIF(A:A, "*" &amp; LEFT(D126, FIND(" ", D126 &amp; " ") - 1) &amp; "*") &gt; 0,INDEX(A:A,FuzzyVLookup(D126,A:A,0,,,2)),"Non-PDL")</f>
        <v>methylphenidate ER tablet</v>
      </c>
      <c r="F126" t="str">
        <f t="shared" si="1"/>
        <v>Preferred</v>
      </c>
      <c r="G126" s="1" cm="1">
        <f t="array" ref="G126">FuzzyPercent(D126,E126,2)</f>
        <v>0.25</v>
      </c>
      <c r="H126" t="str" cm="1">
        <f t="array" ref="H126">IF(F126="Non-PDL","",IF(FuzzyPercent(D126,E126,2)&lt;0.4,"CHECK",""))</f>
        <v>CHECK</v>
      </c>
    </row>
    <row r="127" spans="1:8" x14ac:dyDescent="0.2">
      <c r="A127" t="s">
        <v>252</v>
      </c>
      <c r="B127" t="s">
        <v>0</v>
      </c>
      <c r="D127" t="s">
        <v>2243</v>
      </c>
      <c r="E127" t="str" cm="1">
        <f t="array" ref="E127">IF(COUNTIF(A:A, "*" &amp; LEFT(D127, FIND(" ", D127 &amp; " ") - 1) &amp; "*") &gt; 0,INDEX(A:A,FuzzyVLookup(D127,A:A,0,,,2)),"Non-PDL")</f>
        <v>BYDUREON (exenatide)</v>
      </c>
      <c r="F127" t="str">
        <f t="shared" si="1"/>
        <v>Non-Preferred</v>
      </c>
      <c r="G127" s="1" cm="1">
        <f t="array" ref="G127">FuzzyPercent(D127,E127,2)</f>
        <v>0.3835616409778595</v>
      </c>
      <c r="H127" t="str" cm="1">
        <f t="array" ref="H127">IF(F127="Non-PDL","",IF(FuzzyPercent(D127,E127,2)&lt;0.4,"CHECK",""))</f>
        <v>CHECK</v>
      </c>
    </row>
    <row r="128" spans="1:8" x14ac:dyDescent="0.2">
      <c r="A128" t="s">
        <v>254</v>
      </c>
      <c r="B128" t="s">
        <v>0</v>
      </c>
      <c r="D128" t="s">
        <v>2244</v>
      </c>
      <c r="E128" t="str" cm="1">
        <f t="array" ref="E128">IF(COUNTIF(A:A, "*" &amp; LEFT(D128, FIND(" ", D128 &amp; " ") - 1) &amp; "*") &gt; 0,INDEX(A:A,FuzzyVLookup(D128,A:A,0,,,2)),"Non-PDL")</f>
        <v>BYDUREON (exenatide)</v>
      </c>
      <c r="F128" t="str">
        <f t="shared" si="1"/>
        <v>Non-Preferred</v>
      </c>
      <c r="G128" s="1" cm="1">
        <f t="array" ref="G128">FuzzyPercent(D128,E128,2)</f>
        <v>0.43478259444236755</v>
      </c>
      <c r="H128" t="str" cm="1">
        <f t="array" ref="H128">IF(F128="Non-PDL","",IF(FuzzyPercent(D128,E128,2)&lt;0.4,"CHECK",""))</f>
        <v/>
      </c>
    </row>
    <row r="129" spans="1:8" x14ac:dyDescent="0.2">
      <c r="A129" t="s">
        <v>256</v>
      </c>
      <c r="B129" t="s">
        <v>0</v>
      </c>
      <c r="D129" t="s">
        <v>2245</v>
      </c>
      <c r="E129" t="str" cm="1">
        <f t="array" ref="E129">IF(COUNTIF(A:A, "*" &amp; LEFT(D129, FIND(" ", D129 &amp; " ") - 1) &amp; "*") &gt; 0,INDEX(A:A,FuzzyVLookup(D129,A:A,0,,,2)),"Non-PDL")</f>
        <v>BYETTA (exenatide)</v>
      </c>
      <c r="F129" t="str">
        <f t="shared" si="1"/>
        <v>Preferred</v>
      </c>
      <c r="G129" s="1" cm="1">
        <f t="array" ref="G129">FuzzyPercent(D129,E129,2)</f>
        <v>0.3333333432674408</v>
      </c>
      <c r="H129" t="str" cm="1">
        <f t="array" ref="H129">IF(F129="Non-PDL","",IF(FuzzyPercent(D129,E129,2)&lt;0.4,"CHECK",""))</f>
        <v>CHECK</v>
      </c>
    </row>
    <row r="130" spans="1:8" x14ac:dyDescent="0.2">
      <c r="A130" t="s">
        <v>258</v>
      </c>
      <c r="B130" t="s">
        <v>0</v>
      </c>
      <c r="D130" t="s">
        <v>2246</v>
      </c>
      <c r="E130" t="str" cm="1">
        <f t="array" ref="E130">IF(COUNTIF(A:A, "*" &amp; LEFT(D130, FIND(" ", D130 &amp; " ") - 1) &amp; "*") &gt; 0,INDEX(A:A,FuzzyVLookup(D130,A:A,0,,,2)),"Non-PDL")</f>
        <v>BYLVAY (odevixibat)</v>
      </c>
      <c r="F130" t="str">
        <f t="shared" si="1"/>
        <v>Non-Preferred</v>
      </c>
      <c r="G130" s="1" cm="1">
        <f t="array" ref="G130">FuzzyPercent(D130,E130,2)</f>
        <v>0.32653060555458069</v>
      </c>
      <c r="H130" t="str" cm="1">
        <f t="array" ref="H130">IF(F130="Non-PDL","",IF(FuzzyPercent(D130,E130,2)&lt;0.4,"CHECK",""))</f>
        <v>CHECK</v>
      </c>
    </row>
    <row r="131" spans="1:8" x14ac:dyDescent="0.2">
      <c r="A131" t="s">
        <v>260</v>
      </c>
      <c r="B131" t="s">
        <v>0</v>
      </c>
      <c r="D131" t="s">
        <v>2247</v>
      </c>
      <c r="E131" t="str" cm="1">
        <f t="array" ref="E131">IF(COUNTIF(A:A, "*" &amp; LEFT(D131, FIND(" ", D131 &amp; " ") - 1) &amp; "*") &gt; 0,INDEX(A:A,FuzzyVLookup(D131,A:A,0,,,2)),"Non-PDL")</f>
        <v>Non-PDL</v>
      </c>
      <c r="F131" t="str">
        <f t="shared" ref="F131:F194" si="2">_xlfn.IFNA(_xlfn.XLOOKUP(E131,A:A,B:B),"Non-PDL")</f>
        <v>Non-PDL</v>
      </c>
      <c r="G131" s="1" cm="1">
        <f t="array" ref="G131">FuzzyPercent(D131,E131,2)</f>
        <v>0</v>
      </c>
      <c r="H131" t="str" cm="1">
        <f t="array" ref="H131">IF(F131="Non-PDL","",IF(FuzzyPercent(D131,E131,2)&lt;0.4,"CHECK",""))</f>
        <v/>
      </c>
    </row>
    <row r="132" spans="1:8" x14ac:dyDescent="0.2">
      <c r="A132" t="s">
        <v>262</v>
      </c>
      <c r="B132" t="s">
        <v>0</v>
      </c>
      <c r="D132" t="s">
        <v>2248</v>
      </c>
      <c r="E132" t="str" cm="1">
        <f t="array" ref="E132">IF(COUNTIF(A:A, "*" &amp; LEFT(D132, FIND(" ", D132 &amp; " ") - 1) &amp; "*") &gt; 0,INDEX(A:A,FuzzyVLookup(D132,A:A,0,,,2)),"Non-PDL")</f>
        <v>CABLIVI</v>
      </c>
      <c r="F132" t="str">
        <f t="shared" si="2"/>
        <v>Non-Preferred</v>
      </c>
      <c r="G132" s="1" cm="1">
        <f t="array" ref="G132">FuzzyPercent(D132,E132,2)</f>
        <v>1</v>
      </c>
      <c r="H132" t="str" cm="1">
        <f t="array" ref="H132">IF(F132="Non-PDL","",IF(FuzzyPercent(D132,E132,2)&lt;0.4,"CHECK",""))</f>
        <v/>
      </c>
    </row>
    <row r="133" spans="1:8" x14ac:dyDescent="0.2">
      <c r="A133" t="s">
        <v>264</v>
      </c>
      <c r="B133" t="s">
        <v>0</v>
      </c>
      <c r="D133" t="s">
        <v>2249</v>
      </c>
      <c r="E133" t="str" cm="1">
        <f t="array" ref="E133">IF(COUNTIF(A:A, "*" &amp; LEFT(D133, FIND(" ", D133 &amp; " ") - 1) &amp; "*") &gt; 0,INDEX(A:A,FuzzyVLookup(D133,A:A,0,,,2)),"Non-PDL")</f>
        <v>CALQUENCE (acalabrutinib)</v>
      </c>
      <c r="F133" t="str">
        <f t="shared" si="2"/>
        <v>Non-Preferred</v>
      </c>
      <c r="G133" s="1" cm="1">
        <f t="array" ref="G133">FuzzyPercent(D133,E133,2)</f>
        <v>0.3684210479259491</v>
      </c>
      <c r="H133" t="str" cm="1">
        <f t="array" ref="H133">IF(F133="Non-PDL","",IF(FuzzyPercent(D133,E133,2)&lt;0.4,"CHECK",""))</f>
        <v>CHECK</v>
      </c>
    </row>
    <row r="134" spans="1:8" x14ac:dyDescent="0.2">
      <c r="A134" t="s">
        <v>266</v>
      </c>
      <c r="B134" t="s">
        <v>0</v>
      </c>
      <c r="D134" t="s">
        <v>2250</v>
      </c>
      <c r="E134" t="str" cm="1">
        <f t="array" ref="E134">IF(COUNTIF(A:A, "*" &amp; LEFT(D134, FIND(" ", D134 &amp; " ") - 1) &amp; "*") &gt; 0,INDEX(A:A,FuzzyVLookup(D134,A:A,0,,,2)),"Non-PDL")</f>
        <v>CAMZYOS (mavacamten)</v>
      </c>
      <c r="F134" t="str">
        <f t="shared" si="2"/>
        <v>Non-Preferred</v>
      </c>
      <c r="G134" s="1" cm="1">
        <f t="array" ref="G134">FuzzyPercent(D134,E134,2)</f>
        <v>0.32727271318435669</v>
      </c>
      <c r="H134" t="str" cm="1">
        <f t="array" ref="H134">IF(F134="Non-PDL","",IF(FuzzyPercent(D134,E134,2)&lt;0.4,"CHECK",""))</f>
        <v>CHECK</v>
      </c>
    </row>
    <row r="135" spans="1:8" x14ac:dyDescent="0.2">
      <c r="A135" t="s">
        <v>268</v>
      </c>
      <c r="B135" t="s">
        <v>0</v>
      </c>
      <c r="D135" t="s">
        <v>2251</v>
      </c>
      <c r="E135" t="str" cm="1">
        <f t="array" ref="E135">IF(COUNTIF(A:A, "*" &amp; LEFT(D135, FIND(" ", D135 &amp; " ") - 1) &amp; "*") &gt; 0,INDEX(A:A,FuzzyVLookup(D135,A:A,0,,,2)),"Non-PDL")</f>
        <v>candesartan</v>
      </c>
      <c r="F135" t="str">
        <f t="shared" si="2"/>
        <v>Non-Preferred</v>
      </c>
      <c r="G135" s="1" cm="1">
        <f t="array" ref="G135">FuzzyPercent(D135,E135,2)</f>
        <v>1</v>
      </c>
      <c r="H135" t="str" cm="1">
        <f t="array" ref="H135">IF(F135="Non-PDL","",IF(FuzzyPercent(D135,E135,2)&lt;0.4,"CHECK",""))</f>
        <v/>
      </c>
    </row>
    <row r="136" spans="1:8" x14ac:dyDescent="0.2">
      <c r="A136" t="s">
        <v>270</v>
      </c>
      <c r="B136" t="s">
        <v>0</v>
      </c>
      <c r="D136" t="s">
        <v>2252</v>
      </c>
      <c r="E136" t="str" cm="1">
        <f t="array" ref="E136">IF(COUNTIF(A:A, "*" &amp; LEFT(D136, FIND(" ", D136 &amp; " ") - 1) &amp; "*") &gt; 0,INDEX(A:A,FuzzyVLookup(D136,A:A,0,,,2)),"Non-PDL")</f>
        <v>CAPLYTA (lumateperone)</v>
      </c>
      <c r="F136" t="str">
        <f t="shared" si="2"/>
        <v>Non-Preferred</v>
      </c>
      <c r="G136" s="1" cm="1">
        <f t="array" ref="G136">FuzzyPercent(D136,E136,2)</f>
        <v>0.2950819730758667</v>
      </c>
      <c r="H136" t="str" cm="1">
        <f t="array" ref="H136">IF(F136="Non-PDL","",IF(FuzzyPercent(D136,E136,2)&lt;0.4,"CHECK",""))</f>
        <v>CHECK</v>
      </c>
    </row>
    <row r="137" spans="1:8" x14ac:dyDescent="0.2">
      <c r="A137" t="s">
        <v>272</v>
      </c>
      <c r="B137" t="s">
        <v>0</v>
      </c>
      <c r="D137" t="s">
        <v>2253</v>
      </c>
      <c r="E137" t="str" cm="1">
        <f t="array" ref="E137">IF(COUNTIF(A:A, "*" &amp; LEFT(D137, FIND(" ", D137 &amp; " ") - 1) &amp; "*") &gt; 0,INDEX(A:A,FuzzyVLookup(D137,A:A,0,,,2)),"Non-PDL")</f>
        <v>Non-PDL</v>
      </c>
      <c r="F137" t="str">
        <f t="shared" si="2"/>
        <v>Non-PDL</v>
      </c>
      <c r="G137" s="1" cm="1">
        <f t="array" ref="G137">FuzzyPercent(D137,E137,2)</f>
        <v>0</v>
      </c>
      <c r="H137" t="str" cm="1">
        <f t="array" ref="H137">IF(F137="Non-PDL","",IF(FuzzyPercent(D137,E137,2)&lt;0.4,"CHECK",""))</f>
        <v/>
      </c>
    </row>
    <row r="138" spans="1:8" x14ac:dyDescent="0.2">
      <c r="A138" t="s">
        <v>274</v>
      </c>
      <c r="B138" t="s">
        <v>0</v>
      </c>
      <c r="D138" t="s">
        <v>2254</v>
      </c>
      <c r="E138" t="str" cm="1">
        <f t="array" ref="E138">IF(COUNTIF(A:A, "*" &amp; LEFT(D138, FIND(" ", D138 &amp; " ") - 1) &amp; "*") &gt; 0,INDEX(A:A,FuzzyVLookup(D138,A:A,0,,,2)),"Non-PDL")</f>
        <v>captopril</v>
      </c>
      <c r="F138" t="str">
        <f t="shared" si="2"/>
        <v>Preferred</v>
      </c>
      <c r="G138" s="1" cm="1">
        <f t="array" ref="G138">FuzzyPercent(D138,E138,2)</f>
        <v>1</v>
      </c>
      <c r="H138" t="str" cm="1">
        <f t="array" ref="H138">IF(F138="Non-PDL","",IF(FuzzyPercent(D138,E138,2)&lt;0.4,"CHECK",""))</f>
        <v/>
      </c>
    </row>
    <row r="139" spans="1:8" x14ac:dyDescent="0.2">
      <c r="A139" t="s">
        <v>276</v>
      </c>
      <c r="B139" t="s">
        <v>0</v>
      </c>
      <c r="D139" t="s">
        <v>2255</v>
      </c>
      <c r="E139" t="str" cm="1">
        <f t="array" ref="E139">IF(COUNTIF(A:A, "*" &amp; LEFT(D139, FIND(" ", D139 &amp; " ") - 1) &amp; "*") &gt; 0,INDEX(A:A,FuzzyVLookup(D139,A:A,0,,,2)),"Non-PDL")</f>
        <v>CAYSTON (aztreonam)</v>
      </c>
      <c r="F139" t="str">
        <f t="shared" si="2"/>
        <v>Non-Preferred</v>
      </c>
      <c r="G139" s="1" cm="1">
        <f t="array" ref="G139">FuzzyPercent(D139,E139,2)</f>
        <v>0.36000001430511475</v>
      </c>
      <c r="H139" t="str" cm="1">
        <f t="array" ref="H139">IF(F139="Non-PDL","",IF(FuzzyPercent(D139,E139,2)&lt;0.4,"CHECK",""))</f>
        <v>CHECK</v>
      </c>
    </row>
    <row r="140" spans="1:8" x14ac:dyDescent="0.2">
      <c r="A140" t="s">
        <v>278</v>
      </c>
      <c r="B140" t="s">
        <v>0</v>
      </c>
      <c r="D140" t="s">
        <v>2256</v>
      </c>
      <c r="E140" t="str" cm="1">
        <f t="array" ref="E140">IF(COUNTIF(A:A, "*" &amp; LEFT(D140, FIND(" ", D140 &amp; " ") - 1) &amp; "*") &gt; 0,INDEX(A:A,FuzzyVLookup(D140,A:A,0,,,2)),"Non-PDL")</f>
        <v>CEQUA (cyclosporine)</v>
      </c>
      <c r="F140" t="str">
        <f t="shared" si="2"/>
        <v>Non-Preferred</v>
      </c>
      <c r="G140" s="1" cm="1">
        <f t="array" ref="G140">FuzzyPercent(D140,E140,2)</f>
        <v>0.19607843458652496</v>
      </c>
      <c r="H140" t="str" cm="1">
        <f t="array" ref="H140">IF(F140="Non-PDL","",IF(FuzzyPercent(D140,E140,2)&lt;0.4,"CHECK",""))</f>
        <v>CHECK</v>
      </c>
    </row>
    <row r="141" spans="1:8" x14ac:dyDescent="0.2">
      <c r="A141" t="s">
        <v>280</v>
      </c>
      <c r="B141" t="s">
        <v>0</v>
      </c>
      <c r="D141" t="s">
        <v>2257</v>
      </c>
      <c r="E141" t="str" cm="1">
        <f t="array" ref="E141">IF(COUNTIF(A:A, "*" &amp; LEFT(D141, FIND(" ", D141 &amp; " ") - 1) &amp; "*") &gt; 0,INDEX(A:A,FuzzyVLookup(D141,A:A,0,,,2)),"Non-PDL")</f>
        <v>CERDELGA (eliglustat)</v>
      </c>
      <c r="F141" t="str">
        <f t="shared" si="2"/>
        <v>Non-Preferred</v>
      </c>
      <c r="G141" s="1" cm="1">
        <f t="array" ref="G141">FuzzyPercent(D141,E141,2)</f>
        <v>0.39344263076782227</v>
      </c>
      <c r="H141" t="str" cm="1">
        <f t="array" ref="H141">IF(F141="Non-PDL","",IF(FuzzyPercent(D141,E141,2)&lt;0.4,"CHECK",""))</f>
        <v>CHECK</v>
      </c>
    </row>
    <row r="142" spans="1:8" x14ac:dyDescent="0.2">
      <c r="A142" t="s">
        <v>282</v>
      </c>
      <c r="B142" t="s">
        <v>0</v>
      </c>
      <c r="D142" t="s">
        <v>2258</v>
      </c>
      <c r="E142" t="str" cm="1">
        <f t="array" ref="E142">IF(COUNTIF(A:A, "*" &amp; LEFT(D142, FIND(" ", D142 &amp; " ") - 1) &amp; "*") &gt; 0,INDEX(A:A,FuzzyVLookup(D142,A:A,0,,,2)),"Non-PDL")</f>
        <v>CEREZYME (imiglucerase)</v>
      </c>
      <c r="F142" t="str">
        <f t="shared" si="2"/>
        <v>Non-Preferred</v>
      </c>
      <c r="G142" s="1" cm="1">
        <f t="array" ref="G142">FuzzyPercent(D142,E142,2)</f>
        <v>0.301075279712677</v>
      </c>
      <c r="H142" t="str" cm="1">
        <f t="array" ref="H142">IF(F142="Non-PDL","",IF(FuzzyPercent(D142,E142,2)&lt;0.4,"CHECK",""))</f>
        <v>CHECK</v>
      </c>
    </row>
    <row r="143" spans="1:8" x14ac:dyDescent="0.2">
      <c r="A143" t="s">
        <v>284</v>
      </c>
      <c r="B143" t="s">
        <v>0</v>
      </c>
      <c r="D143" t="s">
        <v>2259</v>
      </c>
      <c r="E143" t="str" cm="1">
        <f t="array" ref="E143">IF(COUNTIF(A:A, "*" &amp; LEFT(D143, FIND(" ", D143 &amp; " ") - 1) &amp; "*") &gt; 0,INDEX(A:A,FuzzyVLookup(D143,A:A,0,,,2)),"Non-PDL")</f>
        <v>CHENODAL (chenodiol)</v>
      </c>
      <c r="F143" t="str">
        <f t="shared" si="2"/>
        <v>Non-Preferred</v>
      </c>
      <c r="G143" s="1" cm="1">
        <f t="array" ref="G143">FuzzyPercent(D143,E143,2)</f>
        <v>0.67647057771682739</v>
      </c>
      <c r="H143" t="str" cm="1">
        <f t="array" ref="H143">IF(F143="Non-PDL","",IF(FuzzyPercent(D143,E143,2)&lt;0.4,"CHECK",""))</f>
        <v/>
      </c>
    </row>
    <row r="144" spans="1:8" x14ac:dyDescent="0.2">
      <c r="A144" t="s">
        <v>286</v>
      </c>
      <c r="B144" t="s">
        <v>0</v>
      </c>
      <c r="D144" t="s">
        <v>2260</v>
      </c>
      <c r="E144" t="str" cm="1">
        <f t="array" ref="E144">IF(COUNTIF(A:A, "*" &amp; LEFT(D144, FIND(" ", D144 &amp; " ") - 1) &amp; "*") &gt; 0,INDEX(A:A,FuzzyVLookup(D144,A:A,0,,,2)),"Non-PDL")</f>
        <v>Non-PDL</v>
      </c>
      <c r="F144" t="str">
        <f t="shared" si="2"/>
        <v>Non-PDL</v>
      </c>
      <c r="G144" s="1" cm="1">
        <f t="array" ref="G144">FuzzyPercent(D144,E144,2)</f>
        <v>0</v>
      </c>
      <c r="H144" t="str" cm="1">
        <f t="array" ref="H144">IF(F144="Non-PDL","",IF(FuzzyPercent(D144,E144,2)&lt;0.4,"CHECK",""))</f>
        <v/>
      </c>
    </row>
    <row r="145" spans="1:8" x14ac:dyDescent="0.2">
      <c r="A145" t="s">
        <v>288</v>
      </c>
      <c r="B145" t="s">
        <v>0</v>
      </c>
      <c r="D145" t="s">
        <v>2261</v>
      </c>
      <c r="E145" t="str" cm="1">
        <f t="array" ref="E145">IF(COUNTIF(A:A, "*" &amp; LEFT(D145, FIND(" ", D145 &amp; " ") - 1) &amp; "*") &gt; 0,INDEX(A:A,FuzzyVLookup(D145,A:A,0,,,2)),"Non-PDL")</f>
        <v>CIBINQO (abrocitinib)</v>
      </c>
      <c r="F145" t="str">
        <f t="shared" si="2"/>
        <v>Non-Preferred</v>
      </c>
      <c r="G145" s="1" cm="1">
        <f t="array" ref="G145">FuzzyPercent(D145,E145,2)</f>
        <v>0.31034481525421143</v>
      </c>
      <c r="H145" t="str" cm="1">
        <f t="array" ref="H145">IF(F145="Non-PDL","",IF(FuzzyPercent(D145,E145,2)&lt;0.4,"CHECK",""))</f>
        <v>CHECK</v>
      </c>
    </row>
    <row r="146" spans="1:8" x14ac:dyDescent="0.2">
      <c r="A146" t="s">
        <v>290</v>
      </c>
      <c r="B146" t="s">
        <v>0</v>
      </c>
      <c r="D146" t="s">
        <v>2262</v>
      </c>
      <c r="E146" t="str" cm="1">
        <f t="array" ref="E146">IF(COUNTIF(A:A, "*" &amp; LEFT(D146, FIND(" ", D146 &amp; " ") - 1) &amp; "*") &gt; 0,INDEX(A:A,FuzzyVLookup(D146,A:A,0,,,2)),"Non-PDL")</f>
        <v>CIMZIA (certolizumab)</v>
      </c>
      <c r="F146" t="str">
        <f t="shared" si="2"/>
        <v>Non-Preferred</v>
      </c>
      <c r="G146" s="1" cm="1">
        <f t="array" ref="G146">FuzzyPercent(D146,E146,2)</f>
        <v>0.28070175647735596</v>
      </c>
      <c r="H146" t="str" cm="1">
        <f t="array" ref="H146">IF(F146="Non-PDL","",IF(FuzzyPercent(D146,E146,2)&lt;0.4,"CHECK",""))</f>
        <v>CHECK</v>
      </c>
    </row>
    <row r="147" spans="1:8" x14ac:dyDescent="0.2">
      <c r="A147" t="s">
        <v>292</v>
      </c>
      <c r="B147" t="s">
        <v>0</v>
      </c>
      <c r="D147" t="s">
        <v>2263</v>
      </c>
      <c r="E147" t="str" cm="1">
        <f t="array" ref="E147">IF(COUNTIF(A:A, "*" &amp; LEFT(D147, FIND(" ", D147 &amp; " ") - 1) &amp; "*") &gt; 0,INDEX(A:A,FuzzyVLookup(D147,A:A,0,,,2)),"Non-PDL")</f>
        <v>CINQAIR (reslizumab)</v>
      </c>
      <c r="F147" t="str">
        <f t="shared" si="2"/>
        <v>Non-Preferred</v>
      </c>
      <c r="G147" s="1" cm="1">
        <f t="array" ref="G147">FuzzyPercent(D147,E147,2)</f>
        <v>0.32727271318435669</v>
      </c>
      <c r="H147" t="str" cm="1">
        <f t="array" ref="H147">IF(F147="Non-PDL","",IF(FuzzyPercent(D147,E147,2)&lt;0.4,"CHECK",""))</f>
        <v>CHECK</v>
      </c>
    </row>
    <row r="148" spans="1:8" x14ac:dyDescent="0.2">
      <c r="A148" t="s">
        <v>294</v>
      </c>
      <c r="B148" t="s">
        <v>0</v>
      </c>
      <c r="D148" t="s">
        <v>2264</v>
      </c>
      <c r="E148" t="str" cm="1">
        <f t="array" ref="E148">IF(COUNTIF(A:A, "*" &amp; LEFT(D148, FIND(" ", D148 &amp; " ") - 1) &amp; "*") &gt; 0,INDEX(A:A,FuzzyVLookup(D148,A:A,0,,,2)),"Non-PDL")</f>
        <v>CLEOCIN (clindamycin)</v>
      </c>
      <c r="F148" t="str">
        <f t="shared" si="2"/>
        <v>Preferred</v>
      </c>
      <c r="G148" s="1" cm="1">
        <f t="array" ref="G148">FuzzyPercent(D148,E148,2)</f>
        <v>0.3132530152797699</v>
      </c>
      <c r="H148" t="str" cm="1">
        <f t="array" ref="H148">IF(F148="Non-PDL","",IF(FuzzyPercent(D148,E148,2)&lt;0.4,"CHECK",""))</f>
        <v>CHECK</v>
      </c>
    </row>
    <row r="149" spans="1:8" x14ac:dyDescent="0.2">
      <c r="A149" t="s">
        <v>296</v>
      </c>
      <c r="B149" t="s">
        <v>0</v>
      </c>
      <c r="D149" t="s">
        <v>2265</v>
      </c>
      <c r="E149" t="str" cm="1">
        <f t="array" ref="E149">IF(COUNTIF(A:A, "*" &amp; LEFT(D149, FIND(" ", D149 &amp; " ") - 1) &amp; "*") &gt; 0,INDEX(A:A,FuzzyVLookup(D149,A:A,0,,,2)),"Non-PDL")</f>
        <v>mesalamine suppository</v>
      </c>
      <c r="F149" t="str">
        <f t="shared" si="2"/>
        <v>Preferred</v>
      </c>
      <c r="G149" s="1" cm="1">
        <f t="array" ref="G149">FuzzyPercent(D149,E149,2)</f>
        <v>0.23076923191547394</v>
      </c>
      <c r="H149" t="str" cm="1">
        <f t="array" ref="H149">IF(F149="Non-PDL","",IF(FuzzyPercent(D149,E149,2)&lt;0.4,"CHECK",""))</f>
        <v>CHECK</v>
      </c>
    </row>
    <row r="150" spans="1:8" x14ac:dyDescent="0.2">
      <c r="A150" t="s">
        <v>298</v>
      </c>
      <c r="B150" t="s">
        <v>0</v>
      </c>
      <c r="D150" t="s">
        <v>2266</v>
      </c>
      <c r="E150" t="str" cm="1">
        <f t="array" ref="E150">IF(COUNTIF(A:A, "*" &amp; LEFT(D150, FIND(" ", D150 &amp; " ") - 1) &amp; "*") &gt; 0,INDEX(A:A,FuzzyVLookup(D150,A:A,0,,,2)),"Non-PDL")</f>
        <v>clindamycin foam, gel</v>
      </c>
      <c r="F150" t="str">
        <f t="shared" si="2"/>
        <v>Non-Preferred</v>
      </c>
      <c r="G150" s="1" cm="1">
        <f t="array" ref="G150">FuzzyPercent(D150,E150,2)</f>
        <v>0.50526314973831177</v>
      </c>
      <c r="H150" t="str" cm="1">
        <f t="array" ref="H150">IF(F150="Non-PDL","",IF(FuzzyPercent(D150,E150,2)&lt;0.4,"CHECK",""))</f>
        <v/>
      </c>
    </row>
    <row r="151" spans="1:8" x14ac:dyDescent="0.2">
      <c r="A151" t="s">
        <v>300</v>
      </c>
      <c r="B151" t="s">
        <v>0</v>
      </c>
      <c r="D151" t="s">
        <v>2267</v>
      </c>
      <c r="E151" t="str" cm="1">
        <f t="array" ref="E151">IF(COUNTIF(A:A, "*" &amp; LEFT(D151, FIND(" ", D151 &amp; " ") - 1) &amp; "*") &gt; 0,INDEX(A:A,FuzzyVLookup(D151,A:A,0,,,2)),"Non-PDL")</f>
        <v>CLINDESSE (clindamycin)</v>
      </c>
      <c r="F151" t="str">
        <f t="shared" si="2"/>
        <v>Non-Preferred</v>
      </c>
      <c r="G151" s="1" cm="1">
        <f t="array" ref="G151">FuzzyPercent(D151,E151,2)</f>
        <v>0.16216215491294861</v>
      </c>
      <c r="H151" t="str" cm="1">
        <f t="array" ref="H151">IF(F151="Non-PDL","",IF(FuzzyPercent(D151,E151,2)&lt;0.4,"CHECK",""))</f>
        <v>CHECK</v>
      </c>
    </row>
    <row r="152" spans="1:8" x14ac:dyDescent="0.2">
      <c r="A152" t="s">
        <v>302</v>
      </c>
      <c r="B152" t="s">
        <v>0</v>
      </c>
      <c r="D152" t="s">
        <v>2268</v>
      </c>
      <c r="E152" t="str" cm="1">
        <f t="array" ref="E152">IF(COUNTIF(A:A, "*" &amp; LEFT(D152, FIND(" ", D152 &amp; " ") - 1) &amp; "*") &gt; 0,INDEX(A:A,FuzzyVLookup(D152,A:A,0,,,2)),"Non-PDL")</f>
        <v>oxcarbazepine suspension</v>
      </c>
      <c r="F152" t="str">
        <f t="shared" si="2"/>
        <v>Non-Preferred</v>
      </c>
      <c r="G152" s="1" cm="1">
        <f t="array" ref="G152">FuzzyPercent(D152,E152,2)</f>
        <v>0.26666668057441711</v>
      </c>
      <c r="H152" t="str" cm="1">
        <f t="array" ref="H152">IF(F152="Non-PDL","",IF(FuzzyPercent(D152,E152,2)&lt;0.4,"CHECK",""))</f>
        <v>CHECK</v>
      </c>
    </row>
    <row r="153" spans="1:8" x14ac:dyDescent="0.2">
      <c r="A153" t="s">
        <v>304</v>
      </c>
      <c r="B153" t="s">
        <v>0</v>
      </c>
      <c r="D153" t="s">
        <v>2269</v>
      </c>
      <c r="E153" t="str" cm="1">
        <f t="array" ref="E153">IF(COUNTIF(A:A, "*" &amp; LEFT(D153, FIND(" ", D153 &amp; " ") - 1) &amp; "*") &gt; 0,INDEX(A:A,FuzzyVLookup(D153,A:A,0,,,2)),"Non-PDL")</f>
        <v>ONFI (clobazam)</v>
      </c>
      <c r="F153" t="str">
        <f t="shared" si="2"/>
        <v>Non-Preferred</v>
      </c>
      <c r="G153" s="1" cm="1">
        <f t="array" ref="G153">FuzzyPercent(D153,E153,2)</f>
        <v>0.40000000596046448</v>
      </c>
      <c r="H153" t="str" cm="1">
        <f t="array" ref="H153">IF(F153="Non-PDL","",IF(FuzzyPercent(D153,E153,2)&lt;0.4,"CHECK",""))</f>
        <v/>
      </c>
    </row>
    <row r="154" spans="1:8" x14ac:dyDescent="0.2">
      <c r="A154" t="s">
        <v>306</v>
      </c>
      <c r="B154" t="s">
        <v>0</v>
      </c>
      <c r="D154" t="s">
        <v>2270</v>
      </c>
      <c r="E154" t="str" cm="1">
        <f t="array" ref="E154">IF(COUNTIF(A:A, "*" &amp; LEFT(D154, FIND(" ", D154 &amp; " ") - 1) &amp; "*") &gt; 0,INDEX(A:A,FuzzyVLookup(D154,A:A,0,,,2)),"Non-PDL")</f>
        <v>clozapine ODT</v>
      </c>
      <c r="F154" t="str">
        <f t="shared" si="2"/>
        <v>Non-Preferred</v>
      </c>
      <c r="G154" s="1" cm="1">
        <f t="array" ref="G154">FuzzyPercent(D154,E154,2)</f>
        <v>1</v>
      </c>
      <c r="H154" t="str" cm="1">
        <f t="array" ref="H154">IF(F154="Non-PDL","",IF(FuzzyPercent(D154,E154,2)&lt;0.4,"CHECK",""))</f>
        <v/>
      </c>
    </row>
    <row r="155" spans="1:8" x14ac:dyDescent="0.2">
      <c r="A155" t="s">
        <v>308</v>
      </c>
      <c r="B155" t="s">
        <v>0</v>
      </c>
      <c r="D155" t="s">
        <v>2271</v>
      </c>
      <c r="E155" t="str" cm="1">
        <f t="array" ref="E155">IF(COUNTIF(A:A, "*" &amp; LEFT(D155, FIND(" ", D155 &amp; " ") - 1) &amp; "*") &gt; 0,INDEX(A:A,FuzzyVLookup(D155,A:A,0,,,2)),"Non-PDL")</f>
        <v>clozapine tablet</v>
      </c>
      <c r="F155" t="str">
        <f t="shared" si="2"/>
        <v>Preferred</v>
      </c>
      <c r="G155" s="1" cm="1">
        <f t="array" ref="G155">FuzzyPercent(D155,E155,2)</f>
        <v>1</v>
      </c>
      <c r="H155" t="str" cm="1">
        <f t="array" ref="H155">IF(F155="Non-PDL","",IF(FuzzyPercent(D155,E155,2)&lt;0.4,"CHECK",""))</f>
        <v/>
      </c>
    </row>
    <row r="156" spans="1:8" x14ac:dyDescent="0.2">
      <c r="A156" t="s">
        <v>310</v>
      </c>
      <c r="B156" t="s">
        <v>0</v>
      </c>
      <c r="D156" t="s">
        <v>2272</v>
      </c>
      <c r="E156" t="str" cm="1">
        <f t="array" ref="E156">IF(COUNTIF(A:A, "*" &amp; LEFT(D156, FIND(" ", D156 &amp; " ") - 1) &amp; "*") &gt; 0,INDEX(A:A,FuzzyVLookup(D156,A:A,0,,,2)),"Non-PDL")</f>
        <v>CLOZARIL (clozapine)</v>
      </c>
      <c r="F156" t="str">
        <f t="shared" si="2"/>
        <v>Non-Preferred</v>
      </c>
      <c r="G156" s="1" cm="1">
        <f t="array" ref="G156">FuzzyPercent(D156,E156,2)</f>
        <v>0.41379311680793762</v>
      </c>
      <c r="H156" t="str" cm="1">
        <f t="array" ref="H156">IF(F156="Non-PDL","",IF(FuzzyPercent(D156,E156,2)&lt;0.4,"CHECK",""))</f>
        <v/>
      </c>
    </row>
    <row r="157" spans="1:8" x14ac:dyDescent="0.2">
      <c r="A157" t="s">
        <v>312</v>
      </c>
      <c r="B157" t="s">
        <v>0</v>
      </c>
      <c r="D157" t="s">
        <v>2273</v>
      </c>
      <c r="E157" t="str" cm="1">
        <f t="array" ref="E157">IF(COUNTIF(A:A, "*" &amp; LEFT(D157, FIND(" ", D157 &amp; " ") - 1) &amp; "*") &gt; 0,INDEX(A:A,FuzzyVLookup(D157,A:A,0,,,2)),"Non-PDL")</f>
        <v>cefixime capsule</v>
      </c>
      <c r="F157" t="str">
        <f t="shared" si="2"/>
        <v>Preferred</v>
      </c>
      <c r="G157" s="1" cm="1">
        <f t="array" ref="G157">FuzzyPercent(D157,E157,2)</f>
        <v>0.28125</v>
      </c>
      <c r="H157" t="str" cm="1">
        <f t="array" ref="H157">IF(F157="Non-PDL","",IF(FuzzyPercent(D157,E157,2)&lt;0.4,"CHECK",""))</f>
        <v>CHECK</v>
      </c>
    </row>
    <row r="158" spans="1:8" x14ac:dyDescent="0.2">
      <c r="A158" t="s">
        <v>314</v>
      </c>
      <c r="B158" t="s">
        <v>0</v>
      </c>
      <c r="D158" t="s">
        <v>2274</v>
      </c>
      <c r="E158" t="str" cm="1">
        <f t="array" ref="E158">IF(COUNTIF(A:A, "*" &amp; LEFT(D158, FIND(" ", D158 &amp; " ") - 1) &amp; "*") &gt; 0,INDEX(A:A,FuzzyVLookup(D158,A:A,0,,,2)),"Non-PDL")</f>
        <v>RECOMBINATE</v>
      </c>
      <c r="F158" t="str">
        <f t="shared" si="2"/>
        <v>Preferred</v>
      </c>
      <c r="G158" s="1" cm="1">
        <f t="array" ref="G158">FuzzyPercent(D158,E158,2)</f>
        <v>0.26666668057441711</v>
      </c>
      <c r="H158" t="str" cm="1">
        <f t="array" ref="H158">IF(F158="Non-PDL","",IF(FuzzyPercent(D158,E158,2)&lt;0.4,"CHECK",""))</f>
        <v>CHECK</v>
      </c>
    </row>
    <row r="159" spans="1:8" x14ac:dyDescent="0.2">
      <c r="A159" t="s">
        <v>316</v>
      </c>
      <c r="B159" t="s">
        <v>0</v>
      </c>
      <c r="D159" t="s">
        <v>2275</v>
      </c>
      <c r="E159" t="str" cm="1">
        <f t="array" ref="E159">IF(COUNTIF(A:A, "*" &amp; LEFT(D159, FIND(" ", D159 &amp; " ") - 1) &amp; "*") &gt; 0,INDEX(A:A,FuzzyVLookup(D159,A:A,0,,,2)),"Non-PDL")</f>
        <v>COMBIVENT RESPIMAT (ipratropium/albuterol)</v>
      </c>
      <c r="F159" t="str">
        <f t="shared" si="2"/>
        <v>Preferred</v>
      </c>
      <c r="G159" s="1" cm="1">
        <f t="array" ref="G159">FuzzyPercent(D159,E159,2)</f>
        <v>0.52066117525100708</v>
      </c>
      <c r="H159" t="str" cm="1">
        <f t="array" ref="H159">IF(F159="Non-PDL","",IF(FuzzyPercent(D159,E159,2)&lt;0.4,"CHECK",""))</f>
        <v/>
      </c>
    </row>
    <row r="160" spans="1:8" x14ac:dyDescent="0.2">
      <c r="A160" t="s">
        <v>318</v>
      </c>
      <c r="B160" t="s">
        <v>0</v>
      </c>
      <c r="D160" t="s">
        <v>2276</v>
      </c>
      <c r="E160" t="str" cm="1">
        <f t="array" ref="E160">IF(COUNTIF(A:A, "*" &amp; LEFT(D160, FIND(" ", D160 &amp; " ") - 1) &amp; "*") &gt; 0,INDEX(A:A,FuzzyVLookup(D160,A:A,0,,,2)),"Non-PDL")</f>
        <v>COMPLETENATE</v>
      </c>
      <c r="F160" t="str">
        <f t="shared" si="2"/>
        <v>Preferred</v>
      </c>
      <c r="G160" s="1" cm="1">
        <f t="array" ref="G160">FuzzyPercent(D160,E160,2)</f>
        <v>0.45714285969734192</v>
      </c>
      <c r="H160" t="str" cm="1">
        <f t="array" ref="H160">IF(F160="Non-PDL","",IF(FuzzyPercent(D160,E160,2)&lt;0.4,"CHECK",""))</f>
        <v/>
      </c>
    </row>
    <row r="161" spans="1:8" x14ac:dyDescent="0.2">
      <c r="A161" t="s">
        <v>320</v>
      </c>
      <c r="B161" t="s">
        <v>0</v>
      </c>
      <c r="D161" t="s">
        <v>2277</v>
      </c>
      <c r="E161" t="str" cm="1">
        <f t="array" ref="E161">IF(COUNTIF(A:A, "*" &amp; LEFT(D161, FIND(" ", D161 &amp; " ") - 1) &amp; "*") &gt; 0,INDEX(A:A,FuzzyVLookup(D161,A:A,0,,,2)),"Non-PDL")</f>
        <v>COPAXONE (glatiramer) 20 mg</v>
      </c>
      <c r="F161" t="str">
        <f t="shared" si="2"/>
        <v>Preferred</v>
      </c>
      <c r="G161" s="1" cm="1">
        <f t="array" ref="G161">FuzzyPercent(D161,E161,2)</f>
        <v>0.55208331346511841</v>
      </c>
      <c r="H161" t="str" cm="1">
        <f t="array" ref="H161">IF(F161="Non-PDL","",IF(FuzzyPercent(D161,E161,2)&lt;0.4,"CHECK",""))</f>
        <v/>
      </c>
    </row>
    <row r="162" spans="1:8" x14ac:dyDescent="0.2">
      <c r="A162" t="s">
        <v>322</v>
      </c>
      <c r="B162" t="s">
        <v>0</v>
      </c>
      <c r="D162" t="s">
        <v>2278</v>
      </c>
      <c r="E162" t="str" cm="1">
        <f t="array" ref="E162">IF(COUNTIF(A:A, "*" &amp; LEFT(D162, FIND(" ", D162 &amp; " ") - 1) &amp; "*") &gt; 0,INDEX(A:A,FuzzyVLookup(D162,A:A,0,,,2)),"Non-PDL")</f>
        <v>COPAXONE (glatiramer) 40 mg</v>
      </c>
      <c r="F162" t="str">
        <f t="shared" si="2"/>
        <v>Non-Preferred</v>
      </c>
      <c r="G162" s="1" cm="1">
        <f t="array" ref="G162">FuzzyPercent(D162,E162,2)</f>
        <v>0.55208331346511841</v>
      </c>
      <c r="H162" t="str" cm="1">
        <f t="array" ref="H162">IF(F162="Non-PDL","",IF(FuzzyPercent(D162,E162,2)&lt;0.4,"CHECK",""))</f>
        <v/>
      </c>
    </row>
    <row r="163" spans="1:8" x14ac:dyDescent="0.2">
      <c r="A163" t="s">
        <v>324</v>
      </c>
      <c r="B163" t="s">
        <v>0</v>
      </c>
      <c r="D163" t="s">
        <v>2279</v>
      </c>
      <c r="E163" t="str" cm="1">
        <f t="array" ref="E163">IF(COUNTIF(A:A, "*" &amp; LEFT(D163, FIND(" ", D163 &amp; " ") - 1) &amp; "*") &gt; 0,INDEX(A:A,FuzzyVLookup(D163,A:A,0,,,2)),"Non-PDL")</f>
        <v>COSENTYX (secukinumab)</v>
      </c>
      <c r="F163" t="str">
        <f t="shared" si="2"/>
        <v>Non-Preferred</v>
      </c>
      <c r="G163" s="1" cm="1">
        <f t="array" ref="G163">FuzzyPercent(D163,E163,2)</f>
        <v>0.375</v>
      </c>
      <c r="H163" t="str" cm="1">
        <f t="array" ref="H163">IF(F163="Non-PDL","",IF(FuzzyPercent(D163,E163,2)&lt;0.4,"CHECK",""))</f>
        <v>CHECK</v>
      </c>
    </row>
    <row r="164" spans="1:8" x14ac:dyDescent="0.2">
      <c r="A164" t="s">
        <v>326</v>
      </c>
      <c r="B164" t="s">
        <v>0</v>
      </c>
      <c r="D164" t="s">
        <v>2280</v>
      </c>
      <c r="E164" t="str" cm="1">
        <f t="array" ref="E164">IF(COUNTIF(A:A, "*" &amp; LEFT(D164, FIND(" ", D164 &amp; " ") - 1) &amp; "*") &gt; 0,INDEX(A:A,FuzzyVLookup(D164,A:A,0,,,2)),"Non-PDL")</f>
        <v>CRENESSITY (crinecerfont)NR</v>
      </c>
      <c r="F164" t="str">
        <f t="shared" si="2"/>
        <v>Non-Preferred</v>
      </c>
      <c r="G164" s="1" cm="1">
        <f t="array" ref="G164">FuzzyPercent(D164,E164,2)</f>
        <v>0.3333333432674408</v>
      </c>
      <c r="H164" t="str" cm="1">
        <f t="array" ref="H164">IF(F164="Non-PDL","",IF(FuzzyPercent(D164,E164,2)&lt;0.4,"CHECK",""))</f>
        <v>CHECK</v>
      </c>
    </row>
    <row r="165" spans="1:8" x14ac:dyDescent="0.2">
      <c r="A165" t="s">
        <v>328</v>
      </c>
      <c r="B165" t="s">
        <v>0</v>
      </c>
      <c r="D165" t="s">
        <v>2281</v>
      </c>
      <c r="E165" t="str" cm="1">
        <f t="array" ref="E165">IF(COUNTIF(A:A, "*" &amp; LEFT(D165, FIND(" ", D165 &amp; " ") - 1) &amp; "*") &gt; 0,INDEX(A:A,FuzzyVLookup(D165,A:A,0,,,2)),"Non-PDL")</f>
        <v>vancomycin oral solution</v>
      </c>
      <c r="F165" t="str">
        <f t="shared" si="2"/>
        <v>Preferred</v>
      </c>
      <c r="G165" s="1" cm="1">
        <f t="array" ref="G165">FuzzyPercent(D165,E165,2)</f>
        <v>0.38333332538604736</v>
      </c>
      <c r="H165" t="str" cm="1">
        <f t="array" ref="H165">IF(F165="Non-PDL","",IF(FuzzyPercent(D165,E165,2)&lt;0.4,"CHECK",""))</f>
        <v>CHECK</v>
      </c>
    </row>
    <row r="166" spans="1:8" x14ac:dyDescent="0.2">
      <c r="A166" t="s">
        <v>330</v>
      </c>
      <c r="B166" t="s">
        <v>0</v>
      </c>
      <c r="D166" t="s">
        <v>2282</v>
      </c>
      <c r="E166" t="str" cm="1">
        <f t="array" ref="E166">IF(COUNTIF(A:A, "*" &amp; LEFT(D166, FIND(" ", D166 &amp; " ") - 1) &amp; "*") &gt; 0,INDEX(A:A,FuzzyVLookup(D166,A:A,0,,,2)),"Non-PDL")</f>
        <v>Non-PDL</v>
      </c>
      <c r="F166" t="str">
        <f t="shared" si="2"/>
        <v>Non-PDL</v>
      </c>
      <c r="G166" s="1" cm="1">
        <f t="array" ref="G166">FuzzyPercent(D166,E166,2)</f>
        <v>0</v>
      </c>
      <c r="H166" t="str" cm="1">
        <f t="array" ref="H166">IF(F166="Non-PDL","",IF(FuzzyPercent(D166,E166,2)&lt;0.4,"CHECK",""))</f>
        <v/>
      </c>
    </row>
    <row r="167" spans="1:8" x14ac:dyDescent="0.2">
      <c r="A167" t="s">
        <v>332</v>
      </c>
      <c r="B167" t="s">
        <v>0</v>
      </c>
      <c r="D167" t="s">
        <v>2283</v>
      </c>
      <c r="E167" t="str" cm="1">
        <f t="array" ref="E167">IF(COUNTIF(A:A, "*" &amp; LEFT(D167, FIND(" ", D167 &amp; " ") - 1) &amp; "*") &gt; 0,INDEX(A:A,FuzzyVLookup(D167,A:A,0,,,2)),"Non-PDL")</f>
        <v>Non-PDL</v>
      </c>
      <c r="F167" t="str">
        <f t="shared" si="2"/>
        <v>Non-PDL</v>
      </c>
      <c r="G167" s="1" cm="1">
        <f t="array" ref="G167">FuzzyPercent(D167,E167,2)</f>
        <v>0</v>
      </c>
      <c r="H167" t="str" cm="1">
        <f t="array" ref="H167">IF(F167="Non-PDL","",IF(FuzzyPercent(D167,E167,2)&lt;0.4,"CHECK",""))</f>
        <v/>
      </c>
    </row>
    <row r="168" spans="1:8" x14ac:dyDescent="0.2">
      <c r="A168" t="s">
        <v>334</v>
      </c>
      <c r="B168" t="s">
        <v>0</v>
      </c>
      <c r="D168" t="s">
        <v>2284</v>
      </c>
      <c r="E168" t="str" cm="1">
        <f t="array" ref="E168">IF(COUNTIF(A:A, "*" &amp; LEFT(D168, FIND(" ", D168 &amp; " ") - 1) &amp; "*") &gt; 0,INDEX(A:A,FuzzyVLookup(D168,A:A,0,,,2)),"Non-PDL")</f>
        <v>CYLTEZO (adalimuab-adbm)</v>
      </c>
      <c r="F168" t="str">
        <f t="shared" si="2"/>
        <v>Non-Preferred</v>
      </c>
      <c r="G168" s="1" cm="1">
        <f t="array" ref="G168">FuzzyPercent(D168,E168,2)</f>
        <v>0.26086956262588501</v>
      </c>
      <c r="H168" t="str" cm="1">
        <f t="array" ref="H168">IF(F168="Non-PDL","",IF(FuzzyPercent(D168,E168,2)&lt;0.4,"CHECK",""))</f>
        <v>CHECK</v>
      </c>
    </row>
    <row r="169" spans="1:8" x14ac:dyDescent="0.2">
      <c r="A169" t="s">
        <v>336</v>
      </c>
      <c r="B169" t="s">
        <v>0</v>
      </c>
      <c r="D169" t="s">
        <v>2285</v>
      </c>
      <c r="E169" t="str" cm="1">
        <f t="array" ref="E169">IF(COUNTIF(A:A, "*" &amp; LEFT(D169, FIND(" ", D169 &amp; " ") - 1) &amp; "*") &gt; 0,INDEX(A:A,FuzzyVLookup(D169,A:A,0,,,2)),"Non-PDL")</f>
        <v>Non-PDL</v>
      </c>
      <c r="F169" t="str">
        <f t="shared" si="2"/>
        <v>Non-PDL</v>
      </c>
      <c r="G169" s="1" cm="1">
        <f t="array" ref="G169">FuzzyPercent(D169,E169,2)</f>
        <v>0</v>
      </c>
      <c r="H169" t="str" cm="1">
        <f t="array" ref="H169">IF(F169="Non-PDL","",IF(FuzzyPercent(D169,E169,2)&lt;0.4,"CHECK",""))</f>
        <v/>
      </c>
    </row>
    <row r="170" spans="1:8" x14ac:dyDescent="0.2">
      <c r="A170" t="s">
        <v>338</v>
      </c>
      <c r="B170" t="s">
        <v>0</v>
      </c>
      <c r="D170" t="s">
        <v>2286</v>
      </c>
      <c r="E170" t="str" cm="1">
        <f t="array" ref="E170">IF(COUNTIF(A:A, "*" &amp; LEFT(D170, FIND(" ", D170 &amp; " ") - 1) &amp; "*") &gt; 0,INDEX(A:A,FuzzyVLookup(D170,A:A,0,,,2)),"Non-PDL")</f>
        <v>DANTRIUM (dantrolene)</v>
      </c>
      <c r="F170" t="str">
        <f t="shared" si="2"/>
        <v>Non-Preferred</v>
      </c>
      <c r="G170" s="1" cm="1">
        <f t="array" ref="G170">FuzzyPercent(D170,E170,2)</f>
        <v>0.39344263076782227</v>
      </c>
      <c r="H170" t="str" cm="1">
        <f t="array" ref="H170">IF(F170="Non-PDL","",IF(FuzzyPercent(D170,E170,2)&lt;0.4,"CHECK",""))</f>
        <v>CHECK</v>
      </c>
    </row>
    <row r="171" spans="1:8" x14ac:dyDescent="0.2">
      <c r="A171" t="s">
        <v>340</v>
      </c>
      <c r="B171" t="s">
        <v>0</v>
      </c>
      <c r="D171" t="s">
        <v>2287</v>
      </c>
      <c r="E171" t="str" cm="1">
        <f t="array" ref="E171">IF(COUNTIF(A:A, "*" &amp; LEFT(D171, FIND(" ", D171 &amp; " ") - 1) &amp; "*") &gt; 0,INDEX(A:A,FuzzyVLookup(D171,A:A,0,,,2)),"Non-PDL")</f>
        <v>dapagliflozin</v>
      </c>
      <c r="F171" t="str">
        <f t="shared" si="2"/>
        <v>Non-Preferred</v>
      </c>
      <c r="G171" s="1" cm="1">
        <f t="array" ref="G171">FuzzyPercent(D171,E171,2)</f>
        <v>1</v>
      </c>
      <c r="H171" t="str" cm="1">
        <f t="array" ref="H171">IF(F171="Non-PDL","",IF(FuzzyPercent(D171,E171,2)&lt;0.4,"CHECK",""))</f>
        <v/>
      </c>
    </row>
    <row r="172" spans="1:8" x14ac:dyDescent="0.2">
      <c r="A172" t="s">
        <v>342</v>
      </c>
      <c r="B172" t="s">
        <v>0</v>
      </c>
      <c r="D172" t="s">
        <v>2288</v>
      </c>
      <c r="E172" t="str" cm="1">
        <f t="array" ref="E172">IF(COUNTIF(A:A, "*" &amp; LEFT(D172, FIND(" ", D172 &amp; " ") - 1) &amp; "*") &gt; 0,INDEX(A:A,FuzzyVLookup(D172,A:A,0,,,2)),"Non-PDL")</f>
        <v>Non-PDL</v>
      </c>
      <c r="F172" t="str">
        <f t="shared" si="2"/>
        <v>Non-PDL</v>
      </c>
      <c r="G172" s="1" cm="1">
        <f t="array" ref="G172">FuzzyPercent(D172,E172,2)</f>
        <v>0</v>
      </c>
      <c r="H172" t="str" cm="1">
        <f t="array" ref="H172">IF(F172="Non-PDL","",IF(FuzzyPercent(D172,E172,2)&lt;0.4,"CHECK",""))</f>
        <v/>
      </c>
    </row>
    <row r="173" spans="1:8" x14ac:dyDescent="0.2">
      <c r="A173" t="s">
        <v>344</v>
      </c>
      <c r="B173" t="s">
        <v>0</v>
      </c>
      <c r="D173" t="s">
        <v>2289</v>
      </c>
      <c r="E173" t="str" cm="1">
        <f t="array" ref="E173">IF(COUNTIF(A:A, "*" &amp; LEFT(D173, FIND(" ", D173 &amp; " ") - 1) &amp; "*") &gt; 0,INDEX(A:A,FuzzyVLookup(D173,A:A,0,,,2)),"Non-PDL")</f>
        <v>Non-PDL</v>
      </c>
      <c r="F173" t="str">
        <f t="shared" si="2"/>
        <v>Non-PDL</v>
      </c>
      <c r="G173" s="1" cm="1">
        <f t="array" ref="G173">FuzzyPercent(D173,E173,2)</f>
        <v>0</v>
      </c>
      <c r="H173" t="str" cm="1">
        <f t="array" ref="H173">IF(F173="Non-PDL","",IF(FuzzyPercent(D173,E173,2)&lt;0.4,"CHECK",""))</f>
        <v/>
      </c>
    </row>
    <row r="174" spans="1:8" x14ac:dyDescent="0.2">
      <c r="A174" t="s">
        <v>346</v>
      </c>
      <c r="B174" t="s">
        <v>0</v>
      </c>
      <c r="D174" t="s">
        <v>2290</v>
      </c>
      <c r="E174" t="str" cm="1">
        <f t="array" ref="E174">IF(COUNTIF(A:A, "*" &amp; LEFT(D174, FIND(" ", D174 &amp; " ") - 1) &amp; "*") &gt; 0,INDEX(A:A,FuzzyVLookup(D174,A:A,0,,,2)),"Non-PDL")</f>
        <v>Non-PDL</v>
      </c>
      <c r="F174" t="str">
        <f t="shared" si="2"/>
        <v>Non-PDL</v>
      </c>
      <c r="G174" s="1" cm="1">
        <f t="array" ref="G174">FuzzyPercent(D174,E174,2)</f>
        <v>0</v>
      </c>
      <c r="H174" t="str" cm="1">
        <f t="array" ref="H174">IF(F174="Non-PDL","",IF(FuzzyPercent(D174,E174,2)&lt;0.4,"CHECK",""))</f>
        <v/>
      </c>
    </row>
    <row r="175" spans="1:8" x14ac:dyDescent="0.2">
      <c r="A175" t="s">
        <v>348</v>
      </c>
      <c r="B175" t="s">
        <v>0</v>
      </c>
      <c r="D175" t="s">
        <v>2291</v>
      </c>
      <c r="E175" t="str" cm="1">
        <f t="array" ref="E175">IF(COUNTIF(A:A, "*" &amp; LEFT(D175, FIND(" ", D175 &amp; " ") - 1) &amp; "*") &gt; 0,INDEX(A:A,FuzzyVLookup(D175,A:A,0,,,2)),"Non-PDL")</f>
        <v>Non-PDL</v>
      </c>
      <c r="F175" t="str">
        <f t="shared" si="2"/>
        <v>Non-PDL</v>
      </c>
      <c r="G175" s="1" cm="1">
        <f t="array" ref="G175">FuzzyPercent(D175,E175,2)</f>
        <v>2.1739130839705467E-2</v>
      </c>
      <c r="H175" t="str" cm="1">
        <f t="array" ref="H175">IF(F175="Non-PDL","",IF(FuzzyPercent(D175,E175,2)&lt;0.4,"CHECK",""))</f>
        <v/>
      </c>
    </row>
    <row r="176" spans="1:8" x14ac:dyDescent="0.2">
      <c r="A176" t="s">
        <v>350</v>
      </c>
      <c r="B176" t="s">
        <v>0</v>
      </c>
      <c r="D176" t="s">
        <v>2292</v>
      </c>
      <c r="E176" t="str" cm="1">
        <f t="array" ref="E176">IF(COUNTIF(A:A, "*" &amp; LEFT(D176, FIND(" ", D176 &amp; " ") - 1) &amp; "*") &gt; 0,INDEX(A:A,FuzzyVLookup(D176,A:A,0,,,2)),"Non-PDL")</f>
        <v>DEPAKOTE (divalproex)</v>
      </c>
      <c r="F176" t="str">
        <f t="shared" si="2"/>
        <v>Non-Preferred</v>
      </c>
      <c r="G176" s="1" cm="1">
        <f t="array" ref="G176">FuzzyPercent(D176,E176,2)</f>
        <v>0.39344263076782227</v>
      </c>
      <c r="H176" t="str" cm="1">
        <f t="array" ref="H176">IF(F176="Non-PDL","",IF(FuzzyPercent(D176,E176,2)&lt;0.4,"CHECK",""))</f>
        <v>CHECK</v>
      </c>
    </row>
    <row r="177" spans="1:8" x14ac:dyDescent="0.2">
      <c r="A177" t="s">
        <v>351</v>
      </c>
      <c r="B177" t="s">
        <v>0</v>
      </c>
      <c r="D177" t="s">
        <v>2293</v>
      </c>
      <c r="E177" t="str" cm="1">
        <f t="array" ref="E177">IF(COUNTIF(A:A, "*" &amp; LEFT(D177, FIND(" ", D177 &amp; " ") - 1) &amp; "*") &gt; 0,INDEX(A:A,FuzzyVLookup(D177,A:A,0,,,2)),"Non-PDL")</f>
        <v>Non-PDL</v>
      </c>
      <c r="F177" t="str">
        <f t="shared" si="2"/>
        <v>Non-PDL</v>
      </c>
      <c r="G177" s="1" cm="1">
        <f t="array" ref="G177">FuzzyPercent(D177,E177,2)</f>
        <v>0</v>
      </c>
      <c r="H177" t="str" cm="1">
        <f t="array" ref="H177">IF(F177="Non-PDL","",IF(FuzzyPercent(D177,E177,2)&lt;0.4,"CHECK",""))</f>
        <v/>
      </c>
    </row>
    <row r="178" spans="1:8" x14ac:dyDescent="0.2">
      <c r="A178" t="s">
        <v>353</v>
      </c>
      <c r="B178" t="s">
        <v>0</v>
      </c>
      <c r="D178" t="s">
        <v>2294</v>
      </c>
      <c r="E178" t="str" cm="1">
        <f t="array" ref="E178">IF(COUNTIF(A:A, "*" &amp; LEFT(D178, FIND(" ", D178 &amp; " ") - 1) &amp; "*") &gt; 0,INDEX(A:A,FuzzyVLookup(D178,A:A,0,,,2)),"Non-PDL")</f>
        <v>Non-PDL</v>
      </c>
      <c r="F178" t="str">
        <f t="shared" si="2"/>
        <v>Non-PDL</v>
      </c>
      <c r="G178" s="1" cm="1">
        <f t="array" ref="G178">FuzzyPercent(D178,E178,2)</f>
        <v>0</v>
      </c>
      <c r="H178" t="str" cm="1">
        <f t="array" ref="H178">IF(F178="Non-PDL","",IF(FuzzyPercent(D178,E178,2)&lt;0.4,"CHECK",""))</f>
        <v/>
      </c>
    </row>
    <row r="179" spans="1:8" x14ac:dyDescent="0.2">
      <c r="A179" t="s">
        <v>355</v>
      </c>
      <c r="B179" t="s">
        <v>0</v>
      </c>
      <c r="D179" t="s">
        <v>2295</v>
      </c>
      <c r="E179" t="str" cm="1">
        <f t="array" ref="E179">IF(COUNTIF(A:A, "*" &amp; LEFT(D179, FIND(" ", D179 &amp; " ") - 1) &amp; "*") &gt; 0,INDEX(A:A,FuzzyVLookup(D179,A:A,0,,,2)),"Non-PDL")</f>
        <v>Non-PDL</v>
      </c>
      <c r="F179" t="str">
        <f t="shared" si="2"/>
        <v>Non-PDL</v>
      </c>
      <c r="G179" s="1" cm="1">
        <f t="array" ref="G179">FuzzyPercent(D179,E179,2)</f>
        <v>0</v>
      </c>
      <c r="H179" t="str" cm="1">
        <f t="array" ref="H179">IF(F179="Non-PDL","",IF(FuzzyPercent(D179,E179,2)&lt;0.4,"CHECK",""))</f>
        <v/>
      </c>
    </row>
    <row r="180" spans="1:8" x14ac:dyDescent="0.2">
      <c r="A180" t="s">
        <v>357</v>
      </c>
      <c r="B180" t="s">
        <v>0</v>
      </c>
      <c r="D180" t="s">
        <v>2296</v>
      </c>
      <c r="E180" t="str" cm="1">
        <f t="array" ref="E180">IF(COUNTIF(A:A, "*" &amp; LEFT(D180, FIND(" ", D180 &amp; " ") - 1) &amp; "*") &gt; 0,INDEX(A:A,FuzzyVLookup(D180,A:A,0,,,2)),"Non-PDL")</f>
        <v>Non-PDL</v>
      </c>
      <c r="F180" t="str">
        <f t="shared" si="2"/>
        <v>Non-PDL</v>
      </c>
      <c r="G180" s="1" cm="1">
        <f t="array" ref="G180">FuzzyPercent(D180,E180,2)</f>
        <v>0</v>
      </c>
      <c r="H180" t="str" cm="1">
        <f t="array" ref="H180">IF(F180="Non-PDL","",IF(FuzzyPercent(D180,E180,2)&lt;0.4,"CHECK",""))</f>
        <v/>
      </c>
    </row>
    <row r="181" spans="1:8" x14ac:dyDescent="0.2">
      <c r="A181" t="s">
        <v>359</v>
      </c>
      <c r="B181" t="s">
        <v>0</v>
      </c>
      <c r="D181" t="s">
        <v>2297</v>
      </c>
      <c r="E181" t="str" cm="1">
        <f t="array" ref="E181">IF(COUNTIF(A:A, "*" &amp; LEFT(D181, FIND(" ", D181 &amp; " ") - 1) &amp; "*") &gt; 0,INDEX(A:A,FuzzyVLookup(D181,A:A,0,,,2)),"Non-PDL")</f>
        <v>Non-PDL</v>
      </c>
      <c r="F181" t="str">
        <f t="shared" si="2"/>
        <v>Non-PDL</v>
      </c>
      <c r="G181" s="1" cm="1">
        <f t="array" ref="G181">FuzzyPercent(D181,E181,2)</f>
        <v>0</v>
      </c>
      <c r="H181" t="str" cm="1">
        <f t="array" ref="H181">IF(F181="Non-PDL","",IF(FuzzyPercent(D181,E181,2)&lt;0.4,"CHECK",""))</f>
        <v/>
      </c>
    </row>
    <row r="182" spans="1:8" x14ac:dyDescent="0.2">
      <c r="A182" t="s">
        <v>361</v>
      </c>
      <c r="B182" t="s">
        <v>0</v>
      </c>
      <c r="D182" t="s">
        <v>2298</v>
      </c>
      <c r="E182" t="str" cm="1">
        <f t="array" ref="E182">IF(COUNTIF(A:A, "*" &amp; LEFT(D182, FIND(" ", D182 &amp; " ") - 1) &amp; "*") &gt; 0,INDEX(A:A,FuzzyVLookup(D182,A:A,0,,,2)),"Non-PDL")</f>
        <v>DIACOMIT (stiripentol)</v>
      </c>
      <c r="F182" t="str">
        <f t="shared" si="2"/>
        <v>Non-Preferred</v>
      </c>
      <c r="G182" s="1" cm="1">
        <f t="array" ref="G182">FuzzyPercent(D182,E182,2)</f>
        <v>0.32558140158653259</v>
      </c>
      <c r="H182" t="str" cm="1">
        <f t="array" ref="H182">IF(F182="Non-PDL","",IF(FuzzyPercent(D182,E182,2)&lt;0.4,"CHECK",""))</f>
        <v>CHECK</v>
      </c>
    </row>
    <row r="183" spans="1:8" x14ac:dyDescent="0.2">
      <c r="A183" t="s">
        <v>357</v>
      </c>
      <c r="B183" t="s">
        <v>0</v>
      </c>
      <c r="D183" t="s">
        <v>2299</v>
      </c>
      <c r="E183" t="str" cm="1">
        <f t="array" ref="E183">IF(COUNTIF(A:A, "*" &amp; LEFT(D183, FIND(" ", D183 &amp; " ") - 1) &amp; "*") &gt; 0,INDEX(A:A,FuzzyVLookup(D183,A:A,0,,,2)),"Non-PDL")</f>
        <v>CARAFATE (sucralfate) suspension</v>
      </c>
      <c r="F183" t="str">
        <f t="shared" si="2"/>
        <v>Preferred</v>
      </c>
      <c r="G183" s="1" cm="1">
        <f t="array" ref="G183">FuzzyPercent(D183,E183,2)</f>
        <v>0.1770833283662796</v>
      </c>
      <c r="H183" t="str" cm="1">
        <f t="array" ref="H183">IF(F183="Non-PDL","",IF(FuzzyPercent(D183,E183,2)&lt;0.4,"CHECK",""))</f>
        <v>CHECK</v>
      </c>
    </row>
    <row r="184" spans="1:8" x14ac:dyDescent="0.2">
      <c r="A184" t="s">
        <v>364</v>
      </c>
      <c r="B184" t="s">
        <v>0</v>
      </c>
      <c r="D184" t="s">
        <v>2300</v>
      </c>
      <c r="E184" t="str" cm="1">
        <f t="array" ref="E184">IF(COUNTIF(A:A, "*" &amp; LEFT(D184, FIND(" ", D184 &amp; " ") - 1) &amp; "*") &gt; 0,INDEX(A:A,FuzzyVLookup(D184,A:A,0,,,2)),"Non-PDL")</f>
        <v>dimethyl fumarate</v>
      </c>
      <c r="F184" t="str">
        <f t="shared" si="2"/>
        <v>Preferred</v>
      </c>
      <c r="G184" s="1" cm="1">
        <f t="array" ref="G184">FuzzyPercent(D184,E184,2)</f>
        <v>1</v>
      </c>
      <c r="H184" t="str" cm="1">
        <f t="array" ref="H184">IF(F184="Non-PDL","",IF(FuzzyPercent(D184,E184,2)&lt;0.4,"CHECK",""))</f>
        <v/>
      </c>
    </row>
    <row r="185" spans="1:8" x14ac:dyDescent="0.2">
      <c r="A185" t="s">
        <v>366</v>
      </c>
      <c r="B185" t="s">
        <v>0</v>
      </c>
      <c r="D185" t="s">
        <v>2301</v>
      </c>
      <c r="E185" t="str" cm="1">
        <f t="array" ref="E185">IF(COUNTIF(A:A, "*" &amp; LEFT(D185, FIND(" ", D185 &amp; " ") - 1) &amp; "*") &gt; 0,INDEX(A:A,FuzzyVLookup(D185,A:A,0,,,2)),"Non-PDL")</f>
        <v>Non-PDL</v>
      </c>
      <c r="F185" t="str">
        <f t="shared" si="2"/>
        <v>Non-PDL</v>
      </c>
      <c r="G185" s="1" cm="1">
        <f t="array" ref="G185">FuzzyPercent(D185,E185,2)</f>
        <v>0</v>
      </c>
      <c r="H185" t="str" cm="1">
        <f t="array" ref="H185">IF(F185="Non-PDL","",IF(FuzzyPercent(D185,E185,2)&lt;0.4,"CHECK",""))</f>
        <v/>
      </c>
    </row>
    <row r="186" spans="1:8" x14ac:dyDescent="0.2">
      <c r="A186" t="s">
        <v>368</v>
      </c>
      <c r="B186" t="s">
        <v>0</v>
      </c>
      <c r="D186" t="s">
        <v>2302</v>
      </c>
      <c r="E186" t="str" cm="1">
        <f t="array" ref="E186">IF(COUNTIF(A:A, "*" &amp; LEFT(D186, FIND(" ", D186 &amp; " ") - 1) &amp; "*") &gt; 0,INDEX(A:A,FuzzyVLookup(D186,A:A,0,,,2)),"Non-PDL")</f>
        <v>donepezil 23 mg tablet</v>
      </c>
      <c r="F186" t="str">
        <f t="shared" si="2"/>
        <v>Non-Preferred</v>
      </c>
      <c r="G186" s="1" cm="1">
        <f t="array" ref="G186">FuzzyPercent(D186,E186,2)</f>
        <v>0.44736841320991516</v>
      </c>
      <c r="H186" t="str" cm="1">
        <f t="array" ref="H186">IF(F186="Non-PDL","",IF(FuzzyPercent(D186,E186,2)&lt;0.4,"CHECK",""))</f>
        <v/>
      </c>
    </row>
    <row r="187" spans="1:8" x14ac:dyDescent="0.2">
      <c r="A187" t="s">
        <v>370</v>
      </c>
      <c r="B187" t="s">
        <v>0</v>
      </c>
      <c r="D187" t="s">
        <v>2303</v>
      </c>
      <c r="E187" t="str" cm="1">
        <f t="array" ref="E187">IF(COUNTIF(A:A, "*" &amp; LEFT(D187, FIND(" ", D187 &amp; " ") - 1) &amp; "*") &gt; 0,INDEX(A:A,FuzzyVLookup(D187,A:A,0,,,2)),"Non-PDL")</f>
        <v>donepezil 23 mg tablet</v>
      </c>
      <c r="F187" t="str">
        <f t="shared" si="2"/>
        <v>Non-Preferred</v>
      </c>
      <c r="G187" s="1" cm="1">
        <f t="array" ref="G187">FuzzyPercent(D187,E187,2)</f>
        <v>0.54651165008544922</v>
      </c>
      <c r="H187" t="str" cm="1">
        <f t="array" ref="H187">IF(F187="Non-PDL","",IF(FuzzyPercent(D187,E187,2)&lt;0.4,"CHECK",""))</f>
        <v/>
      </c>
    </row>
    <row r="188" spans="1:8" x14ac:dyDescent="0.2">
      <c r="A188" t="s">
        <v>372</v>
      </c>
      <c r="B188" t="s">
        <v>0</v>
      </c>
      <c r="D188" t="s">
        <v>2304</v>
      </c>
      <c r="E188" t="str" cm="1">
        <f t="array" ref="E188">IF(COUNTIF(A:A, "*" &amp; LEFT(D188, FIND(" ", D188 &amp; " ") - 1) &amp; "*") &gt; 0,INDEX(A:A,FuzzyVLookup(D188,A:A,0,,,2)),"Non-PDL")</f>
        <v>DOPTELET (avatrombopag)</v>
      </c>
      <c r="F188" t="str">
        <f t="shared" si="2"/>
        <v>Non-Preferred</v>
      </c>
      <c r="G188" s="1" cm="1">
        <f t="array" ref="G188">FuzzyPercent(D188,E188,2)</f>
        <v>0.36923077702522278</v>
      </c>
      <c r="H188" t="str" cm="1">
        <f t="array" ref="H188">IF(F188="Non-PDL","",IF(FuzzyPercent(D188,E188,2)&lt;0.4,"CHECK",""))</f>
        <v>CHECK</v>
      </c>
    </row>
    <row r="189" spans="1:8" x14ac:dyDescent="0.2">
      <c r="A189" t="s">
        <v>374</v>
      </c>
      <c r="B189" t="s">
        <v>0</v>
      </c>
      <c r="D189" t="s">
        <v>2305</v>
      </c>
      <c r="E189" t="str" cm="1">
        <f t="array" ref="E189">IF(COUNTIF(A:A, "*" &amp; LEFT(D189, FIND(" ", D189 &amp; " ") - 1) &amp; "*") &gt; 0,INDEX(A:A,FuzzyVLookup(D189,A:A,0,,,2)),"Non-PDL")</f>
        <v>DUAKLIR PRESSAIR (aclidinium/formoterol)</v>
      </c>
      <c r="F189" t="str">
        <f t="shared" si="2"/>
        <v>Non-Preferred</v>
      </c>
      <c r="G189" s="1" cm="1">
        <f t="array" ref="G189">FuzzyPercent(D189,E189,2)</f>
        <v>0.44736841320991516</v>
      </c>
      <c r="H189" t="str" cm="1">
        <f t="array" ref="H189">IF(F189="Non-PDL","",IF(FuzzyPercent(D189,E189,2)&lt;0.4,"CHECK",""))</f>
        <v/>
      </c>
    </row>
    <row r="190" spans="1:8" x14ac:dyDescent="0.2">
      <c r="A190" t="s">
        <v>376</v>
      </c>
      <c r="B190" t="s">
        <v>0</v>
      </c>
      <c r="D190" t="s">
        <v>2306</v>
      </c>
      <c r="E190" t="str" cm="1">
        <f t="array" ref="E190">IF(COUNTIF(A:A, "*" &amp; LEFT(D190, FIND(" ", D190 &amp; " ") - 1) &amp; "*") &gt; 0,INDEX(A:A,FuzzyVLookup(D190,A:A,0,,,2)),"Non-PDL")</f>
        <v>DULERA (mometasone/formoterol)</v>
      </c>
      <c r="F190" t="str">
        <f t="shared" si="2"/>
        <v>Preferred</v>
      </c>
      <c r="G190" s="1" cm="1">
        <f t="array" ref="G190">FuzzyPercent(D190,E190,2)</f>
        <v>0.17977528274059296</v>
      </c>
      <c r="H190" t="str" cm="1">
        <f t="array" ref="H190">IF(F190="Non-PDL","",IF(FuzzyPercent(D190,E190,2)&lt;0.4,"CHECK",""))</f>
        <v>CHECK</v>
      </c>
    </row>
    <row r="191" spans="1:8" x14ac:dyDescent="0.2">
      <c r="A191" t="s">
        <v>378</v>
      </c>
      <c r="B191" t="s">
        <v>0</v>
      </c>
      <c r="D191" t="s">
        <v>2307</v>
      </c>
      <c r="E191" t="str" cm="1">
        <f t="array" ref="E191">IF(COUNTIF(A:A, "*" &amp; LEFT(D191, FIND(" ", D191 &amp; " ") - 1) &amp; "*") &gt; 0,INDEX(A:A,FuzzyVLookup(D191,A:A,0,,,2)),"Non-PDL")</f>
        <v>CYMBALTA (duloxetine)</v>
      </c>
      <c r="F191" t="str">
        <f t="shared" si="2"/>
        <v>Non-Preferred</v>
      </c>
      <c r="G191" s="1" cm="1">
        <f t="array" ref="G191">FuzzyPercent(D191,E191,2)</f>
        <v>0.45454546809196472</v>
      </c>
      <c r="H191" t="str" cm="1">
        <f t="array" ref="H191">IF(F191="Non-PDL","",IF(FuzzyPercent(D191,E191,2)&lt;0.4,"CHECK",""))</f>
        <v/>
      </c>
    </row>
    <row r="192" spans="1:8" x14ac:dyDescent="0.2">
      <c r="A192" t="s">
        <v>380</v>
      </c>
      <c r="B192" t="s">
        <v>0</v>
      </c>
      <c r="D192" t="s">
        <v>2308</v>
      </c>
      <c r="E192" t="str" cm="1">
        <f t="array" ref="E192">IF(COUNTIF(A:A, "*" &amp; LEFT(D192, FIND(" ", D192 &amp; " ") - 1) &amp; "*") &gt; 0,INDEX(A:A,FuzzyVLookup(D192,A:A,0,,,2)),"Non-PDL")</f>
        <v>DUPIXENT (dupilumab) DUR+</v>
      </c>
      <c r="F192" t="str">
        <f t="shared" si="2"/>
        <v>Preferred</v>
      </c>
      <c r="G192" s="1" cm="1">
        <f t="array" ref="G192">FuzzyPercent(D192,E192,2)</f>
        <v>0.32432430982589722</v>
      </c>
      <c r="H192" t="str" cm="1">
        <f t="array" ref="H192">IF(F192="Non-PDL","",IF(FuzzyPercent(D192,E192,2)&lt;0.4,"CHECK",""))</f>
        <v>CHECK</v>
      </c>
    </row>
    <row r="193" spans="1:8" x14ac:dyDescent="0.2">
      <c r="A193" t="s">
        <v>382</v>
      </c>
      <c r="B193" t="s">
        <v>0</v>
      </c>
      <c r="D193" t="s">
        <v>2309</v>
      </c>
      <c r="E193" t="str" cm="1">
        <f t="array" ref="E193">IF(COUNTIF(A:A, "*" &amp; LEFT(D193, FIND(" ", D193 &amp; " ") - 1) &amp; "*") &gt; 0,INDEX(A:A,FuzzyVLookup(D193,A:A,0,,,2)),"Non-PDL")</f>
        <v>Non-PDL</v>
      </c>
      <c r="F193" t="str">
        <f t="shared" si="2"/>
        <v>Non-PDL</v>
      </c>
      <c r="G193" s="1" cm="1">
        <f t="array" ref="G193">FuzzyPercent(D193,E193,2)</f>
        <v>0</v>
      </c>
      <c r="H193" t="str" cm="1">
        <f t="array" ref="H193">IF(F193="Non-PDL","",IF(FuzzyPercent(D193,E193,2)&lt;0.4,"CHECK",""))</f>
        <v/>
      </c>
    </row>
    <row r="194" spans="1:8" x14ac:dyDescent="0.2">
      <c r="A194" t="s">
        <v>384</v>
      </c>
      <c r="B194" t="s">
        <v>0</v>
      </c>
      <c r="D194" t="s">
        <v>2310</v>
      </c>
      <c r="E194" t="str" cm="1">
        <f t="array" ref="E194">IF(COUNTIF(A:A, "*" &amp; LEFT(D194, FIND(" ", D194 &amp; " ") - 1) &amp; "*") &gt; 0,INDEX(A:A,FuzzyVLookup(D194,A:A,0,,,2)),"Non-PDL")</f>
        <v>cefaclor suspension</v>
      </c>
      <c r="F194" t="str">
        <f t="shared" si="2"/>
        <v>Non-Preferred</v>
      </c>
      <c r="G194" s="1" cm="1">
        <f t="array" ref="G194">FuzzyPercent(D194,E194,2)</f>
        <v>0.2641509473323822</v>
      </c>
      <c r="H194" t="str" cm="1">
        <f t="array" ref="H194">IF(F194="Non-PDL","",IF(FuzzyPercent(D194,E194,2)&lt;0.4,"CHECK",""))</f>
        <v>CHECK</v>
      </c>
    </row>
    <row r="195" spans="1:8" x14ac:dyDescent="0.2">
      <c r="A195" t="s">
        <v>386</v>
      </c>
      <c r="B195" t="s">
        <v>0</v>
      </c>
      <c r="D195" t="s">
        <v>2311</v>
      </c>
      <c r="E195" t="str" cm="1">
        <f t="array" ref="E195">IF(COUNTIF(A:A, "*" &amp; LEFT(D195, FIND(" ", D195 &amp; " ") - 1) &amp; "*") &gt; 0,INDEX(A:A,FuzzyVLookup(D195,A:A,0,,,2)),"Non-PDL")</f>
        <v>DYANAVEL XR (amphetamine)</v>
      </c>
      <c r="F195" t="str">
        <f t="shared" ref="F195:F258" si="3">_xlfn.IFNA(_xlfn.XLOOKUP(E195,A:A,B:B),"Non-PDL")</f>
        <v>Preferred</v>
      </c>
      <c r="G195" s="1" cm="1">
        <f t="array" ref="G195">FuzzyPercent(D195,E195,2)</f>
        <v>0.3382352888584137</v>
      </c>
      <c r="H195" t="str" cm="1">
        <f t="array" ref="H195">IF(F195="Non-PDL","",IF(FuzzyPercent(D195,E195,2)&lt;0.4,"CHECK",""))</f>
        <v>CHECK</v>
      </c>
    </row>
    <row r="196" spans="1:8" x14ac:dyDescent="0.2">
      <c r="A196" t="s">
        <v>388</v>
      </c>
      <c r="B196" t="s">
        <v>0</v>
      </c>
      <c r="D196" t="s">
        <v>2312</v>
      </c>
      <c r="E196" t="str" cm="1">
        <f t="array" ref="E196">IF(COUNTIF(A:A, "*" &amp; LEFT(D196, FIND(" ", D196 &amp; " ") - 1) &amp; "*") &gt; 0,INDEX(A:A,FuzzyVLookup(D196,A:A,0,,,2)),"Non-PDL")</f>
        <v>DYANAVEL XR (amphetamine)</v>
      </c>
      <c r="F196" t="str">
        <f t="shared" si="3"/>
        <v>Preferred</v>
      </c>
      <c r="G196" s="1" cm="1">
        <f t="array" ref="G196">FuzzyPercent(D196,E196,2)</f>
        <v>0.47058823704719543</v>
      </c>
      <c r="H196" t="str" cm="1">
        <f t="array" ref="H196">IF(F196="Non-PDL","",IF(FuzzyPercent(D196,E196,2)&lt;0.4,"CHECK",""))</f>
        <v/>
      </c>
    </row>
    <row r="197" spans="1:8" x14ac:dyDescent="0.2">
      <c r="A197" t="s">
        <v>390</v>
      </c>
      <c r="B197" t="s">
        <v>0</v>
      </c>
      <c r="D197" t="s">
        <v>2313</v>
      </c>
      <c r="E197" t="str" cm="1">
        <f t="array" ref="E197">IF(COUNTIF(A:A, "*" &amp; LEFT(D197, FIND(" ", D197 &amp; " ") - 1) &amp; "*") &gt; 0,INDEX(A:A,FuzzyVLookup(D197,A:A,0,,,2)),"Non-PDL")</f>
        <v>Non-PDL</v>
      </c>
      <c r="F197" t="str">
        <f t="shared" si="3"/>
        <v>Non-PDL</v>
      </c>
      <c r="G197" s="1" cm="1">
        <f t="array" ref="G197">FuzzyPercent(D197,E197,2)</f>
        <v>0</v>
      </c>
      <c r="H197" t="str" cm="1">
        <f t="array" ref="H197">IF(F197="Non-PDL","",IF(FuzzyPercent(D197,E197,2)&lt;0.4,"CHECK",""))</f>
        <v/>
      </c>
    </row>
    <row r="198" spans="1:8" x14ac:dyDescent="0.2">
      <c r="A198" t="s">
        <v>392</v>
      </c>
      <c r="B198" t="s">
        <v>0</v>
      </c>
      <c r="D198" t="s">
        <v>2314</v>
      </c>
      <c r="E198" t="str" cm="1">
        <f t="array" ref="E198">IF(COUNTIF(A:A, "*" &amp; LEFT(D198, FIND(" ", D198 &amp; " ") - 1) &amp; "*") &gt; 0,INDEX(A:A,FuzzyVLookup(D198,A:A,0,,,2)),"Non-PDL")</f>
        <v>EDARBI (azilsartan)</v>
      </c>
      <c r="F198" t="str">
        <f t="shared" si="3"/>
        <v>Non-Preferred</v>
      </c>
      <c r="G198" s="1" cm="1">
        <f t="array" ref="G198">FuzzyPercent(D198,E198,2)</f>
        <v>0.32653060555458069</v>
      </c>
      <c r="H198" t="str" cm="1">
        <f t="array" ref="H198">IF(F198="Non-PDL","",IF(FuzzyPercent(D198,E198,2)&lt;0.4,"CHECK",""))</f>
        <v>CHECK</v>
      </c>
    </row>
    <row r="199" spans="1:8" x14ac:dyDescent="0.2">
      <c r="A199" t="s">
        <v>394</v>
      </c>
      <c r="B199" t="s">
        <v>0</v>
      </c>
      <c r="D199" t="s">
        <v>2315</v>
      </c>
      <c r="E199" t="str" cm="1">
        <f t="array" ref="E199">IF(COUNTIF(A:A, "*" &amp; LEFT(D199, FIND(" ", D199 &amp; " ") - 1) &amp; "*") &gt; 0,INDEX(A:A,FuzzyVLookup(D199,A:A,0,,,2)),"Non-PDL")</f>
        <v>EDARBYCLOR (azilsartan/chlorthalidone)</v>
      </c>
      <c r="F199" t="str">
        <f t="shared" si="3"/>
        <v>Non-Preferred</v>
      </c>
      <c r="G199" s="1" cm="1">
        <f t="array" ref="G199">FuzzyPercent(D199,E199,2)</f>
        <v>0.2720000147819519</v>
      </c>
      <c r="H199" t="str" cm="1">
        <f t="array" ref="H199">IF(F199="Non-PDL","",IF(FuzzyPercent(D199,E199,2)&lt;0.4,"CHECK",""))</f>
        <v>CHECK</v>
      </c>
    </row>
    <row r="200" spans="1:8" x14ac:dyDescent="0.2">
      <c r="A200" t="s">
        <v>396</v>
      </c>
      <c r="B200" t="s">
        <v>0</v>
      </c>
      <c r="D200" t="s">
        <v>2316</v>
      </c>
      <c r="E200" t="str" cm="1">
        <f t="array" ref="E200">IF(COUNTIF(A:A, "*" &amp; LEFT(D200, FIND(" ", D200 &amp; " ") - 1) &amp; "*") &gt; 0,INDEX(A:A,FuzzyVLookup(D200,A:A,0,,,2)),"Non-PDL")</f>
        <v>ELELYSO (taliglucerase alfa)</v>
      </c>
      <c r="F200" t="str">
        <f t="shared" si="3"/>
        <v>Preferred</v>
      </c>
      <c r="G200" s="1" cm="1">
        <f t="array" ref="G200">FuzzyPercent(D200,E200,2)</f>
        <v>0.21951219439506531</v>
      </c>
      <c r="H200" t="str" cm="1">
        <f t="array" ref="H200">IF(F200="Non-PDL","",IF(FuzzyPercent(D200,E200,2)&lt;0.4,"CHECK",""))</f>
        <v>CHECK</v>
      </c>
    </row>
    <row r="201" spans="1:8" x14ac:dyDescent="0.2">
      <c r="A201" t="s">
        <v>398</v>
      </c>
      <c r="B201" t="s">
        <v>0</v>
      </c>
      <c r="D201" t="s">
        <v>2317</v>
      </c>
      <c r="E201" t="str" cm="1">
        <f t="array" ref="E201">IF(COUNTIF(A:A, "*" &amp; LEFT(D201, FIND(" ", D201 &amp; " ") - 1) &amp; "*") &gt; 0,INDEX(A:A,FuzzyVLookup(D201,A:A,0,,,2)),"Non-PDL")</f>
        <v>ELEVIDYS (delandistrogene moxeparvovec-rokl)</v>
      </c>
      <c r="F201" t="str">
        <f t="shared" si="3"/>
        <v>Non-Preferred</v>
      </c>
      <c r="G201" s="1" cm="1">
        <f t="array" ref="G201">FuzzyPercent(D201,E201,2)</f>
        <v>0.13963964581489563</v>
      </c>
      <c r="H201" t="str" cm="1">
        <f t="array" ref="H201">IF(F201="Non-PDL","",IF(FuzzyPercent(D201,E201,2)&lt;0.4,"CHECK",""))</f>
        <v>CHECK</v>
      </c>
    </row>
    <row r="202" spans="1:8" x14ac:dyDescent="0.2">
      <c r="A202" t="s">
        <v>400</v>
      </c>
      <c r="B202" t="s">
        <v>0</v>
      </c>
      <c r="D202" t="s">
        <v>2318</v>
      </c>
      <c r="E202" t="str" cm="1">
        <f t="array" ref="E202">IF(COUNTIF(A:A, "*" &amp; LEFT(D202, FIND(" ", D202 &amp; " ") - 1) &amp; "*") &gt; 0,INDEX(A:A,FuzzyVLookup(D202,A:A,0,,,2)),"Non-PDL")</f>
        <v>Non-PDL</v>
      </c>
      <c r="F202" t="str">
        <f t="shared" si="3"/>
        <v>Non-PDL</v>
      </c>
      <c r="G202" s="1" cm="1">
        <f t="array" ref="G202">FuzzyPercent(D202,E202,2)</f>
        <v>0</v>
      </c>
      <c r="H202" t="str" cm="1">
        <f t="array" ref="H202">IF(F202="Non-PDL","",IF(FuzzyPercent(D202,E202,2)&lt;0.4,"CHECK",""))</f>
        <v/>
      </c>
    </row>
    <row r="203" spans="1:8" x14ac:dyDescent="0.2">
      <c r="A203" t="s">
        <v>402</v>
      </c>
      <c r="B203" t="s">
        <v>0</v>
      </c>
      <c r="D203" t="s">
        <v>2319</v>
      </c>
      <c r="E203" t="str" cm="1">
        <f t="array" ref="E203">IF(COUNTIF(A:A, "*" &amp; LEFT(D203, FIND(" ", D203 &amp; " ") - 1) &amp; "*") &gt; 0,INDEX(A:A,FuzzyVLookup(D203,A:A,0,,,2)),"Non-PDL")</f>
        <v>Non-PDL</v>
      </c>
      <c r="F203" t="str">
        <f t="shared" si="3"/>
        <v>Non-PDL</v>
      </c>
      <c r="G203" s="1" cm="1">
        <f t="array" ref="G203">FuzzyPercent(D203,E203,2)</f>
        <v>0</v>
      </c>
      <c r="H203" t="str" cm="1">
        <f t="array" ref="H203">IF(F203="Non-PDL","",IF(FuzzyPercent(D203,E203,2)&lt;0.4,"CHECK",""))</f>
        <v/>
      </c>
    </row>
    <row r="204" spans="1:8" x14ac:dyDescent="0.2">
      <c r="A204" t="s">
        <v>404</v>
      </c>
      <c r="B204" t="s">
        <v>0</v>
      </c>
      <c r="D204" t="s">
        <v>2320</v>
      </c>
      <c r="E204" t="str" cm="1">
        <f t="array" ref="E204">IF(COUNTIF(A:A, "*" &amp; LEFT(D204, FIND(" ", D204 &amp; " ") - 1) &amp; "*") &gt; 0,INDEX(A:A,FuzzyVLookup(D204,A:A,0,,,2)),"Non-PDL")</f>
        <v>Non-PDL</v>
      </c>
      <c r="F204" t="str">
        <f t="shared" si="3"/>
        <v>Non-PDL</v>
      </c>
      <c r="G204" s="1" cm="1">
        <f t="array" ref="G204">FuzzyPercent(D204,E204,2)</f>
        <v>0</v>
      </c>
      <c r="H204" t="str" cm="1">
        <f t="array" ref="H204">IF(F204="Non-PDL","",IF(FuzzyPercent(D204,E204,2)&lt;0.4,"CHECK",""))</f>
        <v/>
      </c>
    </row>
    <row r="205" spans="1:8" x14ac:dyDescent="0.2">
      <c r="A205" t="s">
        <v>406</v>
      </c>
      <c r="B205" t="s">
        <v>0</v>
      </c>
      <c r="D205" t="s">
        <v>2321</v>
      </c>
      <c r="E205" t="str" cm="1">
        <f t="array" ref="E205">IF(COUNTIF(A:A, "*" &amp; LEFT(D205, FIND(" ", D205 &amp; " ") - 1) &amp; "*") &gt; 0,INDEX(A:A,FuzzyVLookup(D205,A:A,0,,,2)),"Non-PDL")</f>
        <v>Non-PDL</v>
      </c>
      <c r="F205" t="str">
        <f t="shared" si="3"/>
        <v>Non-PDL</v>
      </c>
      <c r="G205" s="1" cm="1">
        <f t="array" ref="G205">FuzzyPercent(D205,E205,2)</f>
        <v>0</v>
      </c>
      <c r="H205" t="str" cm="1">
        <f t="array" ref="H205">IF(F205="Non-PDL","",IF(FuzzyPercent(D205,E205,2)&lt;0.4,"CHECK",""))</f>
        <v/>
      </c>
    </row>
    <row r="206" spans="1:8" x14ac:dyDescent="0.2">
      <c r="A206" t="s">
        <v>408</v>
      </c>
      <c r="B206" t="s">
        <v>0</v>
      </c>
      <c r="D206" t="s">
        <v>2322</v>
      </c>
      <c r="E206" t="str" cm="1">
        <f t="array" ref="E206">IF(COUNTIF(A:A, "*" &amp; LEFT(D206, FIND(" ", D206 &amp; " ") - 1) &amp; "*") &gt; 0,INDEX(A:A,FuzzyVLookup(D206,A:A,0,,,2)),"Non-PDL")</f>
        <v>ELOCTATE</v>
      </c>
      <c r="F206" t="str">
        <f t="shared" si="3"/>
        <v>Non-Preferred</v>
      </c>
      <c r="G206" s="1" cm="1">
        <f t="array" ref="G206">FuzzyPercent(D206,E206,2)</f>
        <v>1</v>
      </c>
      <c r="H206" t="str" cm="1">
        <f t="array" ref="H206">IF(F206="Non-PDL","",IF(FuzzyPercent(D206,E206,2)&lt;0.4,"CHECK",""))</f>
        <v/>
      </c>
    </row>
    <row r="207" spans="1:8" x14ac:dyDescent="0.2">
      <c r="A207" t="s">
        <v>410</v>
      </c>
      <c r="B207" t="s">
        <v>0</v>
      </c>
      <c r="D207" t="s">
        <v>2323</v>
      </c>
      <c r="E207" t="str" cm="1">
        <f t="array" ref="E207">IF(COUNTIF(A:A, "*" &amp; LEFT(D207, FIND(" ", D207 &amp; " ") - 1) &amp; "*") &gt; 0,INDEX(A:A,FuzzyVLookup(D207,A:A,0,,,2)),"Non-PDL")</f>
        <v>Non-PDL</v>
      </c>
      <c r="F207" t="str">
        <f t="shared" si="3"/>
        <v>Non-PDL</v>
      </c>
      <c r="G207" s="1" cm="1">
        <f t="array" ref="G207">FuzzyPercent(D207,E207,2)</f>
        <v>0</v>
      </c>
      <c r="H207" t="str" cm="1">
        <f t="array" ref="H207">IF(F207="Non-PDL","",IF(FuzzyPercent(D207,E207,2)&lt;0.4,"CHECK",""))</f>
        <v/>
      </c>
    </row>
    <row r="208" spans="1:8" x14ac:dyDescent="0.2">
      <c r="A208" t="s">
        <v>412</v>
      </c>
      <c r="B208" t="s">
        <v>0</v>
      </c>
      <c r="D208" t="s">
        <v>2324</v>
      </c>
      <c r="E208" t="str" cm="1">
        <f t="array" ref="E208">IF(COUNTIF(A:A, "*" &amp; LEFT(D208, FIND(" ", D208 &amp; " ") - 1) &amp; "*") &gt; 0,INDEX(A:A,FuzzyVLookup(D208,A:A,0,,,2)),"Non-PDL")</f>
        <v>Non-PDL</v>
      </c>
      <c r="F208" t="str">
        <f t="shared" si="3"/>
        <v>Non-PDL</v>
      </c>
      <c r="G208" s="1" cm="1">
        <f t="array" ref="G208">FuzzyPercent(D208,E208,2)</f>
        <v>0</v>
      </c>
      <c r="H208" t="str" cm="1">
        <f t="array" ref="H208">IF(F208="Non-PDL","",IF(FuzzyPercent(D208,E208,2)&lt;0.4,"CHECK",""))</f>
        <v/>
      </c>
    </row>
    <row r="209" spans="1:8" x14ac:dyDescent="0.2">
      <c r="A209" t="s">
        <v>414</v>
      </c>
      <c r="B209" t="s">
        <v>0</v>
      </c>
      <c r="D209" t="s">
        <v>2325</v>
      </c>
      <c r="E209" t="str" cm="1">
        <f t="array" ref="E209">IF(COUNTIF(A:A, "*" &amp; LEFT(D209, FIND(" ", D209 &amp; " ") - 1) &amp; "*") &gt; 0,INDEX(A:A,FuzzyVLookup(D209,A:A,0,,,2)),"Non-PDL")</f>
        <v>Non-PDL</v>
      </c>
      <c r="F209" t="str">
        <f t="shared" si="3"/>
        <v>Non-PDL</v>
      </c>
      <c r="G209" s="1" cm="1">
        <f t="array" ref="G209">FuzzyPercent(D209,E209,2)</f>
        <v>0</v>
      </c>
      <c r="H209" t="str" cm="1">
        <f t="array" ref="H209">IF(F209="Non-PDL","",IF(FuzzyPercent(D209,E209,2)&lt;0.4,"CHECK",""))</f>
        <v/>
      </c>
    </row>
    <row r="210" spans="1:8" x14ac:dyDescent="0.2">
      <c r="A210" t="s">
        <v>416</v>
      </c>
      <c r="B210" t="s">
        <v>0</v>
      </c>
      <c r="D210" t="s">
        <v>2326</v>
      </c>
      <c r="E210" t="str" cm="1">
        <f t="array" ref="E210">IF(COUNTIF(A:A, "*" &amp; LEFT(D210, FIND(" ", D210 &amp; " ") - 1) &amp; "*") &gt; 0,INDEX(A:A,FuzzyVLookup(D210,A:A,0,,,2)),"Non-PDL")</f>
        <v>EMGALITY PEN (galcanezumab-gnlm) DUR+</v>
      </c>
      <c r="F210" t="str">
        <f t="shared" si="3"/>
        <v>Preferred</v>
      </c>
      <c r="G210" s="1" cm="1">
        <f t="array" ref="G210">FuzzyPercent(D210,E210,2)</f>
        <v>0.2074074000120163</v>
      </c>
      <c r="H210" t="str" cm="1">
        <f t="array" ref="H210">IF(F210="Non-PDL","",IF(FuzzyPercent(D210,E210,2)&lt;0.4,"CHECK",""))</f>
        <v>CHECK</v>
      </c>
    </row>
    <row r="211" spans="1:8" x14ac:dyDescent="0.2">
      <c r="A211" t="s">
        <v>418</v>
      </c>
      <c r="B211" t="s">
        <v>0</v>
      </c>
      <c r="D211" t="s">
        <v>2327</v>
      </c>
      <c r="E211" t="str" cm="1">
        <f t="array" ref="E211">IF(COUNTIF(A:A, "*" &amp; LEFT(D211, FIND(" ", D211 &amp; " ") - 1) &amp; "*") &gt; 0,INDEX(A:A,FuzzyVLookup(D211,A:A,0,,,2)),"Non-PDL")</f>
        <v>EMGALITY PEN (galcanezumab-gnlm) DUR+</v>
      </c>
      <c r="F211" t="str">
        <f t="shared" si="3"/>
        <v>Preferred</v>
      </c>
      <c r="G211" s="1" cm="1">
        <f t="array" ref="G211">FuzzyPercent(D211,E211,2)</f>
        <v>0.2074074000120163</v>
      </c>
      <c r="H211" t="str" cm="1">
        <f t="array" ref="H211">IF(F211="Non-PDL","",IF(FuzzyPercent(D211,E211,2)&lt;0.4,"CHECK",""))</f>
        <v>CHECK</v>
      </c>
    </row>
    <row r="212" spans="1:8" x14ac:dyDescent="0.2">
      <c r="A212" t="s">
        <v>420</v>
      </c>
      <c r="B212" t="s">
        <v>0</v>
      </c>
      <c r="D212" t="s">
        <v>2328</v>
      </c>
      <c r="E212" t="str" cm="1">
        <f t="array" ref="E212">IF(COUNTIF(A:A, "*" &amp; LEFT(D212, FIND(" ", D212 &amp; " ") - 1) &amp; "*") &gt; 0,INDEX(A:A,FuzzyVLookup(D212,A:A,0,,,2)),"Non-PDL")</f>
        <v>Non-PDL</v>
      </c>
      <c r="F212" t="str">
        <f t="shared" si="3"/>
        <v>Non-PDL</v>
      </c>
      <c r="G212" s="1" cm="1">
        <f t="array" ref="G212">FuzzyPercent(D212,E212,2)</f>
        <v>0</v>
      </c>
      <c r="H212" t="str" cm="1">
        <f t="array" ref="H212">IF(F212="Non-PDL","",IF(FuzzyPercent(D212,E212,2)&lt;0.4,"CHECK",""))</f>
        <v/>
      </c>
    </row>
    <row r="213" spans="1:8" x14ac:dyDescent="0.2">
      <c r="A213" t="s">
        <v>422</v>
      </c>
      <c r="B213" t="s">
        <v>0</v>
      </c>
      <c r="D213" t="s">
        <v>2329</v>
      </c>
      <c r="E213" t="str" cm="1">
        <f t="array" ref="E213">IF(COUNTIF(A:A, "*" &amp; LEFT(D213, FIND(" ", D213 &amp; " ") - 1) &amp; "*") &gt; 0,INDEX(A:A,FuzzyVLookup(D213,A:A,0,,,2)),"Non-PDL")</f>
        <v>Non-PDL</v>
      </c>
      <c r="F213" t="str">
        <f t="shared" si="3"/>
        <v>Non-PDL</v>
      </c>
      <c r="G213" s="1" cm="1">
        <f t="array" ref="G213">FuzzyPercent(D213,E213,2)</f>
        <v>7.8740157186985016E-3</v>
      </c>
      <c r="H213" t="str" cm="1">
        <f t="array" ref="H213">IF(F213="Non-PDL","",IF(FuzzyPercent(D213,E213,2)&lt;0.4,"CHECK",""))</f>
        <v/>
      </c>
    </row>
    <row r="214" spans="1:8" x14ac:dyDescent="0.2">
      <c r="A214" t="s">
        <v>424</v>
      </c>
      <c r="B214" t="s">
        <v>0</v>
      </c>
      <c r="D214" t="s">
        <v>2330</v>
      </c>
      <c r="E214" t="str" cm="1">
        <f t="array" ref="E214">IF(COUNTIF(A:A, "*" &amp; LEFT(D214, FIND(" ", D214 &amp; " ") - 1) &amp; "*") &gt; 0,INDEX(A:A,FuzzyVLookup(D214,A:A,0,,,2)),"Non-PDL")</f>
        <v>zolpidem capsule</v>
      </c>
      <c r="F214" t="str">
        <f t="shared" si="3"/>
        <v>Non-Preferred</v>
      </c>
      <c r="G214" s="1" cm="1">
        <f t="array" ref="G214">FuzzyPercent(D214,E214,2)</f>
        <v>0.3125</v>
      </c>
      <c r="H214" t="str" cm="1">
        <f t="array" ref="H214">IF(F214="Non-PDL","",IF(FuzzyPercent(D214,E214,2)&lt;0.4,"CHECK",""))</f>
        <v>CHECK</v>
      </c>
    </row>
    <row r="215" spans="1:8" x14ac:dyDescent="0.2">
      <c r="A215" t="s">
        <v>426</v>
      </c>
      <c r="B215" t="s">
        <v>0</v>
      </c>
      <c r="D215" t="s">
        <v>2331</v>
      </c>
      <c r="E215" t="str" cm="1">
        <f t="array" ref="E215">IF(COUNTIF(A:A, "*" &amp; LEFT(D215, FIND(" ", D215 &amp; " ") - 1) &amp; "*") &gt; 0,INDEX(A:A,FuzzyVLookup(D215,A:A,0,,,2)),"Non-PDL")</f>
        <v>vancomycin oral solution</v>
      </c>
      <c r="F215" t="str">
        <f t="shared" si="3"/>
        <v>Preferred</v>
      </c>
      <c r="G215" s="1" cm="1">
        <f t="array" ref="G215">FuzzyPercent(D215,E215,2)</f>
        <v>0.41284403204917908</v>
      </c>
      <c r="H215" t="str" cm="1">
        <f t="array" ref="H215">IF(F215="Non-PDL","",IF(FuzzyPercent(D215,E215,2)&lt;0.4,"CHECK",""))</f>
        <v/>
      </c>
    </row>
    <row r="216" spans="1:8" x14ac:dyDescent="0.2">
      <c r="A216" t="s">
        <v>428</v>
      </c>
      <c r="B216" t="s">
        <v>0</v>
      </c>
      <c r="D216" t="s">
        <v>2332</v>
      </c>
      <c r="E216" t="str" cm="1">
        <f t="array" ref="E216">IF(COUNTIF(A:A, "*" &amp; LEFT(D216, FIND(" ", D216 &amp; " ") - 1) &amp; "*") &gt; 0,INDEX(A:A,FuzzyVLookup(D216,A:A,0,,,2)),"Non-PDL")</f>
        <v>enalapril</v>
      </c>
      <c r="F216" t="str">
        <f t="shared" si="3"/>
        <v>Preferred</v>
      </c>
      <c r="G216" s="1" cm="1">
        <f t="array" ref="G216">FuzzyPercent(D216,E216,2)</f>
        <v>1</v>
      </c>
      <c r="H216" t="str" cm="1">
        <f t="array" ref="H216">IF(F216="Non-PDL","",IF(FuzzyPercent(D216,E216,2)&lt;0.4,"CHECK",""))</f>
        <v/>
      </c>
    </row>
    <row r="217" spans="1:8" x14ac:dyDescent="0.2">
      <c r="A217" t="s">
        <v>430</v>
      </c>
      <c r="B217" t="s">
        <v>0</v>
      </c>
      <c r="D217" t="s">
        <v>2333</v>
      </c>
      <c r="E217" t="str" cm="1">
        <f t="array" ref="E217">IF(COUNTIF(A:A, "*" &amp; LEFT(D217, FIND(" ", D217 &amp; " ") - 1) &amp; "*") &gt; 0,INDEX(A:A,FuzzyVLookup(D217,A:A,0,,,2)),"Non-PDL")</f>
        <v>ENBREL (etanercept)</v>
      </c>
      <c r="F217" t="str">
        <f t="shared" si="3"/>
        <v>Preferred</v>
      </c>
      <c r="G217" s="1" cm="1">
        <f t="array" ref="G217">FuzzyPercent(D217,E217,2)</f>
        <v>0.32653060555458069</v>
      </c>
      <c r="H217" t="str" cm="1">
        <f t="array" ref="H217">IF(F217="Non-PDL","",IF(FuzzyPercent(D217,E217,2)&lt;0.4,"CHECK",""))</f>
        <v>CHECK</v>
      </c>
    </row>
    <row r="218" spans="1:8" x14ac:dyDescent="0.2">
      <c r="A218" t="s">
        <v>432</v>
      </c>
      <c r="B218" t="s">
        <v>0</v>
      </c>
      <c r="D218" t="s">
        <v>2334</v>
      </c>
      <c r="E218" t="str" cm="1">
        <f t="array" ref="E218">IF(COUNTIF(A:A, "*" &amp; LEFT(D218, FIND(" ", D218 &amp; " ") - 1) &amp; "*") &gt; 0,INDEX(A:A,FuzzyVLookup(D218,A:A,0,,,2)),"Non-PDL")</f>
        <v>ENDARI (glutamine)</v>
      </c>
      <c r="F218" t="str">
        <f t="shared" si="3"/>
        <v>Non-Preferred</v>
      </c>
      <c r="G218" s="1" cm="1">
        <f t="array" ref="G218">FuzzyPercent(D218,E218,2)</f>
        <v>0.3333333432674408</v>
      </c>
      <c r="H218" t="str" cm="1">
        <f t="array" ref="H218">IF(F218="Non-PDL","",IF(FuzzyPercent(D218,E218,2)&lt;0.4,"CHECK",""))</f>
        <v>CHECK</v>
      </c>
    </row>
    <row r="219" spans="1:8" x14ac:dyDescent="0.2">
      <c r="A219" t="s">
        <v>434</v>
      </c>
      <c r="B219" t="s">
        <v>0</v>
      </c>
      <c r="D219" t="s">
        <v>2335</v>
      </c>
      <c r="E219" t="str" cm="1">
        <f t="array" ref="E219">IF(COUNTIF(A:A, "*" &amp; LEFT(D219, FIND(" ", D219 &amp; " ") - 1) &amp; "*") &gt; 0,INDEX(A:A,FuzzyVLookup(D219,A:A,0,,,2)),"Non-PDL")</f>
        <v>Non-PDL</v>
      </c>
      <c r="F219" t="str">
        <f t="shared" si="3"/>
        <v>Non-PDL</v>
      </c>
      <c r="G219" s="1" cm="1">
        <f t="array" ref="G219">FuzzyPercent(D219,E219,2)</f>
        <v>0</v>
      </c>
      <c r="H219" t="str" cm="1">
        <f t="array" ref="H219">IF(F219="Non-PDL","",IF(FuzzyPercent(D219,E219,2)&lt;0.4,"CHECK",""))</f>
        <v/>
      </c>
    </row>
    <row r="220" spans="1:8" x14ac:dyDescent="0.2">
      <c r="A220" t="s">
        <v>436</v>
      </c>
      <c r="B220" t="s">
        <v>0</v>
      </c>
      <c r="D220" t="s">
        <v>2336</v>
      </c>
      <c r="E220" t="str" cm="1">
        <f t="array" ref="E220">IF(COUNTIF(A:A, "*" &amp; LEFT(D220, FIND(" ", D220 &amp; " ") - 1) &amp; "*") &gt; 0,INDEX(A:A,FuzzyVLookup(D220,A:A,0,,,2)),"Non-PDL")</f>
        <v>Non-PDL</v>
      </c>
      <c r="F220" t="str">
        <f t="shared" si="3"/>
        <v>Non-PDL</v>
      </c>
      <c r="G220" s="1" cm="1">
        <f t="array" ref="G220">FuzzyPercent(D220,E220,2)</f>
        <v>0</v>
      </c>
      <c r="H220" t="str" cm="1">
        <f t="array" ref="H220">IF(F220="Non-PDL","",IF(FuzzyPercent(D220,E220,2)&lt;0.4,"CHECK",""))</f>
        <v/>
      </c>
    </row>
    <row r="221" spans="1:8" x14ac:dyDescent="0.2">
      <c r="A221" t="s">
        <v>438</v>
      </c>
      <c r="B221" t="s">
        <v>0</v>
      </c>
      <c r="D221" t="s">
        <v>2337</v>
      </c>
      <c r="E221" t="str" cm="1">
        <f t="array" ref="E221">IF(COUNTIF(A:A, "*" &amp; LEFT(D221, FIND(" ", D221 &amp; " ") - 1) &amp; "*") &gt; 0,INDEX(A:A,FuzzyVLookup(D221,A:A,0,,,2)),"Non-PDL")</f>
        <v>BARACLUDE (entecavir)</v>
      </c>
      <c r="F221" t="str">
        <f t="shared" si="3"/>
        <v>Non-Preferred</v>
      </c>
      <c r="G221" s="1" cm="1">
        <f t="array" ref="G221">FuzzyPercent(D221,E221,2)</f>
        <v>0.380952388048172</v>
      </c>
      <c r="H221" t="str" cm="1">
        <f t="array" ref="H221">IF(F221="Non-PDL","",IF(FuzzyPercent(D221,E221,2)&lt;0.4,"CHECK",""))</f>
        <v>CHECK</v>
      </c>
    </row>
    <row r="222" spans="1:8" x14ac:dyDescent="0.2">
      <c r="A222" t="s">
        <v>440</v>
      </c>
      <c r="B222" t="s">
        <v>0</v>
      </c>
      <c r="D222" t="s">
        <v>2338</v>
      </c>
      <c r="E222" t="str" cm="1">
        <f t="array" ref="E222">IF(COUNTIF(A:A, "*" &amp; LEFT(D222, FIND(" ", D222 &amp; " ") - 1) &amp; "*") &gt; 0,INDEX(A:A,FuzzyVLookup(D222,A:A,0,,,2)),"Non-PDL")</f>
        <v>ENTYVIO (vedolizumab)</v>
      </c>
      <c r="F222" t="str">
        <f t="shared" si="3"/>
        <v>Non-Preferred</v>
      </c>
      <c r="G222" s="1" cm="1">
        <f t="array" ref="G222">FuzzyPercent(D222,E222,2)</f>
        <v>0.31034481525421143</v>
      </c>
      <c r="H222" t="str" cm="1">
        <f t="array" ref="H222">IF(F222="Non-PDL","",IF(FuzzyPercent(D222,E222,2)&lt;0.4,"CHECK",""))</f>
        <v>CHECK</v>
      </c>
    </row>
    <row r="223" spans="1:8" x14ac:dyDescent="0.2">
      <c r="A223" t="s">
        <v>442</v>
      </c>
      <c r="B223" t="s">
        <v>0</v>
      </c>
      <c r="D223" t="s">
        <v>2339</v>
      </c>
      <c r="E223" t="str" cm="1">
        <f t="array" ref="E223">IF(COUNTIF(A:A, "*" &amp; LEFT(D223, FIND(" ", D223 &amp; " ") - 1) &amp; "*") &gt; 0,INDEX(A:A,FuzzyVLookup(D223,A:A,0,,,2)),"Non-PDL")</f>
        <v>ENVARSUS XR (tacrolimus)</v>
      </c>
      <c r="F223" t="str">
        <f t="shared" si="3"/>
        <v>Non-Preferred</v>
      </c>
      <c r="G223" s="1" cm="1">
        <f t="array" ref="G223">FuzzyPercent(D223,E223,2)</f>
        <v>0.46153846383094788</v>
      </c>
      <c r="H223" t="str" cm="1">
        <f t="array" ref="H223">IF(F223="Non-PDL","",IF(FuzzyPercent(D223,E223,2)&lt;0.4,"CHECK",""))</f>
        <v/>
      </c>
    </row>
    <row r="224" spans="1:8" x14ac:dyDescent="0.2">
      <c r="A224" t="s">
        <v>444</v>
      </c>
      <c r="B224" t="s">
        <v>0</v>
      </c>
      <c r="D224" t="s">
        <v>2340</v>
      </c>
      <c r="E224" t="str" cm="1">
        <f t="array" ref="E224">IF(COUNTIF(A:A, "*" &amp; LEFT(D224, FIND(" ", D224 &amp; " ") - 1) &amp; "*") &gt; 0,INDEX(A:A,FuzzyVLookup(D224,A:A,0,,,2)),"Non-PDL")</f>
        <v>NIVA-PLUS</v>
      </c>
      <c r="F224" t="str">
        <f t="shared" si="3"/>
        <v>Preferred</v>
      </c>
      <c r="G224" s="1" cm="1">
        <f t="array" ref="G224">FuzzyPercent(D224,E224,2)</f>
        <v>0.17391304671764374</v>
      </c>
      <c r="H224" t="str" cm="1">
        <f t="array" ref="H224">IF(F224="Non-PDL","",IF(FuzzyPercent(D224,E224,2)&lt;0.4,"CHECK",""))</f>
        <v>CHECK</v>
      </c>
    </row>
    <row r="225" spans="1:8" x14ac:dyDescent="0.2">
      <c r="A225" t="s">
        <v>446</v>
      </c>
      <c r="B225" t="s">
        <v>0</v>
      </c>
      <c r="D225" t="s">
        <v>2341</v>
      </c>
      <c r="E225" t="str" cm="1">
        <f t="array" ref="E225">IF(COUNTIF(A:A, "*" &amp; LEFT(D225, FIND(" ", D225 &amp; " ") - 1) &amp; "*") &gt; 0,INDEX(A:A,FuzzyVLookup(D225,A:A,0,,,2)),"Non-PDL")</f>
        <v>EPIDIOLEX (cannabidiol)</v>
      </c>
      <c r="F225" t="str">
        <f t="shared" si="3"/>
        <v>Preferred</v>
      </c>
      <c r="G225" s="1" cm="1">
        <f t="array" ref="G225">FuzzyPercent(D225,E225,2)</f>
        <v>0.41791045665740967</v>
      </c>
      <c r="H225" t="str" cm="1">
        <f t="array" ref="H225">IF(F225="Non-PDL","",IF(FuzzyPercent(D225,E225,2)&lt;0.4,"CHECK",""))</f>
        <v/>
      </c>
    </row>
    <row r="226" spans="1:8" x14ac:dyDescent="0.2">
      <c r="A226" t="s">
        <v>448</v>
      </c>
      <c r="B226" t="s">
        <v>0</v>
      </c>
      <c r="D226" t="s">
        <v>2342</v>
      </c>
      <c r="E226" t="str" cm="1">
        <f t="array" ref="E226">IF(COUNTIF(A:A, "*" &amp; LEFT(D226, FIND(" ", D226 &amp; " ") - 1) &amp; "*") &gt; 0,INDEX(A:A,FuzzyVLookup(D226,A:A,0,,,2)),"Non-PDL")</f>
        <v>epinephrine (all other manufacturers)</v>
      </c>
      <c r="F226" t="str">
        <f t="shared" si="3"/>
        <v>Non-Preferred</v>
      </c>
      <c r="G226" s="1" cm="1">
        <f t="array" ref="G226">FuzzyPercent(D226,E226,2)</f>
        <v>0.22033898532390594</v>
      </c>
      <c r="H226" t="str" cm="1">
        <f t="array" ref="H226">IF(F226="Non-PDL","",IF(FuzzyPercent(D226,E226,2)&lt;0.4,"CHECK",""))</f>
        <v>CHECK</v>
      </c>
    </row>
    <row r="227" spans="1:8" x14ac:dyDescent="0.2">
      <c r="A227" t="s">
        <v>450</v>
      </c>
      <c r="B227" t="s">
        <v>0</v>
      </c>
      <c r="D227" t="s">
        <v>2343</v>
      </c>
      <c r="E227" t="str" cm="1">
        <f t="array" ref="E227">IF(COUNTIF(A:A, "*" &amp; LEFT(D227, FIND(" ", D227 &amp; " ") - 1) &amp; "*") &gt; 0,INDEX(A:A,FuzzyVLookup(D227,A:A,0,,,2)),"Non-PDL")</f>
        <v>epinephrine (all other manufacturers)</v>
      </c>
      <c r="F227" t="str">
        <f t="shared" si="3"/>
        <v>Non-Preferred</v>
      </c>
      <c r="G227" s="1" cm="1">
        <f t="array" ref="G227">FuzzyPercent(D227,E227,2)</f>
        <v>0.23423422873020172</v>
      </c>
      <c r="H227" t="str" cm="1">
        <f t="array" ref="H227">IF(F227="Non-PDL","",IF(FuzzyPercent(D227,E227,2)&lt;0.4,"CHECK",""))</f>
        <v>CHECK</v>
      </c>
    </row>
    <row r="228" spans="1:8" x14ac:dyDescent="0.2">
      <c r="A228" t="s">
        <v>452</v>
      </c>
      <c r="B228" t="s">
        <v>0</v>
      </c>
      <c r="D228" t="s">
        <v>2344</v>
      </c>
      <c r="E228" t="str" cm="1">
        <f t="array" ref="E228">IF(COUNTIF(A:A, "*" &amp; LEFT(D228, FIND(" ", D228 &amp; " ") - 1) &amp; "*") &gt; 0,INDEX(A:A,FuzzyVLookup(D228,A:A,0,,,2)),"Non-PDL")</f>
        <v>epinephrine (Mylan)</v>
      </c>
      <c r="F228" t="str">
        <f t="shared" si="3"/>
        <v>Preferred</v>
      </c>
      <c r="G228" s="1" cm="1">
        <f t="array" ref="G228">FuzzyPercent(D228,E228,2)</f>
        <v>0.18518517911434174</v>
      </c>
      <c r="H228" t="str" cm="1">
        <f t="array" ref="H228">IF(F228="Non-PDL","",IF(FuzzyPercent(D228,E228,2)&lt;0.4,"CHECK",""))</f>
        <v>CHECK</v>
      </c>
    </row>
    <row r="229" spans="1:8" x14ac:dyDescent="0.2">
      <c r="A229" t="s">
        <v>454</v>
      </c>
      <c r="B229" t="s">
        <v>0</v>
      </c>
      <c r="D229" t="s">
        <v>2345</v>
      </c>
      <c r="E229" t="str" cm="1">
        <f t="array" ref="E229">IF(COUNTIF(A:A, "*" &amp; LEFT(D229, FIND(" ", D229 &amp; " ") - 1) &amp; "*") &gt; 0,INDEX(A:A,FuzzyVLookup(D229,A:A,0,,,2)),"Non-PDL")</f>
        <v>epinephrine (Mylan)</v>
      </c>
      <c r="F229" t="str">
        <f t="shared" si="3"/>
        <v>Preferred</v>
      </c>
      <c r="G229" s="1" cm="1">
        <f t="array" ref="G229">FuzzyPercent(D229,E229,2)</f>
        <v>0.19900497794151306</v>
      </c>
      <c r="H229" t="str" cm="1">
        <f t="array" ref="H229">IF(F229="Non-PDL","",IF(FuzzyPercent(D229,E229,2)&lt;0.4,"CHECK",""))</f>
        <v>CHECK</v>
      </c>
    </row>
    <row r="230" spans="1:8" x14ac:dyDescent="0.2">
      <c r="A230" t="s">
        <v>456</v>
      </c>
      <c r="B230" t="s">
        <v>0</v>
      </c>
      <c r="D230" t="s">
        <v>2346</v>
      </c>
      <c r="E230" t="str" cm="1">
        <f t="array" ref="E230">IF(COUNTIF(A:A, "*" &amp; LEFT(D230, FIND(" ", D230 &amp; " ") - 1) &amp; "*") &gt; 0,INDEX(A:A,FuzzyVLookup(D230,A:A,0,,,2)),"Non-PDL")</f>
        <v>EPIPEN (epinephrine)</v>
      </c>
      <c r="F230" t="str">
        <f t="shared" si="3"/>
        <v>Non-Preferred</v>
      </c>
      <c r="G230" s="1" cm="1">
        <f t="array" ref="G230">FuzzyPercent(D230,E230,2)</f>
        <v>0.29629629850387573</v>
      </c>
      <c r="H230" t="str" cm="1">
        <f t="array" ref="H230">IF(F230="Non-PDL","",IF(FuzzyPercent(D230,E230,2)&lt;0.4,"CHECK",""))</f>
        <v>CHECK</v>
      </c>
    </row>
    <row r="231" spans="1:8" x14ac:dyDescent="0.2">
      <c r="A231" t="s">
        <v>458</v>
      </c>
      <c r="B231" t="s">
        <v>0</v>
      </c>
      <c r="D231" t="s">
        <v>2347</v>
      </c>
      <c r="E231" t="str" cm="1">
        <f t="array" ref="E231">IF(COUNTIF(A:A, "*" &amp; LEFT(D231, FIND(" ", D231 &amp; " ") - 1) &amp; "*") &gt; 0,INDEX(A:A,FuzzyVLookup(D231,A:A,0,,,2)),"Non-PDL")</f>
        <v>EPIPEN JR (epinephrine)</v>
      </c>
      <c r="F231" t="str">
        <f t="shared" si="3"/>
        <v>Non-Preferred</v>
      </c>
      <c r="G231" s="1" cm="1">
        <f t="array" ref="G231">FuzzyPercent(D231,E231,2)</f>
        <v>0.40000000596046448</v>
      </c>
      <c r="H231" t="str" cm="1">
        <f t="array" ref="H231">IF(F231="Non-PDL","",IF(FuzzyPercent(D231,E231,2)&lt;0.4,"CHECK",""))</f>
        <v/>
      </c>
    </row>
    <row r="232" spans="1:8" x14ac:dyDescent="0.2">
      <c r="A232" t="s">
        <v>460</v>
      </c>
      <c r="B232" t="s">
        <v>0</v>
      </c>
      <c r="D232" t="s">
        <v>2348</v>
      </c>
      <c r="E232" t="str" cm="1">
        <f t="array" ref="E232">IF(COUNTIF(A:A, "*" &amp; LEFT(D232, FIND(" ", D232 &amp; " ") - 1) &amp; "*") &gt; 0,INDEX(A:A,FuzzyVLookup(D232,A:A,0,,,2)),"Non-PDL")</f>
        <v>vancomycin oral solution</v>
      </c>
      <c r="F232" t="str">
        <f t="shared" si="3"/>
        <v>Preferred</v>
      </c>
      <c r="G232" s="1" cm="1">
        <f t="array" ref="G232">FuzzyPercent(D232,E232,2)</f>
        <v>0.38333332538604736</v>
      </c>
      <c r="H232" t="str" cm="1">
        <f t="array" ref="H232">IF(F232="Non-PDL","",IF(FuzzyPercent(D232,E232,2)&lt;0.4,"CHECK",""))</f>
        <v>CHECK</v>
      </c>
    </row>
    <row r="233" spans="1:8" x14ac:dyDescent="0.2">
      <c r="A233" t="s">
        <v>462</v>
      </c>
      <c r="B233" t="s">
        <v>0</v>
      </c>
      <c r="D233" t="s">
        <v>2349</v>
      </c>
      <c r="E233" t="str" cm="1">
        <f t="array" ref="E233">IF(COUNTIF(A:A, "*" &amp; LEFT(D233, FIND(" ", D233 &amp; " ") - 1) &amp; "*") &gt; 0,INDEX(A:A,FuzzyVLookup(D233,A:A,0,,,2)),"Non-PDL")</f>
        <v>EPIVIR (lamivudine)</v>
      </c>
      <c r="F233" t="str">
        <f t="shared" si="3"/>
        <v>Non-Preferred</v>
      </c>
      <c r="G233" s="1" cm="1">
        <f t="array" ref="G233">FuzzyPercent(D233,E233,2)</f>
        <v>0.23684211075305939</v>
      </c>
      <c r="H233" t="str" cm="1">
        <f t="array" ref="H233">IF(F233="Non-PDL","",IF(FuzzyPercent(D233,E233,2)&lt;0.4,"CHECK",""))</f>
        <v>CHECK</v>
      </c>
    </row>
    <row r="234" spans="1:8" x14ac:dyDescent="0.2">
      <c r="A234" t="s">
        <v>464</v>
      </c>
      <c r="B234" t="s">
        <v>0</v>
      </c>
      <c r="D234" t="s">
        <v>2350</v>
      </c>
      <c r="E234" t="str" cm="1">
        <f t="array" ref="E234">IF(COUNTIF(A:A, "*" &amp; LEFT(D234, FIND(" ", D234 &amp; " ") - 1) &amp; "*") &gt; 0,INDEX(A:A,FuzzyVLookup(D234,A:A,0,,,2)),"Non-PDL")</f>
        <v>Non-PDL</v>
      </c>
      <c r="F234" t="str">
        <f t="shared" si="3"/>
        <v>Non-PDL</v>
      </c>
      <c r="G234" s="1" cm="1">
        <f t="array" ref="G234">FuzzyPercent(D234,E234,2)</f>
        <v>0</v>
      </c>
      <c r="H234" t="str" cm="1">
        <f t="array" ref="H234">IF(F234="Non-PDL","",IF(FuzzyPercent(D234,E234,2)&lt;0.4,"CHECK",""))</f>
        <v/>
      </c>
    </row>
    <row r="235" spans="1:8" x14ac:dyDescent="0.2">
      <c r="A235" t="s">
        <v>466</v>
      </c>
      <c r="B235" t="s">
        <v>0</v>
      </c>
      <c r="D235" t="s">
        <v>2351</v>
      </c>
      <c r="E235" t="str" cm="1">
        <f t="array" ref="E235">IF(COUNTIF(A:A, "*" &amp; LEFT(D235, FIND(" ", D235 &amp; " ") - 1) &amp; "*") &gt; 0,INDEX(A:A,FuzzyVLookup(D235,A:A,0,,,2)),"Non-PDL")</f>
        <v>EPRONTIA (topiramate)</v>
      </c>
      <c r="F235" t="str">
        <f t="shared" si="3"/>
        <v>Non-Preferred</v>
      </c>
      <c r="G235" s="1" cm="1">
        <f t="array" ref="G235">FuzzyPercent(D235,E235,2)</f>
        <v>0.39344263076782227</v>
      </c>
      <c r="H235" t="str" cm="1">
        <f t="array" ref="H235">IF(F235="Non-PDL","",IF(FuzzyPercent(D235,E235,2)&lt;0.4,"CHECK",""))</f>
        <v>CHECK</v>
      </c>
    </row>
    <row r="236" spans="1:8" x14ac:dyDescent="0.2">
      <c r="A236" t="s">
        <v>468</v>
      </c>
      <c r="B236" t="s">
        <v>0</v>
      </c>
      <c r="D236" t="s">
        <v>2352</v>
      </c>
      <c r="E236" t="str" cm="1">
        <f t="array" ref="E236">IF(COUNTIF(A:A, "*" &amp; LEFT(D236, FIND(" ", D236 &amp; " ") - 1) &amp; "*") &gt; 0,INDEX(A:A,FuzzyVLookup(D236,A:A,0,,,2)),"Non-PDL")</f>
        <v>eprosartan</v>
      </c>
      <c r="F236" t="str">
        <f t="shared" si="3"/>
        <v>Non-Preferred</v>
      </c>
      <c r="G236" s="1" cm="1">
        <f t="array" ref="G236">FuzzyPercent(D236,E236,2)</f>
        <v>1</v>
      </c>
      <c r="H236" t="str" cm="1">
        <f t="array" ref="H236">IF(F236="Non-PDL","",IF(FuzzyPercent(D236,E236,2)&lt;0.4,"CHECK",""))</f>
        <v/>
      </c>
    </row>
    <row r="237" spans="1:8" x14ac:dyDescent="0.2">
      <c r="A237" t="s">
        <v>470</v>
      </c>
      <c r="B237" t="s">
        <v>0</v>
      </c>
      <c r="D237" t="s">
        <v>2353</v>
      </c>
      <c r="E237" t="str" cm="1">
        <f t="array" ref="E237">IF(COUNTIF(A:A, "*" &amp; LEFT(D237, FIND(" ", D237 &amp; " ") - 1) &amp; "*") &gt; 0,INDEX(A:A,FuzzyVLookup(D237,A:A,0,,,2)),"Non-PDL")</f>
        <v>EPZICOM (abacavir/lamivudine)</v>
      </c>
      <c r="F237" t="str">
        <f t="shared" si="3"/>
        <v>Non-Preferred</v>
      </c>
      <c r="G237" s="1" cm="1">
        <f t="array" ref="G237">FuzzyPercent(D237,E237,2)</f>
        <v>0.21686747670173645</v>
      </c>
      <c r="H237" t="str" cm="1">
        <f t="array" ref="H237">IF(F237="Non-PDL","",IF(FuzzyPercent(D237,E237,2)&lt;0.4,"CHECK",""))</f>
        <v>CHECK</v>
      </c>
    </row>
    <row r="238" spans="1:8" x14ac:dyDescent="0.2">
      <c r="A238" t="s">
        <v>472</v>
      </c>
      <c r="B238" t="s">
        <v>0</v>
      </c>
      <c r="D238" t="s">
        <v>2354</v>
      </c>
      <c r="E238" t="str" cm="1">
        <f t="array" ref="E238">IF(COUNTIF(A:A, "*" &amp; LEFT(D238, FIND(" ", D238 &amp; " ") - 1) &amp; "*") &gt; 0,INDEX(A:A,FuzzyVLookup(D238,A:A,0,,,2)),"Non-PDL")</f>
        <v>EQUETRO (carbamazepine)</v>
      </c>
      <c r="F238" t="str">
        <f t="shared" si="3"/>
        <v>Non-Preferred</v>
      </c>
      <c r="G238" s="1" cm="1">
        <f t="array" ref="G238">FuzzyPercent(D238,E238,2)</f>
        <v>0.29032257199287415</v>
      </c>
      <c r="H238" t="str" cm="1">
        <f t="array" ref="H238">IF(F238="Non-PDL","",IF(FuzzyPercent(D238,E238,2)&lt;0.4,"CHECK",""))</f>
        <v>CHECK</v>
      </c>
    </row>
    <row r="239" spans="1:8" x14ac:dyDescent="0.2">
      <c r="A239" t="s">
        <v>474</v>
      </c>
      <c r="B239" t="s">
        <v>0</v>
      </c>
      <c r="D239" t="s">
        <v>2355</v>
      </c>
      <c r="E239" t="str" cm="1">
        <f t="array" ref="E239">IF(COUNTIF(A:A, "*" &amp; LEFT(D239, FIND(" ", D239 &amp; " ") - 1) &amp; "*") &gt; 0,INDEX(A:A,FuzzyVLookup(D239,A:A,0,,,2)),"Non-PDL")</f>
        <v>ESBRIET (pirfenidone)</v>
      </c>
      <c r="F239" t="str">
        <f t="shared" si="3"/>
        <v>Preferred</v>
      </c>
      <c r="G239" s="1" cm="1">
        <f t="array" ref="G239">FuzzyPercent(D239,E239,2)</f>
        <v>0.31034481525421143</v>
      </c>
      <c r="H239" t="str" cm="1">
        <f t="array" ref="H239">IF(F239="Non-PDL","",IF(FuzzyPercent(D239,E239,2)&lt;0.4,"CHECK",""))</f>
        <v>CHECK</v>
      </c>
    </row>
    <row r="240" spans="1:8" x14ac:dyDescent="0.2">
      <c r="A240" t="s">
        <v>476</v>
      </c>
      <c r="B240" t="s">
        <v>0</v>
      </c>
      <c r="D240" t="s">
        <v>2356</v>
      </c>
      <c r="E240" t="str" cm="1">
        <f t="array" ref="E240">IF(COUNTIF(A:A, "*" &amp; LEFT(D240, FIND(" ", D240 &amp; " ") - 1) &amp; "*") &gt; 0,INDEX(A:A,FuzzyVLookup(D240,A:A,0,,,2)),"Non-PDL")</f>
        <v>esomeprazole packet</v>
      </c>
      <c r="F240" t="str">
        <f t="shared" si="3"/>
        <v>Non-Preferred</v>
      </c>
      <c r="G240" s="1" cm="1">
        <f t="array" ref="G240">FuzzyPercent(D240,E240,2)</f>
        <v>0.71875</v>
      </c>
      <c r="H240" t="str" cm="1">
        <f t="array" ref="H240">IF(F240="Non-PDL","",IF(FuzzyPercent(D240,E240,2)&lt;0.4,"CHECK",""))</f>
        <v/>
      </c>
    </row>
    <row r="241" spans="1:8" x14ac:dyDescent="0.2">
      <c r="A241" t="s">
        <v>478</v>
      </c>
      <c r="B241" t="s">
        <v>0</v>
      </c>
      <c r="D241" t="s">
        <v>2357</v>
      </c>
      <c r="E241" t="str" cm="1">
        <f t="array" ref="E241">IF(COUNTIF(A:A, "*" &amp; LEFT(D241, FIND(" ", D241 &amp; " ") - 1) &amp; "*") &gt; 0,INDEX(A:A,FuzzyVLookup(D241,A:A,0,,,2)),"Non-PDL")</f>
        <v>ESPEROCT</v>
      </c>
      <c r="F241" t="str">
        <f t="shared" si="3"/>
        <v>Non-Preferred</v>
      </c>
      <c r="G241" s="1" cm="1">
        <f t="array" ref="G241">FuzzyPercent(D241,E241,2)</f>
        <v>1</v>
      </c>
      <c r="H241" t="str" cm="1">
        <f t="array" ref="H241">IF(F241="Non-PDL","",IF(FuzzyPercent(D241,E241,2)&lt;0.4,"CHECK",""))</f>
        <v/>
      </c>
    </row>
    <row r="242" spans="1:8" x14ac:dyDescent="0.2">
      <c r="A242" t="s">
        <v>480</v>
      </c>
      <c r="B242" t="s">
        <v>0</v>
      </c>
      <c r="D242" t="s">
        <v>2358</v>
      </c>
      <c r="E242" t="str" cm="1">
        <f t="array" ref="E242">IF(COUNTIF(A:A, "*" &amp; LEFT(D242, FIND(" ", D242 &amp; " ") - 1) &amp; "*") &gt; 0,INDEX(A:A,FuzzyVLookup(D242,A:A,0,,,2)),"Non-PDL")</f>
        <v>ENILLORING (etonogestrel/ethinyl estradiol)</v>
      </c>
      <c r="F242" t="str">
        <f t="shared" si="3"/>
        <v>Preferred</v>
      </c>
      <c r="G242" s="1" cm="1">
        <f t="array" ref="G242">FuzzyPercent(D242,E242,2)</f>
        <v>0.46261683106422424</v>
      </c>
      <c r="H242" t="str" cm="1">
        <f t="array" ref="H242">IF(F242="Non-PDL","",IF(FuzzyPercent(D242,E242,2)&lt;0.4,"CHECK",""))</f>
        <v/>
      </c>
    </row>
    <row r="243" spans="1:8" x14ac:dyDescent="0.2">
      <c r="A243" t="s">
        <v>482</v>
      </c>
      <c r="B243" t="s">
        <v>0</v>
      </c>
      <c r="D243" t="s">
        <v>2359</v>
      </c>
      <c r="E243" t="str" cm="1">
        <f t="array" ref="E243">IF(COUNTIF(A:A, "*" &amp; LEFT(D243, FIND(" ", D243 &amp; " ") - 1) &amp; "*") &gt; 0,INDEX(A:A,FuzzyVLookup(D243,A:A,0,,,2)),"Non-PDL")</f>
        <v>EUCRISA (crisaborole) DUR+</v>
      </c>
      <c r="F243" t="str">
        <f t="shared" si="3"/>
        <v>Preferred</v>
      </c>
      <c r="G243" s="1" cm="1">
        <f t="array" ref="G243">FuzzyPercent(D243,E243,2)</f>
        <v>0.24324324727058411</v>
      </c>
      <c r="H243" t="str" cm="1">
        <f t="array" ref="H243">IF(F243="Non-PDL","",IF(FuzzyPercent(D243,E243,2)&lt;0.4,"CHECK",""))</f>
        <v>CHECK</v>
      </c>
    </row>
    <row r="244" spans="1:8" x14ac:dyDescent="0.2">
      <c r="A244" t="s">
        <v>484</v>
      </c>
      <c r="B244" t="s">
        <v>0</v>
      </c>
      <c r="D244" t="s">
        <v>2360</v>
      </c>
      <c r="E244" t="str" cm="1">
        <f t="array" ref="E244">IF(COUNTIF(A:A, "*" &amp; LEFT(D244, FIND(" ", D244 &amp; " ") - 1) &amp; "*") &gt; 0,INDEX(A:A,FuzzyVLookup(D244,A:A,0,,,2)),"Non-PDL")</f>
        <v>EVKEEZA (evinacumab-dgnb)</v>
      </c>
      <c r="F244" t="str">
        <f t="shared" si="3"/>
        <v>Preferred</v>
      </c>
      <c r="G244" s="1" cm="1">
        <f t="array" ref="G244">FuzzyPercent(D244,E244,2)</f>
        <v>0.25352111458778381</v>
      </c>
      <c r="H244" t="str" cm="1">
        <f t="array" ref="H244">IF(F244="Non-PDL","",IF(FuzzyPercent(D244,E244,2)&lt;0.4,"CHECK",""))</f>
        <v>CHECK</v>
      </c>
    </row>
    <row r="245" spans="1:8" x14ac:dyDescent="0.2">
      <c r="A245" t="s">
        <v>486</v>
      </c>
      <c r="B245" t="s">
        <v>0</v>
      </c>
      <c r="D245" t="s">
        <v>2361</v>
      </c>
      <c r="E245" t="str" cm="1">
        <f t="array" ref="E245">IF(COUNTIF(A:A, "*" &amp; LEFT(D245, FIND(" ", D245 &amp; " ") - 1) &amp; "*") &gt; 0,INDEX(A:A,FuzzyVLookup(D245,A:A,0,,,2)),"Non-PDL")</f>
        <v>EVRYSDI (risdiplam)</v>
      </c>
      <c r="F245" t="str">
        <f t="shared" si="3"/>
        <v>Non-Preferred</v>
      </c>
      <c r="G245" s="1" cm="1">
        <f t="array" ref="G245">FuzzyPercent(D245,E245,2)</f>
        <v>0.36000001430511475</v>
      </c>
      <c r="H245" t="str" cm="1">
        <f t="array" ref="H245">IF(F245="Non-PDL","",IF(FuzzyPercent(D245,E245,2)&lt;0.4,"CHECK",""))</f>
        <v>CHECK</v>
      </c>
    </row>
    <row r="246" spans="1:8" x14ac:dyDescent="0.2">
      <c r="A246" t="s">
        <v>488</v>
      </c>
      <c r="B246" t="s">
        <v>0</v>
      </c>
      <c r="D246" t="s">
        <v>2362</v>
      </c>
      <c r="E246" t="str" cm="1">
        <f t="array" ref="E246">IF(COUNTIF(A:A, "*" &amp; LEFT(D246, FIND(" ", D246 &amp; " ") - 1) &amp; "*") &gt; 0,INDEX(A:A,FuzzyVLookup(D246,A:A,0,,,2)),"Non-PDL")</f>
        <v>EXELON (rivastigmine)</v>
      </c>
      <c r="F246" t="str">
        <f t="shared" si="3"/>
        <v>Non-Preferred</v>
      </c>
      <c r="G246" s="1" cm="1">
        <f t="array" ref="G246">FuzzyPercent(D246,E246,2)</f>
        <v>0.28070175647735596</v>
      </c>
      <c r="H246" t="str" cm="1">
        <f t="array" ref="H246">IF(F246="Non-PDL","",IF(FuzzyPercent(D246,E246,2)&lt;0.4,"CHECK",""))</f>
        <v>CHECK</v>
      </c>
    </row>
    <row r="247" spans="1:8" x14ac:dyDescent="0.2">
      <c r="A247" t="s">
        <v>490</v>
      </c>
      <c r="B247" t="s">
        <v>0</v>
      </c>
      <c r="D247" t="s">
        <v>2363</v>
      </c>
      <c r="E247" t="str" cm="1">
        <f t="array" ref="E247">IF(COUNTIF(A:A, "*" &amp; LEFT(D247, FIND(" ", D247 &amp; " ") - 1) &amp; "*") &gt; 0,INDEX(A:A,FuzzyVLookup(D247,A:A,0,,,2)),"Non-PDL")</f>
        <v>Non-PDL</v>
      </c>
      <c r="F247" t="str">
        <f t="shared" si="3"/>
        <v>Non-PDL</v>
      </c>
      <c r="G247" s="1" cm="1">
        <f t="array" ref="G247">FuzzyPercent(D247,E247,2)</f>
        <v>0</v>
      </c>
      <c r="H247" t="str" cm="1">
        <f t="array" ref="H247">IF(F247="Non-PDL","",IF(FuzzyPercent(D247,E247,2)&lt;0.4,"CHECK",""))</f>
        <v/>
      </c>
    </row>
    <row r="248" spans="1:8" x14ac:dyDescent="0.2">
      <c r="A248" t="s">
        <v>492</v>
      </c>
      <c r="B248" t="s">
        <v>0</v>
      </c>
      <c r="D248" t="s">
        <v>2364</v>
      </c>
      <c r="E248" t="str" cm="1">
        <f t="array" ref="E248">IF(COUNTIF(A:A, "*" &amp; LEFT(D248, FIND(" ", D248 &amp; " ") - 1) &amp; "*") &gt; 0,INDEX(A:A,FuzzyVLookup(D248,A:A,0,,,2)),"Non-PDL")</f>
        <v>EXONDYS-51 (eteplirsen)</v>
      </c>
      <c r="F248" t="str">
        <f t="shared" si="3"/>
        <v>Non-Preferred</v>
      </c>
      <c r="G248" s="1" cm="1">
        <f t="array" ref="G248">FuzzyPercent(D248,E248,2)</f>
        <v>0.28571429848670959</v>
      </c>
      <c r="H248" t="str" cm="1">
        <f t="array" ref="H248">IF(F248="Non-PDL","",IF(FuzzyPercent(D248,E248,2)&lt;0.4,"CHECK",""))</f>
        <v>CHECK</v>
      </c>
    </row>
    <row r="249" spans="1:8" x14ac:dyDescent="0.2">
      <c r="A249" t="s">
        <v>494</v>
      </c>
      <c r="B249" t="s">
        <v>0</v>
      </c>
      <c r="D249" t="s">
        <v>2365</v>
      </c>
      <c r="E249" t="str" cm="1">
        <f t="array" ref="E249">IF(COUNTIF(A:A, "*" &amp; LEFT(D249, FIND(" ", D249 &amp; " ") - 1) &amp; "*") &gt; 0,INDEX(A:A,FuzzyVLookup(D249,A:A,0,,,2)),"Non-PDL")</f>
        <v>Non-PDL</v>
      </c>
      <c r="F249" t="str">
        <f t="shared" si="3"/>
        <v>Non-PDL</v>
      </c>
      <c r="G249" s="1" cm="1">
        <f t="array" ref="G249">FuzzyPercent(D249,E249,2)</f>
        <v>0</v>
      </c>
      <c r="H249" t="str" cm="1">
        <f t="array" ref="H249">IF(F249="Non-PDL","",IF(FuzzyPercent(D249,E249,2)&lt;0.4,"CHECK",""))</f>
        <v/>
      </c>
    </row>
    <row r="250" spans="1:8" x14ac:dyDescent="0.2">
      <c r="A250" t="s">
        <v>496</v>
      </c>
      <c r="B250" t="s">
        <v>0</v>
      </c>
      <c r="D250" t="s">
        <v>2366</v>
      </c>
      <c r="E250" t="str" cm="1">
        <f t="array" ref="E250">IF(COUNTIF(A:A, "*" &amp; LEFT(D250, FIND(" ", D250 &amp; " ") - 1) &amp; "*") &gt; 0,INDEX(A:A,FuzzyVLookup(D250,A:A,0,,,2)),"Non-PDL")</f>
        <v>Non-PDL</v>
      </c>
      <c r="F250" t="str">
        <f t="shared" si="3"/>
        <v>Non-PDL</v>
      </c>
      <c r="G250" s="1" cm="1">
        <f t="array" ref="G250">FuzzyPercent(D250,E250,2)</f>
        <v>1.2345679104328156E-2</v>
      </c>
      <c r="H250" t="str" cm="1">
        <f t="array" ref="H250">IF(F250="Non-PDL","",IF(FuzzyPercent(D250,E250,2)&lt;0.4,"CHECK",""))</f>
        <v/>
      </c>
    </row>
    <row r="251" spans="1:8" x14ac:dyDescent="0.2">
      <c r="A251" t="s">
        <v>498</v>
      </c>
      <c r="B251" t="s">
        <v>0</v>
      </c>
      <c r="D251" t="s">
        <v>2367</v>
      </c>
      <c r="E251" t="str" cm="1">
        <f t="array" ref="E251">IF(COUNTIF(A:A, "*" &amp; LEFT(D251, FIND(" ", D251 &amp; " ") - 1) &amp; "*") &gt; 0,INDEX(A:A,FuzzyVLookup(D251,A:A,0,,,2)),"Non-PDL")</f>
        <v>Non-PDL</v>
      </c>
      <c r="F251" t="str">
        <f t="shared" si="3"/>
        <v>Non-PDL</v>
      </c>
      <c r="G251" s="1" cm="1">
        <f t="array" ref="G251">FuzzyPercent(D251,E251,2)</f>
        <v>0</v>
      </c>
      <c r="H251" t="str" cm="1">
        <f t="array" ref="H251">IF(F251="Non-PDL","",IF(FuzzyPercent(D251,E251,2)&lt;0.4,"CHECK",""))</f>
        <v/>
      </c>
    </row>
    <row r="252" spans="1:8" x14ac:dyDescent="0.2">
      <c r="A252" t="s">
        <v>500</v>
      </c>
      <c r="B252" t="s">
        <v>0</v>
      </c>
      <c r="D252" t="s">
        <v>2368</v>
      </c>
      <c r="E252" t="str" cm="1">
        <f t="array" ref="E252">IF(COUNTIF(A:A, "*" &amp; LEFT(D252, FIND(" ", D252 &amp; " ") - 1) &amp; "*") &gt; 0,INDEX(A:A,FuzzyVLookup(D252,A:A,0,,,2)),"Non-PDL")</f>
        <v>Non-PDL</v>
      </c>
      <c r="F252" t="str">
        <f t="shared" si="3"/>
        <v>Non-PDL</v>
      </c>
      <c r="G252" s="1" cm="1">
        <f t="array" ref="G252">FuzzyPercent(D252,E252,2)</f>
        <v>0</v>
      </c>
      <c r="H252" t="str" cm="1">
        <f t="array" ref="H252">IF(F252="Non-PDL","",IF(FuzzyPercent(D252,E252,2)&lt;0.4,"CHECK",""))</f>
        <v/>
      </c>
    </row>
    <row r="253" spans="1:8" x14ac:dyDescent="0.2">
      <c r="A253" t="s">
        <v>502</v>
      </c>
      <c r="B253" t="s">
        <v>0</v>
      </c>
      <c r="D253" t="s">
        <v>2369</v>
      </c>
      <c r="E253" t="str" cm="1">
        <f t="array" ref="E253">IF(COUNTIF(A:A, "*" &amp; LEFT(D253, FIND(" ", D253 &amp; " ") - 1) &amp; "*") &gt; 0,INDEX(A:A,FuzzyVLookup(D253,A:A,0,,,2)),"Non-PDL")</f>
        <v>FANAPT (iloperidone)</v>
      </c>
      <c r="F253" t="str">
        <f t="shared" si="3"/>
        <v>Non-Preferred</v>
      </c>
      <c r="G253" s="1" cm="1">
        <f t="array" ref="G253">FuzzyPercent(D253,E253,2)</f>
        <v>0.29629629850387573</v>
      </c>
      <c r="H253" t="str" cm="1">
        <f t="array" ref="H253">IF(F253="Non-PDL","",IF(FuzzyPercent(D253,E253,2)&lt;0.4,"CHECK",""))</f>
        <v>CHECK</v>
      </c>
    </row>
    <row r="254" spans="1:8" x14ac:dyDescent="0.2">
      <c r="A254" t="s">
        <v>504</v>
      </c>
      <c r="B254" t="s">
        <v>0</v>
      </c>
      <c r="D254" t="s">
        <v>2370</v>
      </c>
      <c r="E254" t="str" cm="1">
        <f t="array" ref="E254">IF(COUNTIF(A:A, "*" &amp; LEFT(D254, FIND(" ", D254 &amp; " ") - 1) &amp; "*") &gt; 0,INDEX(A:A,FuzzyVLookup(D254,A:A,0,,,2)),"Non-PDL")</f>
        <v>FARXIGA (dapagliflozin)</v>
      </c>
      <c r="F254" t="str">
        <f t="shared" si="3"/>
        <v>Preferred</v>
      </c>
      <c r="G254" s="1" cm="1">
        <f t="array" ref="G254">FuzzyPercent(D254,E254,2)</f>
        <v>0.29032257199287415</v>
      </c>
      <c r="H254" t="str" cm="1">
        <f t="array" ref="H254">IF(F254="Non-PDL","",IF(FuzzyPercent(D254,E254,2)&lt;0.4,"CHECK",""))</f>
        <v>CHECK</v>
      </c>
    </row>
    <row r="255" spans="1:8" x14ac:dyDescent="0.2">
      <c r="A255" t="s">
        <v>506</v>
      </c>
      <c r="B255" t="s">
        <v>0</v>
      </c>
      <c r="D255" t="s">
        <v>2371</v>
      </c>
      <c r="E255" t="str" cm="1">
        <f t="array" ref="E255">IF(COUNTIF(A:A, "*" &amp; LEFT(D255, FIND(" ", D255 &amp; " ") - 1) &amp; "*") &gt; 0,INDEX(A:A,FuzzyVLookup(D255,A:A,0,,,2)),"Non-PDL")</f>
        <v>FASENRA (benralizumab)</v>
      </c>
      <c r="F255" t="str">
        <f t="shared" si="3"/>
        <v>Preferred</v>
      </c>
      <c r="G255" s="1" cm="1">
        <f t="array" ref="G255">FuzzyPercent(D255,E255,2)</f>
        <v>0.23762376606464386</v>
      </c>
      <c r="H255" t="str" cm="1">
        <f t="array" ref="H255">IF(F255="Non-PDL","",IF(FuzzyPercent(D255,E255,2)&lt;0.4,"CHECK",""))</f>
        <v>CHECK</v>
      </c>
    </row>
    <row r="256" spans="1:8" x14ac:dyDescent="0.2">
      <c r="A256" t="s">
        <v>508</v>
      </c>
      <c r="B256" t="s">
        <v>0</v>
      </c>
      <c r="D256" t="s">
        <v>2372</v>
      </c>
      <c r="E256" t="str" cm="1">
        <f t="array" ref="E256">IF(COUNTIF(A:A, "*" &amp; LEFT(D256, FIND(" ", D256 &amp; " ") - 1) &amp; "*") &gt; 0,INDEX(A:A,FuzzyVLookup(D256,A:A,0,,,2)),"Non-PDL")</f>
        <v>FASENRA (benralizumab)</v>
      </c>
      <c r="F256" t="str">
        <f t="shared" si="3"/>
        <v>Preferred</v>
      </c>
      <c r="G256" s="1" cm="1">
        <f t="array" ref="G256">FuzzyPercent(D256,E256,2)</f>
        <v>0.19354838132858276</v>
      </c>
      <c r="H256" t="str" cm="1">
        <f t="array" ref="H256">IF(F256="Non-PDL","",IF(FuzzyPercent(D256,E256,2)&lt;0.4,"CHECK",""))</f>
        <v>CHECK</v>
      </c>
    </row>
    <row r="257" spans="1:8" x14ac:dyDescent="0.2">
      <c r="A257" t="s">
        <v>510</v>
      </c>
      <c r="B257" t="s">
        <v>0</v>
      </c>
      <c r="D257" t="s">
        <v>2373</v>
      </c>
      <c r="E257" t="str" cm="1">
        <f t="array" ref="E257">IF(COUNTIF(A:A, "*" &amp; LEFT(D257, FIND(" ", D257 &amp; " ") - 1) &amp; "*") &gt; 0,INDEX(A:A,FuzzyVLookup(D257,A:A,0,,,2)),"Non-PDL")</f>
        <v>Non-PDL</v>
      </c>
      <c r="F257" t="str">
        <f t="shared" si="3"/>
        <v>Non-PDL</v>
      </c>
      <c r="G257" s="1" cm="1">
        <f t="array" ref="G257">FuzzyPercent(D257,E257,2)</f>
        <v>0</v>
      </c>
      <c r="H257" t="str" cm="1">
        <f t="array" ref="H257">IF(F257="Non-PDL","",IF(FuzzyPercent(D257,E257,2)&lt;0.4,"CHECK",""))</f>
        <v/>
      </c>
    </row>
    <row r="258" spans="1:8" x14ac:dyDescent="0.2">
      <c r="A258" t="s">
        <v>512</v>
      </c>
      <c r="B258" t="s">
        <v>0</v>
      </c>
      <c r="D258" t="s">
        <v>2374</v>
      </c>
      <c r="E258" t="str" cm="1">
        <f t="array" ref="E258">IF(COUNTIF(A:A, "*" &amp; LEFT(D258, FIND(" ", D258 &amp; " ") - 1) &amp; "*") &gt; 0,INDEX(A:A,FuzzyVLookup(D258,A:A,0,,,2)),"Non-PDL")</f>
        <v>nitrofurantoin suspension</v>
      </c>
      <c r="F258" t="str">
        <f t="shared" si="3"/>
        <v>Preferred</v>
      </c>
      <c r="G258" s="1" cm="1">
        <f t="array" ref="G258">FuzzyPercent(D258,E258,2)</f>
        <v>0.25409835577011108</v>
      </c>
      <c r="H258" t="str" cm="1">
        <f t="array" ref="H258">IF(F258="Non-PDL","",IF(FuzzyPercent(D258,E258,2)&lt;0.4,"CHECK",""))</f>
        <v>CHECK</v>
      </c>
    </row>
    <row r="259" spans="1:8" x14ac:dyDescent="0.2">
      <c r="A259" t="s">
        <v>514</v>
      </c>
      <c r="B259" t="s">
        <v>0</v>
      </c>
      <c r="D259" t="s">
        <v>2375</v>
      </c>
      <c r="E259" t="str" cm="1">
        <f t="array" ref="E259">IF(COUNTIF(A:A, "*" &amp; LEFT(D259, FIND(" ", D259 &amp; " ") - 1) &amp; "*") &gt; 0,INDEX(A:A,FuzzyVLookup(D259,A:A,0,,,2)),"Non-PDL")</f>
        <v>FELBATOL (felbamate)</v>
      </c>
      <c r="F259" t="str">
        <f t="shared" ref="F259:F322" si="4">_xlfn.IFNA(_xlfn.XLOOKUP(E259,A:A,B:B),"Non-PDL")</f>
        <v>Non-Preferred</v>
      </c>
      <c r="G259" s="1" cm="1">
        <f t="array" ref="G259">FuzzyPercent(D259,E259,2)</f>
        <v>0.3684210479259491</v>
      </c>
      <c r="H259" t="str" cm="1">
        <f t="array" ref="H259">IF(F259="Non-PDL","",IF(FuzzyPercent(D259,E259,2)&lt;0.4,"CHECK",""))</f>
        <v>CHECK</v>
      </c>
    </row>
    <row r="260" spans="1:8" x14ac:dyDescent="0.2">
      <c r="A260" t="s">
        <v>516</v>
      </c>
      <c r="B260" t="s">
        <v>0</v>
      </c>
      <c r="D260" t="s">
        <v>2376</v>
      </c>
      <c r="E260" t="str" cm="1">
        <f t="array" ref="E260">IF(COUNTIF(A:A, "*" &amp; LEFT(D260, FIND(" ", D260 &amp; " ") - 1) &amp; "*") &gt; 0,INDEX(A:A,FuzzyVLookup(D260,A:A,0,,,2)),"Non-PDL")</f>
        <v>Non-PDL</v>
      </c>
      <c r="F260" t="str">
        <f t="shared" si="4"/>
        <v>Non-PDL</v>
      </c>
      <c r="G260" s="1" cm="1">
        <f t="array" ref="G260">FuzzyPercent(D260,E260,2)</f>
        <v>0</v>
      </c>
      <c r="H260" t="str" cm="1">
        <f t="array" ref="H260">IF(F260="Non-PDL","",IF(FuzzyPercent(D260,E260,2)&lt;0.4,"CHECK",""))</f>
        <v/>
      </c>
    </row>
    <row r="261" spans="1:8" x14ac:dyDescent="0.2">
      <c r="A261" t="s">
        <v>518</v>
      </c>
      <c r="B261" t="s">
        <v>0</v>
      </c>
      <c r="D261" t="s">
        <v>2377</v>
      </c>
      <c r="E261" t="str" cm="1">
        <f t="array" ref="E261">IF(COUNTIF(A:A, "*" &amp; LEFT(D261, FIND(" ", D261 &amp; " ") - 1) &amp; "*") &gt; 0,INDEX(A:A,FuzzyVLookup(D261,A:A,0,,,2)),"Non-PDL")</f>
        <v>Non-PDL</v>
      </c>
      <c r="F261" t="str">
        <f t="shared" si="4"/>
        <v>Non-PDL</v>
      </c>
      <c r="G261" s="1" cm="1">
        <f t="array" ref="G261">FuzzyPercent(D261,E261,2)</f>
        <v>0</v>
      </c>
      <c r="H261" t="str" cm="1">
        <f t="array" ref="H261">IF(F261="Non-PDL","",IF(FuzzyPercent(D261,E261,2)&lt;0.4,"CHECK",""))</f>
        <v/>
      </c>
    </row>
    <row r="262" spans="1:8" x14ac:dyDescent="0.2">
      <c r="A262" t="s">
        <v>520</v>
      </c>
      <c r="B262" t="s">
        <v>0</v>
      </c>
      <c r="D262" t="s">
        <v>2378</v>
      </c>
      <c r="E262" t="str" cm="1">
        <f t="array" ref="E262">IF(COUNTIF(A:A, "*" &amp; LEFT(D262, FIND(" ", D262 &amp; " ") - 1) &amp; "*") &gt; 0,INDEX(A:A,FuzzyVLookup(D262,A:A,0,,,2)),"Non-PDL")</f>
        <v>FETZIMA (levomilnacipran)</v>
      </c>
      <c r="F262" t="str">
        <f t="shared" si="4"/>
        <v>Non-Preferred</v>
      </c>
      <c r="G262" s="1" cm="1">
        <f t="array" ref="G262">FuzzyPercent(D262,E262,2)</f>
        <v>0.25352111458778381</v>
      </c>
      <c r="H262" t="str" cm="1">
        <f t="array" ref="H262">IF(F262="Non-PDL","",IF(FuzzyPercent(D262,E262,2)&lt;0.4,"CHECK",""))</f>
        <v>CHECK</v>
      </c>
    </row>
    <row r="263" spans="1:8" x14ac:dyDescent="0.2">
      <c r="A263" t="s">
        <v>522</v>
      </c>
      <c r="B263" t="s">
        <v>0</v>
      </c>
      <c r="D263" t="s">
        <v>2379</v>
      </c>
      <c r="E263" t="str" cm="1">
        <f t="array" ref="E263">IF(COUNTIF(A:A, "*" &amp; LEFT(D263, FIND(" ", D263 &amp; " ") - 1) &amp; "*") &gt; 0,INDEX(A:A,FuzzyVLookup(D263,A:A,0,,,2)),"Non-PDL")</f>
        <v>FEXMID (cyclobenzaprine)</v>
      </c>
      <c r="F263" t="str">
        <f t="shared" si="4"/>
        <v>Non-Preferred</v>
      </c>
      <c r="G263" s="1" cm="1">
        <f t="array" ref="G263">FuzzyPercent(D263,E263,2)</f>
        <v>0.23529411852359772</v>
      </c>
      <c r="H263" t="str" cm="1">
        <f t="array" ref="H263">IF(F263="Non-PDL","",IF(FuzzyPercent(D263,E263,2)&lt;0.4,"CHECK",""))</f>
        <v>CHECK</v>
      </c>
    </row>
    <row r="264" spans="1:8" x14ac:dyDescent="0.2">
      <c r="A264" t="s">
        <v>524</v>
      </c>
      <c r="B264" t="s">
        <v>0</v>
      </c>
      <c r="D264" t="s">
        <v>2380</v>
      </c>
      <c r="E264" t="str" cm="1">
        <f t="array" ref="E264">IF(COUNTIF(A:A, "*" &amp; LEFT(D264, FIND(" ", D264 &amp; " ") - 1) &amp; "*") &gt; 0,INDEX(A:A,FuzzyVLookup(D264,A:A,0,,,2)),"Non-PDL")</f>
        <v>zafirlukast</v>
      </c>
      <c r="F264" t="str">
        <f t="shared" si="4"/>
        <v>Preferred</v>
      </c>
      <c r="G264" s="1" cm="1">
        <f t="array" ref="G264">FuzzyPercent(D264,E264,2)</f>
        <v>0.17391304671764374</v>
      </c>
      <c r="H264" t="str" cm="1">
        <f t="array" ref="H264">IF(F264="Non-PDL","",IF(FuzzyPercent(D264,E264,2)&lt;0.4,"CHECK",""))</f>
        <v>CHECK</v>
      </c>
    </row>
    <row r="265" spans="1:8" x14ac:dyDescent="0.2">
      <c r="A265" t="s">
        <v>526</v>
      </c>
      <c r="B265" t="s">
        <v>0</v>
      </c>
      <c r="D265" t="s">
        <v>2381</v>
      </c>
      <c r="E265" t="str" cm="1">
        <f t="array" ref="E265">IF(COUNTIF(A:A, "*" &amp; LEFT(D265, FIND(" ", D265 &amp; " ") - 1) &amp; "*") &gt; 0,INDEX(A:A,FuzzyVLookup(D265,A:A,0,,,2)),"Non-PDL")</f>
        <v>FIASP (insulin aspart/niacinamide)</v>
      </c>
      <c r="F265" t="str">
        <f t="shared" si="4"/>
        <v>Non-Preferred</v>
      </c>
      <c r="G265" s="1" cm="1">
        <f t="array" ref="G265">FuzzyPercent(D265,E265,2)</f>
        <v>0.13008129596710205</v>
      </c>
      <c r="H265" t="str" cm="1">
        <f t="array" ref="H265">IF(F265="Non-PDL","",IF(FuzzyPercent(D265,E265,2)&lt;0.4,"CHECK",""))</f>
        <v>CHECK</v>
      </c>
    </row>
    <row r="266" spans="1:8" x14ac:dyDescent="0.2">
      <c r="A266" t="s">
        <v>528</v>
      </c>
      <c r="B266" t="s">
        <v>0</v>
      </c>
      <c r="D266" t="s">
        <v>2382</v>
      </c>
      <c r="E266" t="str" cm="1">
        <f t="array" ref="E266">IF(COUNTIF(A:A, "*" &amp; LEFT(D266, FIND(" ", D266 &amp; " ") - 1) &amp; "*") &gt; 0,INDEX(A:A,FuzzyVLookup(D266,A:A,0,,,2)),"Non-PDL")</f>
        <v>Non-PDL</v>
      </c>
      <c r="F266" t="str">
        <f t="shared" si="4"/>
        <v>Non-PDL</v>
      </c>
      <c r="G266" s="1" cm="1">
        <f t="array" ref="G266">FuzzyPercent(D266,E266,2)</f>
        <v>0</v>
      </c>
      <c r="H266" t="str" cm="1">
        <f t="array" ref="H266">IF(F266="Non-PDL","",IF(FuzzyPercent(D266,E266,2)&lt;0.4,"CHECK",""))</f>
        <v/>
      </c>
    </row>
    <row r="267" spans="1:8" x14ac:dyDescent="0.2">
      <c r="A267" t="s">
        <v>530</v>
      </c>
      <c r="B267" t="s">
        <v>0</v>
      </c>
      <c r="D267" t="s">
        <v>2383</v>
      </c>
      <c r="E267" t="str" cm="1">
        <f t="array" ref="E267">IF(COUNTIF(A:A, "*" &amp; LEFT(D267, FIND(" ", D267 &amp; " ") - 1) &amp; "*") &gt; 0,INDEX(A:A,FuzzyVLookup(D267,A:A,0,,,2)),"Non-PDL")</f>
        <v>fingolimod</v>
      </c>
      <c r="F267" t="str">
        <f t="shared" si="4"/>
        <v>Preferred</v>
      </c>
      <c r="G267" s="1" cm="1">
        <f t="array" ref="G267">FuzzyPercent(D267,E267,2)</f>
        <v>0.42500001192092896</v>
      </c>
      <c r="H267" t="str" cm="1">
        <f t="array" ref="H267">IF(F267="Non-PDL","",IF(FuzzyPercent(D267,E267,2)&lt;0.4,"CHECK",""))</f>
        <v/>
      </c>
    </row>
    <row r="268" spans="1:8" x14ac:dyDescent="0.2">
      <c r="A268" t="s">
        <v>532</v>
      </c>
      <c r="B268" t="s">
        <v>0</v>
      </c>
      <c r="D268" t="s">
        <v>2384</v>
      </c>
      <c r="E268" t="str" cm="1">
        <f t="array" ref="E268">IF(COUNTIF(A:A, "*" &amp; LEFT(D268, FIND(" ", D268 &amp; " ") - 1) &amp; "*") &gt; 0,INDEX(A:A,FuzzyVLookup(D268,A:A,0,,,2)),"Non-PDL")</f>
        <v>FINTEPLA (fenfluramine)</v>
      </c>
      <c r="F268" t="str">
        <f t="shared" si="4"/>
        <v>Non-Preferred</v>
      </c>
      <c r="G268" s="1" cm="1">
        <f t="array" ref="G268">FuzzyPercent(D268,E268,2)</f>
        <v>0.36923077702522278</v>
      </c>
      <c r="H268" t="str" cm="1">
        <f t="array" ref="H268">IF(F268="Non-PDL","",IF(FuzzyPercent(D268,E268,2)&lt;0.4,"CHECK",""))</f>
        <v>CHECK</v>
      </c>
    </row>
    <row r="269" spans="1:8" x14ac:dyDescent="0.2">
      <c r="A269" t="s">
        <v>534</v>
      </c>
      <c r="B269" t="s">
        <v>0</v>
      </c>
      <c r="D269" t="s">
        <v>2385</v>
      </c>
      <c r="E269" t="str" cm="1">
        <f t="array" ref="E269">IF(COUNTIF(A:A, "*" &amp; LEFT(D269, FIND(" ", D269 &amp; " ") - 1) &amp; "*") &gt; 0,INDEX(A:A,FuzzyVLookup(D269,A:A,0,,,2)),"Non-PDL")</f>
        <v>oxcarbazepine suspension</v>
      </c>
      <c r="F269" t="str">
        <f t="shared" si="4"/>
        <v>Non-Preferred</v>
      </c>
      <c r="G269" s="1" cm="1">
        <f t="array" ref="G269">FuzzyPercent(D269,E269,2)</f>
        <v>0.2054794579744339</v>
      </c>
      <c r="H269" t="str" cm="1">
        <f t="array" ref="H269">IF(F269="Non-PDL","",IF(FuzzyPercent(D269,E269,2)&lt;0.4,"CHECK",""))</f>
        <v>CHECK</v>
      </c>
    </row>
    <row r="270" spans="1:8" x14ac:dyDescent="0.2">
      <c r="A270" t="s">
        <v>536</v>
      </c>
      <c r="B270" t="s">
        <v>0</v>
      </c>
      <c r="D270" t="s">
        <v>2386</v>
      </c>
      <c r="E270" t="str" cm="1">
        <f t="array" ref="E270">IF(COUNTIF(A:A, "*" &amp; LEFT(D270, FIND(" ", D270 &amp; " ") - 1) &amp; "*") &gt; 0,INDEX(A:A,FuzzyVLookup(D270,A:A,0,,,2)),"Non-PDL")</f>
        <v>FLEQSUVY (baclofen)</v>
      </c>
      <c r="F270" t="str">
        <f t="shared" si="4"/>
        <v>Non-Preferred</v>
      </c>
      <c r="G270" s="1" cm="1">
        <f t="array" ref="G270">FuzzyPercent(D270,E270,2)</f>
        <v>0.45283019542694092</v>
      </c>
      <c r="H270" t="str" cm="1">
        <f t="array" ref="H270">IF(F270="Non-PDL","",IF(FuzzyPercent(D270,E270,2)&lt;0.4,"CHECK",""))</f>
        <v/>
      </c>
    </row>
    <row r="271" spans="1:8" x14ac:dyDescent="0.2">
      <c r="A271" t="s">
        <v>538</v>
      </c>
      <c r="B271" t="s">
        <v>0</v>
      </c>
      <c r="D271" t="s">
        <v>2387</v>
      </c>
      <c r="E271" t="str" cm="1">
        <f t="array" ref="E271">IF(COUNTIF(A:A, "*" &amp; LEFT(D271, FIND(" ", D271 &amp; " ") - 1) &amp; "*") &gt; 0,INDEX(A:A,FuzzyVLookup(D271,A:A,0,,,2)),"Non-PDL")</f>
        <v>FLOVENT DISKUS (fluticasone)</v>
      </c>
      <c r="F271" t="str">
        <f t="shared" si="4"/>
        <v>Preferred</v>
      </c>
      <c r="G271" s="1" cm="1">
        <f t="array" ref="G271">FuzzyPercent(D271,E271,2)</f>
        <v>0.54000002145767212</v>
      </c>
      <c r="H271" t="str" cm="1">
        <f t="array" ref="H271">IF(F271="Non-PDL","",IF(FuzzyPercent(D271,E271,2)&lt;0.4,"CHECK",""))</f>
        <v/>
      </c>
    </row>
    <row r="272" spans="1:8" x14ac:dyDescent="0.2">
      <c r="A272" t="s">
        <v>540</v>
      </c>
      <c r="B272" t="s">
        <v>0</v>
      </c>
      <c r="D272" t="s">
        <v>2388</v>
      </c>
      <c r="E272" t="str" cm="1">
        <f t="array" ref="E272">IF(COUNTIF(A:A, "*" &amp; LEFT(D272, FIND(" ", D272 &amp; " ") - 1) &amp; "*") &gt; 0,INDEX(A:A,FuzzyVLookup(D272,A:A,0,,,2)),"Non-PDL")</f>
        <v>FLOVENT HFA (fluticasone)</v>
      </c>
      <c r="F272" t="str">
        <f t="shared" si="4"/>
        <v>Non-Preferred</v>
      </c>
      <c r="G272" s="1" cm="1">
        <f t="array" ref="G272">FuzzyPercent(D272,E272,2)</f>
        <v>0.44999998807907104</v>
      </c>
      <c r="H272" t="str" cm="1">
        <f t="array" ref="H272">IF(F272="Non-PDL","",IF(FuzzyPercent(D272,E272,2)&lt;0.4,"CHECK",""))</f>
        <v/>
      </c>
    </row>
    <row r="273" spans="1:8" x14ac:dyDescent="0.2">
      <c r="A273" t="s">
        <v>542</v>
      </c>
      <c r="B273" t="s">
        <v>0</v>
      </c>
      <c r="D273" t="s">
        <v>2389</v>
      </c>
      <c r="E273" t="str" cm="1">
        <f t="array" ref="E273">IF(COUNTIF(A:A, "*" &amp; LEFT(D273, FIND(" ", D273 &amp; " ") - 1) &amp; "*") &gt; 0,INDEX(A:A,FuzzyVLookup(D273,A:A,0,,,2)),"Non-PDL")</f>
        <v>Non-PDL</v>
      </c>
      <c r="F273" t="str">
        <f t="shared" si="4"/>
        <v>Non-PDL</v>
      </c>
      <c r="G273" s="1" cm="1">
        <f t="array" ref="G273">FuzzyPercent(D273,E273,2)</f>
        <v>7.5757578015327454E-3</v>
      </c>
      <c r="H273" t="str" cm="1">
        <f t="array" ref="H273">IF(F273="Non-PDL","",IF(FuzzyPercent(D273,E273,2)&lt;0.4,"CHECK",""))</f>
        <v/>
      </c>
    </row>
    <row r="274" spans="1:8" x14ac:dyDescent="0.2">
      <c r="A274" t="s">
        <v>544</v>
      </c>
      <c r="B274" t="s">
        <v>0</v>
      </c>
      <c r="D274" t="s">
        <v>2390</v>
      </c>
      <c r="E274" t="str" cm="1">
        <f t="array" ref="E274">IF(COUNTIF(A:A, "*" &amp; LEFT(D274, FIND(" ", D274 &amp; " ") - 1) &amp; "*") &gt; 0,INDEX(A:A,FuzzyVLookup(D274,A:A,0,,,2)),"Non-PDL")</f>
        <v>Non-PDL</v>
      </c>
      <c r="F274" t="str">
        <f t="shared" si="4"/>
        <v>Non-PDL</v>
      </c>
      <c r="G274" s="1" cm="1">
        <f t="array" ref="G274">FuzzyPercent(D274,E274,2)</f>
        <v>8.4033617749810219E-3</v>
      </c>
      <c r="H274" t="str" cm="1">
        <f t="array" ref="H274">IF(F274="Non-PDL","",IF(FuzzyPercent(D274,E274,2)&lt;0.4,"CHECK",""))</f>
        <v/>
      </c>
    </row>
    <row r="275" spans="1:8" x14ac:dyDescent="0.2">
      <c r="A275" t="s">
        <v>546</v>
      </c>
      <c r="B275" t="s">
        <v>0</v>
      </c>
      <c r="D275" t="s">
        <v>2391</v>
      </c>
      <c r="E275" t="str" cm="1">
        <f t="array" ref="E275">IF(COUNTIF(A:A, "*" &amp; LEFT(D275, FIND(" ", D275 &amp; " ") - 1) &amp; "*") &gt; 0,INDEX(A:A,FuzzyVLookup(D275,A:A,0,,,2)),"Non-PDL")</f>
        <v>Non-PDL</v>
      </c>
      <c r="F275" t="str">
        <f t="shared" si="4"/>
        <v>Non-PDL</v>
      </c>
      <c r="G275" s="1" cm="1">
        <f t="array" ref="G275">FuzzyPercent(D275,E275,2)</f>
        <v>0</v>
      </c>
      <c r="H275" t="str" cm="1">
        <f t="array" ref="H275">IF(F275="Non-PDL","",IF(FuzzyPercent(D275,E275,2)&lt;0.4,"CHECK",""))</f>
        <v/>
      </c>
    </row>
    <row r="276" spans="1:8" x14ac:dyDescent="0.2">
      <c r="A276" t="s">
        <v>548</v>
      </c>
      <c r="B276" t="s">
        <v>0</v>
      </c>
      <c r="D276" t="s">
        <v>2392</v>
      </c>
      <c r="E276" t="str" cm="1">
        <f t="array" ref="E276">IF(COUNTIF(A:A, "*" &amp; LEFT(D276, FIND(" ", D276 &amp; " ") - 1) &amp; "*") &gt; 0,INDEX(A:A,FuzzyVLookup(D276,A:A,0,,,2)),"Non-PDL")</f>
        <v>fosinopril</v>
      </c>
      <c r="F276" t="str">
        <f t="shared" si="4"/>
        <v>Preferred</v>
      </c>
      <c r="G276" s="1" cm="1">
        <f t="array" ref="G276">FuzzyPercent(D276,E276,2)</f>
        <v>1</v>
      </c>
      <c r="H276" t="str" cm="1">
        <f t="array" ref="H276">IF(F276="Non-PDL","",IF(FuzzyPercent(D276,E276,2)&lt;0.4,"CHECK",""))</f>
        <v/>
      </c>
    </row>
    <row r="277" spans="1:8" x14ac:dyDescent="0.2">
      <c r="A277" t="s">
        <v>550</v>
      </c>
      <c r="B277" t="s">
        <v>0</v>
      </c>
      <c r="D277" t="s">
        <v>2393</v>
      </c>
      <c r="E277" t="str" cm="1">
        <f t="array" ref="E277">IF(COUNTIF(A:A, "*" &amp; LEFT(D277, FIND(" ", D277 &amp; " ") - 1) &amp; "*") &gt; 0,INDEX(A:A,FuzzyVLookup(D277,A:A,0,,,2)),"Non-PDL")</f>
        <v>Non-PDL</v>
      </c>
      <c r="F277" t="str">
        <f t="shared" si="4"/>
        <v>Non-PDL</v>
      </c>
      <c r="G277" s="1" cm="1">
        <f t="array" ref="G277">FuzzyPercent(D277,E277,2)</f>
        <v>0</v>
      </c>
      <c r="H277" t="str" cm="1">
        <f t="array" ref="H277">IF(F277="Non-PDL","",IF(FuzzyPercent(D277,E277,2)&lt;0.4,"CHECK",""))</f>
        <v/>
      </c>
    </row>
    <row r="278" spans="1:8" x14ac:dyDescent="0.2">
      <c r="A278" t="s">
        <v>552</v>
      </c>
      <c r="B278" t="s">
        <v>0</v>
      </c>
      <c r="D278" t="s">
        <v>2394</v>
      </c>
      <c r="E278" t="str" cm="1">
        <f t="array" ref="E278">IF(COUNTIF(A:A, "*" &amp; LEFT(D278, FIND(" ", D278 &amp; " ") - 1) &amp; "*") &gt; 0,INDEX(A:A,FuzzyVLookup(D278,A:A,0,,,2)),"Non-PDL")</f>
        <v>Non-PDL</v>
      </c>
      <c r="F278" t="str">
        <f t="shared" si="4"/>
        <v>Non-PDL</v>
      </c>
      <c r="G278" s="1" cm="1">
        <f t="array" ref="G278">FuzzyPercent(D278,E278,2)</f>
        <v>0</v>
      </c>
      <c r="H278" t="str" cm="1">
        <f t="array" ref="H278">IF(F278="Non-PDL","",IF(FuzzyPercent(D278,E278,2)&lt;0.4,"CHECK",""))</f>
        <v/>
      </c>
    </row>
    <row r="279" spans="1:8" x14ac:dyDescent="0.2">
      <c r="A279" t="s">
        <v>554</v>
      </c>
      <c r="B279" t="s">
        <v>0</v>
      </c>
      <c r="D279" t="s">
        <v>2395</v>
      </c>
      <c r="E279" t="str" cm="1">
        <f t="array" ref="E279">IF(COUNTIF(A:A, "*" &amp; LEFT(D279, FIND(" ", D279 &amp; " ") - 1) &amp; "*") &gt; 0,INDEX(A:A,FuzzyVLookup(D279,A:A,0,,,2)),"Non-PDL")</f>
        <v>Non-PDL</v>
      </c>
      <c r="F279" t="str">
        <f t="shared" si="4"/>
        <v>Non-PDL</v>
      </c>
      <c r="G279" s="1" cm="1">
        <f t="array" ref="G279">FuzzyPercent(D279,E279,2)</f>
        <v>0</v>
      </c>
      <c r="H279" t="str" cm="1">
        <f t="array" ref="H279">IF(F279="Non-PDL","",IF(FuzzyPercent(D279,E279,2)&lt;0.4,"CHECK",""))</f>
        <v/>
      </c>
    </row>
    <row r="280" spans="1:8" x14ac:dyDescent="0.2">
      <c r="A280" t="s">
        <v>556</v>
      </c>
      <c r="B280" t="s">
        <v>0</v>
      </c>
      <c r="D280" t="s">
        <v>2396</v>
      </c>
      <c r="E280" t="str" cm="1">
        <f t="array" ref="E280">IF(COUNTIF(A:A, "*" &amp; LEFT(D280, FIND(" ", D280 &amp; " ") - 1) &amp; "*") &gt; 0,INDEX(A:A,FuzzyVLookup(D280,A:A,0,,,2)),"Non-PDL")</f>
        <v>Non-PDL</v>
      </c>
      <c r="F280" t="str">
        <f t="shared" si="4"/>
        <v>Non-PDL</v>
      </c>
      <c r="G280" s="1" cm="1">
        <f t="array" ref="G280">FuzzyPercent(D280,E280,2)</f>
        <v>0</v>
      </c>
      <c r="H280" t="str" cm="1">
        <f t="array" ref="H280">IF(F280="Non-PDL","",IF(FuzzyPercent(D280,E280,2)&lt;0.4,"CHECK",""))</f>
        <v/>
      </c>
    </row>
    <row r="281" spans="1:8" x14ac:dyDescent="0.2">
      <c r="A281" t="s">
        <v>558</v>
      </c>
      <c r="B281" t="s">
        <v>0</v>
      </c>
      <c r="D281" t="s">
        <v>2397</v>
      </c>
      <c r="E281" t="str" cm="1">
        <f t="array" ref="E281">IF(COUNTIF(A:A, "*" &amp; LEFT(D281, FIND(" ", D281 &amp; " ") - 1) &amp; "*") &gt; 0,INDEX(A:A,FuzzyVLookup(D281,A:A,0,,,2)),"Non-PDL")</f>
        <v>Non-PDL</v>
      </c>
      <c r="F281" t="str">
        <f t="shared" si="4"/>
        <v>Non-PDL</v>
      </c>
      <c r="G281" s="1" cm="1">
        <f t="array" ref="G281">FuzzyPercent(D281,E281,2)</f>
        <v>0</v>
      </c>
      <c r="H281" t="str" cm="1">
        <f t="array" ref="H281">IF(F281="Non-PDL","",IF(FuzzyPercent(D281,E281,2)&lt;0.4,"CHECK",""))</f>
        <v/>
      </c>
    </row>
    <row r="282" spans="1:8" x14ac:dyDescent="0.2">
      <c r="A282" t="s">
        <v>560</v>
      </c>
      <c r="B282" t="s">
        <v>0</v>
      </c>
      <c r="D282" t="s">
        <v>2398</v>
      </c>
      <c r="E282" t="str" cm="1">
        <f t="array" ref="E282">IF(COUNTIF(A:A, "*" &amp; LEFT(D282, FIND(" ", D282 &amp; " ") - 1) &amp; "*") &gt; 0,INDEX(A:A,FuzzyVLookup(D282,A:A,0,,,2)),"Non-PDL")</f>
        <v>FYLNETRA (pegfilgrastim-pbbk)</v>
      </c>
      <c r="F282" t="str">
        <f t="shared" si="4"/>
        <v>Non-Preferred</v>
      </c>
      <c r="G282" s="1" cm="1">
        <f t="array" ref="G282">FuzzyPercent(D282,E282,2)</f>
        <v>0.27906978130340576</v>
      </c>
      <c r="H282" t="str" cm="1">
        <f t="array" ref="H282">IF(F282="Non-PDL","",IF(FuzzyPercent(D282,E282,2)&lt;0.4,"CHECK",""))</f>
        <v>CHECK</v>
      </c>
    </row>
    <row r="283" spans="1:8" x14ac:dyDescent="0.2">
      <c r="A283" t="s">
        <v>562</v>
      </c>
      <c r="B283" t="s">
        <v>0</v>
      </c>
      <c r="D283" t="s">
        <v>2399</v>
      </c>
      <c r="E283" t="str" cm="1">
        <f t="array" ref="E283">IF(COUNTIF(A:A, "*" &amp; LEFT(D283, FIND(" ", D283 &amp; " ") - 1) &amp; "*") &gt; 0,INDEX(A:A,FuzzyVLookup(D283,A:A,0,,,2)),"Non-PDL")</f>
        <v>Non-PDL</v>
      </c>
      <c r="F283" t="str">
        <f t="shared" si="4"/>
        <v>Non-PDL</v>
      </c>
      <c r="G283" s="1" cm="1">
        <f t="array" ref="G283">FuzzyPercent(D283,E283,2)</f>
        <v>0</v>
      </c>
      <c r="H283" t="str" cm="1">
        <f t="array" ref="H283">IF(F283="Non-PDL","",IF(FuzzyPercent(D283,E283,2)&lt;0.4,"CHECK",""))</f>
        <v/>
      </c>
    </row>
    <row r="284" spans="1:8" x14ac:dyDescent="0.2">
      <c r="A284" t="s">
        <v>564</v>
      </c>
      <c r="B284" t="s">
        <v>0</v>
      </c>
      <c r="D284" t="s">
        <v>2400</v>
      </c>
      <c r="E284" t="str" cm="1">
        <f t="array" ref="E284">IF(COUNTIF(A:A, "*" &amp; LEFT(D284, FIND(" ", D284 &amp; " ") - 1) &amp; "*") &gt; 0,INDEX(A:A,FuzzyVLookup(D284,A:A,0,,,2)),"Non-PDL")</f>
        <v>galantamine ER</v>
      </c>
      <c r="F284" t="str">
        <f t="shared" si="4"/>
        <v>Preferred</v>
      </c>
      <c r="G284" s="1" cm="1">
        <f t="array" ref="G284">FuzzyPercent(D284,E284,2)</f>
        <v>0.37096774578094482</v>
      </c>
      <c r="H284" t="str" cm="1">
        <f t="array" ref="H284">IF(F284="Non-PDL","",IF(FuzzyPercent(D284,E284,2)&lt;0.4,"CHECK",""))</f>
        <v>CHECK</v>
      </c>
    </row>
    <row r="285" spans="1:8" x14ac:dyDescent="0.2">
      <c r="A285" t="s">
        <v>566</v>
      </c>
      <c r="B285" t="s">
        <v>0</v>
      </c>
      <c r="D285" t="s">
        <v>2401</v>
      </c>
      <c r="E285" t="str" cm="1">
        <f t="array" ref="E285">IF(COUNTIF(A:A, "*" &amp; LEFT(D285, FIND(" ", D285 &amp; " ") - 1) &amp; "*") &gt; 0,INDEX(A:A,FuzzyVLookup(D285,A:A,0,,,2)),"Non-PDL")</f>
        <v>galantamine ER</v>
      </c>
      <c r="F285" t="str">
        <f t="shared" si="4"/>
        <v>Preferred</v>
      </c>
      <c r="G285" s="1" cm="1">
        <f t="array" ref="G285">FuzzyPercent(D285,E285,2)</f>
        <v>0.57499998807907104</v>
      </c>
      <c r="H285" t="str" cm="1">
        <f t="array" ref="H285">IF(F285="Non-PDL","",IF(FuzzyPercent(D285,E285,2)&lt;0.4,"CHECK",""))</f>
        <v/>
      </c>
    </row>
    <row r="286" spans="1:8" x14ac:dyDescent="0.2">
      <c r="A286" t="s">
        <v>568</v>
      </c>
      <c r="B286" t="s">
        <v>0</v>
      </c>
      <c r="D286" t="s">
        <v>2402</v>
      </c>
      <c r="E286" t="str" cm="1">
        <f t="array" ref="E286">IF(COUNTIF(A:A, "*" &amp; LEFT(D286, FIND(" ", D286 &amp; " ") - 1) &amp; "*") &gt; 0,INDEX(A:A,FuzzyVLookup(D286,A:A,0,,,2)),"Non-PDL")</f>
        <v>galantamine ER</v>
      </c>
      <c r="F286" t="str">
        <f t="shared" si="4"/>
        <v>Preferred</v>
      </c>
      <c r="G286" s="1" cm="1">
        <f t="array" ref="G286">FuzzyPercent(D286,E286,2)</f>
        <v>1</v>
      </c>
      <c r="H286" t="str" cm="1">
        <f t="array" ref="H286">IF(F286="Non-PDL","",IF(FuzzyPercent(D286,E286,2)&lt;0.4,"CHECK",""))</f>
        <v/>
      </c>
    </row>
    <row r="287" spans="1:8" x14ac:dyDescent="0.2">
      <c r="A287" t="s">
        <v>570</v>
      </c>
      <c r="B287" t="s">
        <v>0</v>
      </c>
      <c r="D287" t="s">
        <v>2403</v>
      </c>
      <c r="E287" t="str" cm="1">
        <f t="array" ref="E287">IF(COUNTIF(A:A, "*" &amp; LEFT(D287, FIND(" ", D287 &amp; " ") - 1) &amp; "*") &gt; 0,INDEX(A:A,FuzzyVLookup(D287,A:A,0,,,2)),"Non-PDL")</f>
        <v>Non-PDL</v>
      </c>
      <c r="F287" t="str">
        <f t="shared" si="4"/>
        <v>Non-PDL</v>
      </c>
      <c r="G287" s="1" cm="1">
        <f t="array" ref="G287">FuzzyPercent(D287,E287,2)</f>
        <v>0</v>
      </c>
      <c r="H287" t="str" cm="1">
        <f t="array" ref="H287">IF(F287="Non-PDL","",IF(FuzzyPercent(D287,E287,2)&lt;0.4,"CHECK",""))</f>
        <v/>
      </c>
    </row>
    <row r="288" spans="1:8" x14ac:dyDescent="0.2">
      <c r="A288" t="s">
        <v>572</v>
      </c>
      <c r="B288" t="s">
        <v>0</v>
      </c>
      <c r="D288" t="s">
        <v>2404</v>
      </c>
      <c r="E288" t="str" cm="1">
        <f t="array" ref="E288">IF(COUNTIF(A:A, "*" &amp; LEFT(D288, FIND(" ", D288 &amp; " ") - 1) &amp; "*") &gt; 0,INDEX(A:A,FuzzyVLookup(D288,A:A,0,,,2)),"Non-PDL")</f>
        <v>GAVRETO (pralsetinib)</v>
      </c>
      <c r="F288" t="str">
        <f t="shared" si="4"/>
        <v>Non-Preferred</v>
      </c>
      <c r="G288" s="1" cm="1">
        <f t="array" ref="G288">FuzzyPercent(D288,E288,2)</f>
        <v>0.31034481525421143</v>
      </c>
      <c r="H288" t="str" cm="1">
        <f t="array" ref="H288">IF(F288="Non-PDL","",IF(FuzzyPercent(D288,E288,2)&lt;0.4,"CHECK",""))</f>
        <v>CHECK</v>
      </c>
    </row>
    <row r="289" spans="1:8" x14ac:dyDescent="0.2">
      <c r="A289" t="s">
        <v>574</v>
      </c>
      <c r="B289" t="s">
        <v>0</v>
      </c>
      <c r="D289" t="s">
        <v>2405</v>
      </c>
      <c r="E289" t="str" cm="1">
        <f t="array" ref="E289">IF(COUNTIF(A:A, "*" &amp; LEFT(D289, FIND(" ", D289 &amp; " ") - 1) &amp; "*") &gt; 0,INDEX(A:A,FuzzyVLookup(D289,A:A,0,,,2)),"Non-PDL")</f>
        <v>Non-PDL</v>
      </c>
      <c r="F289" t="str">
        <f t="shared" si="4"/>
        <v>Non-PDL</v>
      </c>
      <c r="G289" s="1" cm="1">
        <f t="array" ref="G289">FuzzyPercent(D289,E289,2)</f>
        <v>5.8823529630899429E-2</v>
      </c>
      <c r="H289" t="str" cm="1">
        <f t="array" ref="H289">IF(F289="Non-PDL","",IF(FuzzyPercent(D289,E289,2)&lt;0.4,"CHECK",""))</f>
        <v/>
      </c>
    </row>
    <row r="290" spans="1:8" x14ac:dyDescent="0.2">
      <c r="A290" t="s">
        <v>576</v>
      </c>
      <c r="B290" t="s">
        <v>0</v>
      </c>
      <c r="D290" t="s">
        <v>2406</v>
      </c>
      <c r="E290" t="str" cm="1">
        <f t="array" ref="E290">IF(COUNTIF(A:A, "*" &amp; LEFT(D290, FIND(" ", D290 &amp; " ") - 1) &amp; "*") &gt; 0,INDEX(A:A,FuzzyVLookup(D290,A:A,0,,,2)),"Non-PDL")</f>
        <v>gentamicin</v>
      </c>
      <c r="F290" t="str">
        <f t="shared" si="4"/>
        <v>Preferred</v>
      </c>
      <c r="G290" s="1" cm="1">
        <f t="array" ref="G290">FuzzyPercent(D290,E290,2)</f>
        <v>0.15384615957736969</v>
      </c>
      <c r="H290" t="str" cm="1">
        <f t="array" ref="H290">IF(F290="Non-PDL","",IF(FuzzyPercent(D290,E290,2)&lt;0.4,"CHECK",""))</f>
        <v>CHECK</v>
      </c>
    </row>
    <row r="291" spans="1:8" x14ac:dyDescent="0.2">
      <c r="A291" t="s">
        <v>578</v>
      </c>
      <c r="B291" t="s">
        <v>0</v>
      </c>
      <c r="D291" t="s">
        <v>2407</v>
      </c>
      <c r="E291" t="str" cm="1">
        <f t="array" ref="E291">IF(COUNTIF(A:A, "*" &amp; LEFT(D291, FIND(" ", D291 &amp; " ") - 1) &amp; "*") &gt; 0,INDEX(A:A,FuzzyVLookup(D291,A:A,0,,,2)),"Non-PDL")</f>
        <v>GEODON (ziprasidone)</v>
      </c>
      <c r="F291" t="str">
        <f t="shared" si="4"/>
        <v>Non-Preferred</v>
      </c>
      <c r="G291" s="1" cm="1">
        <f t="array" ref="G291">FuzzyPercent(D291,E291,2)</f>
        <v>0.29629629850387573</v>
      </c>
      <c r="H291" t="str" cm="1">
        <f t="array" ref="H291">IF(F291="Non-PDL","",IF(FuzzyPercent(D291,E291,2)&lt;0.4,"CHECK",""))</f>
        <v>CHECK</v>
      </c>
    </row>
    <row r="292" spans="1:8" x14ac:dyDescent="0.2">
      <c r="A292" t="s">
        <v>580</v>
      </c>
      <c r="B292" t="s">
        <v>0</v>
      </c>
      <c r="D292" t="s">
        <v>2408</v>
      </c>
      <c r="E292" t="str" cm="1">
        <f t="array" ref="E292">IF(COUNTIF(A:A, "*" &amp; LEFT(D292, FIND(" ", D292 &amp; " ") - 1) &amp; "*") &gt; 0,INDEX(A:A,FuzzyVLookup(D292,A:A,0,,,2)),"Non-PDL")</f>
        <v>GILENYA (fingolimod)</v>
      </c>
      <c r="F292" t="str">
        <f t="shared" si="4"/>
        <v>Non-Preferred</v>
      </c>
      <c r="G292" s="1" cm="1">
        <f t="array" ref="G292">FuzzyPercent(D292,E292,2)</f>
        <v>0.31578946113586426</v>
      </c>
      <c r="H292" t="str" cm="1">
        <f t="array" ref="H292">IF(F292="Non-PDL","",IF(FuzzyPercent(D292,E292,2)&lt;0.4,"CHECK",""))</f>
        <v>CHECK</v>
      </c>
    </row>
    <row r="293" spans="1:8" x14ac:dyDescent="0.2">
      <c r="A293" t="s">
        <v>582</v>
      </c>
      <c r="B293" t="s">
        <v>0</v>
      </c>
      <c r="D293" t="s">
        <v>2409</v>
      </c>
      <c r="E293" t="str" cm="1">
        <f t="array" ref="E293">IF(COUNTIF(A:A, "*" &amp; LEFT(D293, FIND(" ", D293 &amp; " ") - 1) &amp; "*") &gt; 0,INDEX(A:A,FuzzyVLookup(D293,A:A,0,,,2)),"Non-PDL")</f>
        <v>GILOTRIF (afatinib)</v>
      </c>
      <c r="F293" t="str">
        <f t="shared" si="4"/>
        <v>Preferred</v>
      </c>
      <c r="G293" s="1" cm="1">
        <f t="array" ref="G293">FuzzyPercent(D293,E293,2)</f>
        <v>0.45283019542694092</v>
      </c>
      <c r="H293" t="str" cm="1">
        <f t="array" ref="H293">IF(F293="Non-PDL","",IF(FuzzyPercent(D293,E293,2)&lt;0.4,"CHECK",""))</f>
        <v/>
      </c>
    </row>
    <row r="294" spans="1:8" x14ac:dyDescent="0.2">
      <c r="A294" t="s">
        <v>584</v>
      </c>
      <c r="B294" t="s">
        <v>0</v>
      </c>
      <c r="D294" t="s">
        <v>2410</v>
      </c>
      <c r="E294" t="str" cm="1">
        <f t="array" ref="E294">IF(COUNTIF(A:A, "*" &amp; LEFT(D294, FIND(" ", D294 &amp; " ") - 1) &amp; "*") &gt; 0,INDEX(A:A,FuzzyVLookup(D294,A:A,0,,,2)),"Non-PDL")</f>
        <v>COPAXONE (glatiramer) 20 mg</v>
      </c>
      <c r="F294" t="str">
        <f t="shared" si="4"/>
        <v>Preferred</v>
      </c>
      <c r="G294" s="1" cm="1">
        <f t="array" ref="G294">FuzzyPercent(D294,E294,2)</f>
        <v>0.16346153616905212</v>
      </c>
      <c r="H294" t="str" cm="1">
        <f t="array" ref="H294">IF(F294="Non-PDL","",IF(FuzzyPercent(D294,E294,2)&lt;0.4,"CHECK",""))</f>
        <v>CHECK</v>
      </c>
    </row>
    <row r="295" spans="1:8" x14ac:dyDescent="0.2">
      <c r="A295" t="s">
        <v>586</v>
      </c>
      <c r="B295" t="s">
        <v>0</v>
      </c>
      <c r="D295" t="s">
        <v>2411</v>
      </c>
      <c r="E295" t="str" cm="1">
        <f t="array" ref="E295">IF(COUNTIF(A:A, "*" &amp; LEFT(D295, FIND(" ", D295 &amp; " ") - 1) &amp; "*") &gt; 0,INDEX(A:A,FuzzyVLookup(D295,A:A,0,,,2)),"Non-PDL")</f>
        <v>GLATOPA (glatiramer)</v>
      </c>
      <c r="F295" t="str">
        <f t="shared" si="4"/>
        <v>Non-Preferred</v>
      </c>
      <c r="G295" s="1" cm="1">
        <f t="array" ref="G295">FuzzyPercent(D295,E295,2)</f>
        <v>0.29285714030265808</v>
      </c>
      <c r="H295" t="str" cm="1">
        <f t="array" ref="H295">IF(F295="Non-PDL","",IF(FuzzyPercent(D295,E295,2)&lt;0.4,"CHECK",""))</f>
        <v>CHECK</v>
      </c>
    </row>
    <row r="296" spans="1:8" x14ac:dyDescent="0.2">
      <c r="A296" t="s">
        <v>588</v>
      </c>
      <c r="B296" t="s">
        <v>0</v>
      </c>
      <c r="D296" t="s">
        <v>2412</v>
      </c>
      <c r="E296" t="str" cm="1">
        <f t="array" ref="E296">IF(COUNTIF(A:A, "*" &amp; LEFT(D296, FIND(" ", D296 &amp; " ") - 1) &amp; "*") &gt; 0,INDEX(A:A,FuzzyVLookup(D296,A:A,0,,,2)),"Non-PDL")</f>
        <v>GLEEVEC (imatinib)</v>
      </c>
      <c r="F296" t="str">
        <f t="shared" si="4"/>
        <v>Non-Preferred</v>
      </c>
      <c r="G296" s="1" cm="1">
        <f t="array" ref="G296">FuzzyPercent(D296,E296,2)</f>
        <v>0.36734694242477417</v>
      </c>
      <c r="H296" t="str" cm="1">
        <f t="array" ref="H296">IF(F296="Non-PDL","",IF(FuzzyPercent(D296,E296,2)&lt;0.4,"CHECK",""))</f>
        <v>CHECK</v>
      </c>
    </row>
    <row r="297" spans="1:8" x14ac:dyDescent="0.2">
      <c r="A297" t="s">
        <v>590</v>
      </c>
      <c r="B297" t="s">
        <v>0</v>
      </c>
      <c r="D297" t="s">
        <v>2413</v>
      </c>
      <c r="E297" t="str" cm="1">
        <f t="array" ref="E297">IF(COUNTIF(A:A, "*" &amp; LEFT(D297, FIND(" ", D297 &amp; " ") - 1) &amp; "*") &gt; 0,INDEX(A:A,FuzzyVLookup(D297,A:A,0,,,2)),"Non-PDL")</f>
        <v>GRALISE (gabapentin)</v>
      </c>
      <c r="F297" t="str">
        <f t="shared" si="4"/>
        <v>Non-Preferred</v>
      </c>
      <c r="G297" s="1" cm="1">
        <f t="array" ref="G297">FuzzyPercent(D297,E297,2)</f>
        <v>0.32727271318435669</v>
      </c>
      <c r="H297" t="str" cm="1">
        <f t="array" ref="H297">IF(F297="Non-PDL","",IF(FuzzyPercent(D297,E297,2)&lt;0.4,"CHECK",""))</f>
        <v>CHECK</v>
      </c>
    </row>
    <row r="298" spans="1:8" x14ac:dyDescent="0.2">
      <c r="A298" t="s">
        <v>592</v>
      </c>
      <c r="B298" t="s">
        <v>0</v>
      </c>
      <c r="D298" t="s">
        <v>2414</v>
      </c>
      <c r="E298" t="str" cm="1">
        <f t="array" ref="E298">IF(COUNTIF(A:A, "*" &amp; LEFT(D298, FIND(" ", D298 &amp; " ") - 1) &amp; "*") &gt; 0,INDEX(A:A,FuzzyVLookup(D298,A:A,0,,,2)),"Non-PDL")</f>
        <v>GRASTEK</v>
      </c>
      <c r="F298" t="str">
        <f t="shared" si="4"/>
        <v>Non-Preferred</v>
      </c>
      <c r="G298" s="1" cm="1">
        <f t="array" ref="G298">FuzzyPercent(D298,E298,2)</f>
        <v>1</v>
      </c>
      <c r="H298" t="str" cm="1">
        <f t="array" ref="H298">IF(F298="Non-PDL","",IF(FuzzyPercent(D298,E298,2)&lt;0.4,"CHECK",""))</f>
        <v/>
      </c>
    </row>
    <row r="299" spans="1:8" x14ac:dyDescent="0.2">
      <c r="A299" t="s">
        <v>594</v>
      </c>
      <c r="B299" t="s">
        <v>0</v>
      </c>
      <c r="D299" t="s">
        <v>2415</v>
      </c>
      <c r="E299" t="str" cm="1">
        <f t="array" ref="E299">IF(COUNTIF(A:A, "*" &amp; LEFT(D299, FIND(" ", D299 &amp; " ") - 1) &amp; "*") &gt; 0,INDEX(A:A,FuzzyVLookup(D299,A:A,0,,,2)),"Non-PDL")</f>
        <v>Non-PDL</v>
      </c>
      <c r="F299" t="str">
        <f t="shared" si="4"/>
        <v>Non-PDL</v>
      </c>
      <c r="G299" s="1" cm="1">
        <f t="array" ref="G299">FuzzyPercent(D299,E299,2)</f>
        <v>0</v>
      </c>
      <c r="H299" t="str" cm="1">
        <f t="array" ref="H299">IF(F299="Non-PDL","",IF(FuzzyPercent(D299,E299,2)&lt;0.4,"CHECK",""))</f>
        <v/>
      </c>
    </row>
    <row r="300" spans="1:8" x14ac:dyDescent="0.2">
      <c r="A300" t="s">
        <v>596</v>
      </c>
      <c r="B300" t="s">
        <v>0</v>
      </c>
      <c r="D300" t="s">
        <v>2416</v>
      </c>
      <c r="E300" t="str" cm="1">
        <f t="array" ref="E300">IF(COUNTIF(A:A, "*" &amp; LEFT(D300, FIND(" ", D300 &amp; " ") - 1) &amp; "*") &gt; 0,INDEX(A:A,FuzzyVLookup(D300,A:A,0,,,2)),"Non-PDL")</f>
        <v>HADLIMA (adalimumab-bwwd)</v>
      </c>
      <c r="F300" t="str">
        <f t="shared" si="4"/>
        <v>Non-Preferred</v>
      </c>
      <c r="G300" s="1" cm="1">
        <f t="array" ref="G300">FuzzyPercent(D300,E300,2)</f>
        <v>0.25352111458778381</v>
      </c>
      <c r="H300" t="str" cm="1">
        <f t="array" ref="H300">IF(F300="Non-PDL","",IF(FuzzyPercent(D300,E300,2)&lt;0.4,"CHECK",""))</f>
        <v>CHECK</v>
      </c>
    </row>
    <row r="301" spans="1:8" x14ac:dyDescent="0.2">
      <c r="A301" t="s">
        <v>598</v>
      </c>
      <c r="B301" t="s">
        <v>0</v>
      </c>
      <c r="D301" t="s">
        <v>2417</v>
      </c>
      <c r="E301" t="str" cm="1">
        <f t="array" ref="E301">IF(COUNTIF(A:A, "*" &amp; LEFT(D301, FIND(" ", D301 &amp; " ") - 1) &amp; "*") &gt; 0,INDEX(A:A,FuzzyVLookup(D301,A:A,0,,,2)),"Non-PDL")</f>
        <v>VONVENDI</v>
      </c>
      <c r="F301" t="str">
        <f t="shared" si="4"/>
        <v>Non-Preferred</v>
      </c>
      <c r="G301" s="1" cm="1">
        <f t="array" ref="G301">FuzzyPercent(D301,E301,2)</f>
        <v>0.190476194024086</v>
      </c>
      <c r="H301" t="str" cm="1">
        <f t="array" ref="H301">IF(F301="Non-PDL","",IF(FuzzyPercent(D301,E301,2)&lt;0.4,"CHECK",""))</f>
        <v>CHECK</v>
      </c>
    </row>
    <row r="302" spans="1:8" x14ac:dyDescent="0.2">
      <c r="A302" t="s">
        <v>600</v>
      </c>
      <c r="B302" t="s">
        <v>0</v>
      </c>
      <c r="D302" t="s">
        <v>2418</v>
      </c>
      <c r="E302" t="str" cm="1">
        <f t="array" ref="E302">IF(COUNTIF(A:A, "*" &amp; LEFT(D302, FIND(" ", D302 &amp; " ") - 1) &amp; "*") &gt; 0,INDEX(A:A,FuzzyVLookup(D302,A:A,0,,,2)),"Non-PDL")</f>
        <v>Non-PDL</v>
      </c>
      <c r="F302" t="str">
        <f t="shared" si="4"/>
        <v>Non-PDL</v>
      </c>
      <c r="G302" s="1" cm="1">
        <f t="array" ref="G302">FuzzyPercent(D302,E302,2)</f>
        <v>0</v>
      </c>
      <c r="H302" t="str" cm="1">
        <f t="array" ref="H302">IF(F302="Non-PDL","",IF(FuzzyPercent(D302,E302,2)&lt;0.4,"CHECK",""))</f>
        <v/>
      </c>
    </row>
    <row r="303" spans="1:8" x14ac:dyDescent="0.2">
      <c r="A303" t="s">
        <v>602</v>
      </c>
      <c r="B303" t="s">
        <v>0</v>
      </c>
      <c r="D303" t="s">
        <v>2419</v>
      </c>
      <c r="E303" t="str" cm="1">
        <f t="array" ref="E303">IF(COUNTIF(A:A, "*" &amp; LEFT(D303, FIND(" ", D303 &amp; " ") - 1) &amp; "*") &gt; 0,INDEX(A:A,FuzzyVLookup(D303,A:A,0,,,2)),"Non-PDL")</f>
        <v>HEMANGEOL (propranolol)</v>
      </c>
      <c r="F303" t="str">
        <f t="shared" si="4"/>
        <v>Preferred</v>
      </c>
      <c r="G303" s="1" cm="1">
        <f t="array" ref="G303">FuzzyPercent(D303,E303,2)</f>
        <v>0.41791045665740967</v>
      </c>
      <c r="H303" t="str" cm="1">
        <f t="array" ref="H303">IF(F303="Non-PDL","",IF(FuzzyPercent(D303,E303,2)&lt;0.4,"CHECK",""))</f>
        <v/>
      </c>
    </row>
    <row r="304" spans="1:8" x14ac:dyDescent="0.2">
      <c r="A304" t="s">
        <v>604</v>
      </c>
      <c r="B304" t="s">
        <v>0</v>
      </c>
      <c r="D304" t="s">
        <v>2420</v>
      </c>
      <c r="E304" t="str" cm="1">
        <f t="array" ref="E304">IF(COUNTIF(A:A, "*" &amp; LEFT(D304, FIND(" ", D304 &amp; " ") - 1) &amp; "*") &gt; 0,INDEX(A:A,FuzzyVLookup(D304,A:A,0,,,2)),"Non-PDL")</f>
        <v>Non-PDL</v>
      </c>
      <c r="F304" t="str">
        <f t="shared" si="4"/>
        <v>Non-PDL</v>
      </c>
      <c r="G304" s="1" cm="1">
        <f t="array" ref="G304">FuzzyPercent(D304,E304,2)</f>
        <v>0</v>
      </c>
      <c r="H304" t="str" cm="1">
        <f t="array" ref="H304">IF(F304="Non-PDL","",IF(FuzzyPercent(D304,E304,2)&lt;0.4,"CHECK",""))</f>
        <v/>
      </c>
    </row>
    <row r="305" spans="1:8" x14ac:dyDescent="0.2">
      <c r="A305" t="s">
        <v>606</v>
      </c>
      <c r="B305" t="s">
        <v>0</v>
      </c>
      <c r="D305" t="s">
        <v>2421</v>
      </c>
      <c r="E305" t="str" cm="1">
        <f t="array" ref="E305">IF(COUNTIF(A:A, "*" &amp; LEFT(D305, FIND(" ", D305 &amp; " ") - 1) &amp; "*") &gt; 0,INDEX(A:A,FuzzyVLookup(D305,A:A,0,,,2)),"Non-PDL")</f>
        <v>HEMLIBRA (emicizumab-kxwh) DUR+</v>
      </c>
      <c r="F305" t="str">
        <f t="shared" si="4"/>
        <v>Preferred</v>
      </c>
      <c r="G305" s="1" cm="1">
        <f t="array" ref="G305">FuzzyPercent(D305,E305,2)</f>
        <v>0.25531914830207825</v>
      </c>
      <c r="H305" t="str" cm="1">
        <f t="array" ref="H305">IF(F305="Non-PDL","",IF(FuzzyPercent(D305,E305,2)&lt;0.4,"CHECK",""))</f>
        <v>CHECK</v>
      </c>
    </row>
    <row r="306" spans="1:8" x14ac:dyDescent="0.2">
      <c r="A306" t="s">
        <v>608</v>
      </c>
      <c r="B306" t="s">
        <v>0</v>
      </c>
      <c r="D306" t="s">
        <v>2422</v>
      </c>
      <c r="E306" t="str" cm="1">
        <f t="array" ref="E306">IF(COUNTIF(A:A, "*" &amp; LEFT(D306, FIND(" ", D306 &amp; " ") - 1) &amp; "*") &gt; 0,INDEX(A:A,FuzzyVLookup(D306,A:A,0,,,2)),"Non-PDL")</f>
        <v>Non-PDL</v>
      </c>
      <c r="F306" t="str">
        <f t="shared" si="4"/>
        <v>Non-PDL</v>
      </c>
      <c r="G306" s="1" cm="1">
        <f t="array" ref="G306">FuzzyPercent(D306,E306,2)</f>
        <v>0</v>
      </c>
      <c r="H306" t="str" cm="1">
        <f t="array" ref="H306">IF(F306="Non-PDL","",IF(FuzzyPercent(D306,E306,2)&lt;0.4,"CHECK",""))</f>
        <v/>
      </c>
    </row>
    <row r="307" spans="1:8" x14ac:dyDescent="0.2">
      <c r="A307" t="s">
        <v>610</v>
      </c>
      <c r="B307" t="s">
        <v>0</v>
      </c>
      <c r="D307" t="s">
        <v>2423</v>
      </c>
      <c r="E307" t="str" cm="1">
        <f t="array" ref="E307">IF(COUNTIF(A:A, "*" &amp; LEFT(D307, FIND(" ", D307 &amp; " ") - 1) &amp; "*") &gt; 0,INDEX(A:A,FuzzyVLookup(D307,A:A,0,,,2)),"Non-PDL")</f>
        <v>Non-PDL</v>
      </c>
      <c r="F307" t="str">
        <f t="shared" si="4"/>
        <v>Non-PDL</v>
      </c>
      <c r="G307" s="1" cm="1">
        <f t="array" ref="G307">FuzzyPercent(D307,E307,2)</f>
        <v>0</v>
      </c>
      <c r="H307" t="str" cm="1">
        <f t="array" ref="H307">IF(F307="Non-PDL","",IF(FuzzyPercent(D307,E307,2)&lt;0.4,"CHECK",""))</f>
        <v/>
      </c>
    </row>
    <row r="308" spans="1:8" x14ac:dyDescent="0.2">
      <c r="A308" t="s">
        <v>612</v>
      </c>
      <c r="B308" t="s">
        <v>0</v>
      </c>
      <c r="D308" t="s">
        <v>2424</v>
      </c>
      <c r="E308" t="str" cm="1">
        <f t="array" ref="E308">IF(COUNTIF(A:A, "*" &amp; LEFT(D308, FIND(" ", D308 &amp; " ") - 1) &amp; "*") &gt; 0,INDEX(A:A,FuzzyVLookup(D308,A:A,0,,,2)),"Non-PDL")</f>
        <v>HORIZANT (gabapentin enacarbil)</v>
      </c>
      <c r="F308" t="str">
        <f t="shared" si="4"/>
        <v>Non-Preferred</v>
      </c>
      <c r="G308" s="1" cm="1">
        <f t="array" ref="G308">FuzzyPercent(D308,E308,2)</f>
        <v>0.25531914830207825</v>
      </c>
      <c r="H308" t="str" cm="1">
        <f t="array" ref="H308">IF(F308="Non-PDL","",IF(FuzzyPercent(D308,E308,2)&lt;0.4,"CHECK",""))</f>
        <v>CHECK</v>
      </c>
    </row>
    <row r="309" spans="1:8" x14ac:dyDescent="0.2">
      <c r="A309" t="s">
        <v>614</v>
      </c>
      <c r="B309" t="s">
        <v>0</v>
      </c>
      <c r="D309" t="s">
        <v>2425</v>
      </c>
      <c r="E309" t="str" cm="1">
        <f t="array" ref="E309">IF(COUNTIF(A:A, "*" &amp; LEFT(D309, FIND(" ", D309 &amp; " ") - 1) &amp; "*") &gt; 0,INDEX(A:A,FuzzyVLookup(D309,A:A,0,,,2)),"Non-PDL")</f>
        <v>HULIO (adalimumab-fkjp)</v>
      </c>
      <c r="F309" t="str">
        <f t="shared" si="4"/>
        <v>Non-Preferred</v>
      </c>
      <c r="G309" s="1" cm="1">
        <f t="array" ref="G309">FuzzyPercent(D309,E309,2)</f>
        <v>0.22857142984867096</v>
      </c>
      <c r="H309" t="str" cm="1">
        <f t="array" ref="H309">IF(F309="Non-PDL","",IF(FuzzyPercent(D309,E309,2)&lt;0.4,"CHECK",""))</f>
        <v>CHECK</v>
      </c>
    </row>
    <row r="310" spans="1:8" x14ac:dyDescent="0.2">
      <c r="A310" t="s">
        <v>616</v>
      </c>
      <c r="B310" t="s">
        <v>0</v>
      </c>
      <c r="D310" t="s">
        <v>2426</v>
      </c>
      <c r="E310" t="str" cm="1">
        <f t="array" ref="E310">IF(COUNTIF(A:A, "*" &amp; LEFT(D310, FIND(" ", D310 &amp; " ") - 1) &amp; "*") &gt; 0,INDEX(A:A,FuzzyVLookup(D310,A:A,0,,,2)),"Non-PDL")</f>
        <v>HUMALOG (insulin lispro)</v>
      </c>
      <c r="F310" t="str">
        <f t="shared" si="4"/>
        <v>Non-Preferred</v>
      </c>
      <c r="G310" s="1" cm="1">
        <f t="array" ref="G310">FuzzyPercent(D310,E310,2)</f>
        <v>0.28915661573410034</v>
      </c>
      <c r="H310" t="str" cm="1">
        <f t="array" ref="H310">IF(F310="Non-PDL","",IF(FuzzyPercent(D310,E310,2)&lt;0.4,"CHECK",""))</f>
        <v>CHECK</v>
      </c>
    </row>
    <row r="311" spans="1:8" x14ac:dyDescent="0.2">
      <c r="A311" t="s">
        <v>618</v>
      </c>
      <c r="B311" t="s">
        <v>0</v>
      </c>
      <c r="D311" t="s">
        <v>2427</v>
      </c>
      <c r="E311" t="str" cm="1">
        <f t="array" ref="E311">IF(COUNTIF(A:A, "*" &amp; LEFT(D311, FIND(" ", D311 &amp; " ") - 1) &amp; "*") &gt; 0,INDEX(A:A,FuzzyVLookup(D311,A:A,0,,,2)),"Non-PDL")</f>
        <v>HUMALOG JUNIOR, KWIKPEN, TEMPO PEN (insulin lispro)</v>
      </c>
      <c r="F311" t="str">
        <f t="shared" si="4"/>
        <v>Non-Preferred</v>
      </c>
      <c r="G311" s="1" cm="1">
        <f t="array" ref="G311">FuzzyPercent(D311,E311,2)</f>
        <v>0.33018869161605835</v>
      </c>
      <c r="H311" t="str" cm="1">
        <f t="array" ref="H311">IF(F311="Non-PDL","",IF(FuzzyPercent(D311,E311,2)&lt;0.4,"CHECK",""))</f>
        <v>CHECK</v>
      </c>
    </row>
    <row r="312" spans="1:8" x14ac:dyDescent="0.2">
      <c r="A312" t="s">
        <v>620</v>
      </c>
      <c r="B312" t="s">
        <v>0</v>
      </c>
      <c r="D312" t="s">
        <v>2428</v>
      </c>
      <c r="E312" t="str" cm="1">
        <f t="array" ref="E312">IF(COUNTIF(A:A, "*" &amp; LEFT(D312, FIND(" ", D312 &amp; " ") - 1) &amp; "*") &gt; 0,INDEX(A:A,FuzzyVLookup(D312,A:A,0,,,2)),"Non-PDL")</f>
        <v>HUMALOG JUNIOR, KWIKPEN, TEMPO PEN (insulin lispro)</v>
      </c>
      <c r="F312" t="str">
        <f t="shared" si="4"/>
        <v>Non-Preferred</v>
      </c>
      <c r="G312" s="1" cm="1">
        <f t="array" ref="G312">FuzzyPercent(D312,E312,2)</f>
        <v>0.22641509771347046</v>
      </c>
      <c r="H312" t="str" cm="1">
        <f t="array" ref="H312">IF(F312="Non-PDL","",IF(FuzzyPercent(D312,E312,2)&lt;0.4,"CHECK",""))</f>
        <v>CHECK</v>
      </c>
    </row>
    <row r="313" spans="1:8" x14ac:dyDescent="0.2">
      <c r="A313" t="s">
        <v>622</v>
      </c>
      <c r="B313" t="s">
        <v>0</v>
      </c>
      <c r="D313" t="s">
        <v>2429</v>
      </c>
      <c r="E313" t="str" cm="1">
        <f t="array" ref="E313">IF(COUNTIF(A:A, "*" &amp; LEFT(D313, FIND(" ", D313 &amp; " ") - 1) &amp; "*") &gt; 0,INDEX(A:A,FuzzyVLookup(D313,A:A,0,,,2)),"Non-PDL")</f>
        <v>HUMATROPE (somatropin)</v>
      </c>
      <c r="F313" t="str">
        <f t="shared" si="4"/>
        <v>Non-Preferred</v>
      </c>
      <c r="G313" s="1" cm="1">
        <f t="array" ref="G313">FuzzyPercent(D313,E313,2)</f>
        <v>0.42424243688583374</v>
      </c>
      <c r="H313" t="str" cm="1">
        <f t="array" ref="H313">IF(F313="Non-PDL","",IF(FuzzyPercent(D313,E313,2)&lt;0.4,"CHECK",""))</f>
        <v/>
      </c>
    </row>
    <row r="314" spans="1:8" x14ac:dyDescent="0.2">
      <c r="A314" t="s">
        <v>624</v>
      </c>
      <c r="B314" t="s">
        <v>0</v>
      </c>
      <c r="D314" t="s">
        <v>2430</v>
      </c>
      <c r="E314" t="str" cm="1">
        <f t="array" ref="E314">IF(COUNTIF(A:A, "*" &amp; LEFT(D314, FIND(" ", D314 &amp; " ") - 1) &amp; "*") &gt; 0,INDEX(A:A,FuzzyVLookup(D314,A:A,0,,,2)),"Non-PDL")</f>
        <v>HUMIRA (adalimumab)</v>
      </c>
      <c r="F314" t="str">
        <f t="shared" si="4"/>
        <v>Preferred</v>
      </c>
      <c r="G314" s="1" cm="1">
        <f t="array" ref="G314">FuzzyPercent(D314,E314,2)</f>
        <v>0.14516128599643707</v>
      </c>
      <c r="H314" t="str" cm="1">
        <f t="array" ref="H314">IF(F314="Non-PDL","",IF(FuzzyPercent(D314,E314,2)&lt;0.4,"CHECK",""))</f>
        <v>CHECK</v>
      </c>
    </row>
    <row r="315" spans="1:8" x14ac:dyDescent="0.2">
      <c r="A315" t="s">
        <v>626</v>
      </c>
      <c r="B315" t="s">
        <v>0</v>
      </c>
      <c r="D315" t="s">
        <v>2431</v>
      </c>
      <c r="E315" t="str" cm="1">
        <f t="array" ref="E315">IF(COUNTIF(A:A, "*" &amp; LEFT(D315, FIND(" ", D315 &amp; " ") - 1) &amp; "*") &gt; 0,INDEX(A:A,FuzzyVLookup(D315,A:A,0,,,2)),"Non-PDL")</f>
        <v>HUMIRA (adalimumab)</v>
      </c>
      <c r="F315" t="str">
        <f t="shared" si="4"/>
        <v>Preferred</v>
      </c>
      <c r="G315" s="1" cm="1">
        <f t="array" ref="G315">FuzzyPercent(D315,E315,2)</f>
        <v>0.26760563254356384</v>
      </c>
      <c r="H315" t="str" cm="1">
        <f t="array" ref="H315">IF(F315="Non-PDL","",IF(FuzzyPercent(D315,E315,2)&lt;0.4,"CHECK",""))</f>
        <v>CHECK</v>
      </c>
    </row>
    <row r="316" spans="1:8" x14ac:dyDescent="0.2">
      <c r="A316" t="s">
        <v>628</v>
      </c>
      <c r="B316" t="s">
        <v>0</v>
      </c>
      <c r="D316" t="s">
        <v>2432</v>
      </c>
      <c r="E316" t="str" cm="1">
        <f t="array" ref="E316">IF(COUNTIF(A:A, "*" &amp; LEFT(D316, FIND(" ", D316 &amp; " ") - 1) &amp; "*") &gt; 0,INDEX(A:A,FuzzyVLookup(D316,A:A,0,,,2)),"Non-PDL")</f>
        <v>Non-PDL</v>
      </c>
      <c r="F316" t="str">
        <f t="shared" si="4"/>
        <v>Non-PDL</v>
      </c>
      <c r="G316" s="1" cm="1">
        <f t="array" ref="G316">FuzzyPercent(D316,E316,2)</f>
        <v>0</v>
      </c>
      <c r="H316" t="str" cm="1">
        <f t="array" ref="H316">IF(F316="Non-PDL","",IF(FuzzyPercent(D316,E316,2)&lt;0.4,"CHECK",""))</f>
        <v/>
      </c>
    </row>
    <row r="317" spans="1:8" x14ac:dyDescent="0.2">
      <c r="A317" t="s">
        <v>630</v>
      </c>
      <c r="B317" t="s">
        <v>0</v>
      </c>
      <c r="D317" t="s">
        <v>2433</v>
      </c>
      <c r="E317" t="str" cm="1">
        <f t="array" ref="E317">IF(COUNTIF(A:A, "*" &amp; LEFT(D317, FIND(" ", D317 &amp; " ") - 1) &amp; "*") &gt; 0,INDEX(A:A,FuzzyVLookup(D317,A:A,0,,,2)),"Non-PDL")</f>
        <v>Non-PDL</v>
      </c>
      <c r="F317" t="str">
        <f t="shared" si="4"/>
        <v>Non-PDL</v>
      </c>
      <c r="G317" s="1" cm="1">
        <f t="array" ref="G317">FuzzyPercent(D317,E317,2)</f>
        <v>0</v>
      </c>
      <c r="H317" t="str" cm="1">
        <f t="array" ref="H317">IF(F317="Non-PDL","",IF(FuzzyPercent(D317,E317,2)&lt;0.4,"CHECK",""))</f>
        <v/>
      </c>
    </row>
    <row r="318" spans="1:8" x14ac:dyDescent="0.2">
      <c r="A318" t="s">
        <v>632</v>
      </c>
      <c r="B318" t="s">
        <v>0</v>
      </c>
      <c r="D318" t="s">
        <v>2434</v>
      </c>
      <c r="E318" t="str" cm="1">
        <f t="array" ref="E318">IF(COUNTIF(A:A, "*" &amp; LEFT(D318, FIND(" ", D318 &amp; " ") - 1) &amp; "*") &gt; 0,INDEX(A:A,FuzzyVLookup(D318,A:A,0,,,2)),"Non-PDL")</f>
        <v>HYRIMOZ (adalimumab-adaz)</v>
      </c>
      <c r="F318" t="str">
        <f t="shared" si="4"/>
        <v>Non-Preferred</v>
      </c>
      <c r="G318" s="1" cm="1">
        <f t="array" ref="G318">FuzzyPercent(D318,E318,2)</f>
        <v>0.27906978130340576</v>
      </c>
      <c r="H318" t="str" cm="1">
        <f t="array" ref="H318">IF(F318="Non-PDL","",IF(FuzzyPercent(D318,E318,2)&lt;0.4,"CHECK",""))</f>
        <v>CHECK</v>
      </c>
    </row>
    <row r="319" spans="1:8" x14ac:dyDescent="0.2">
      <c r="A319" t="s">
        <v>634</v>
      </c>
      <c r="B319" t="s">
        <v>0</v>
      </c>
      <c r="D319" t="s">
        <v>2435</v>
      </c>
      <c r="E319" t="str" cm="1">
        <f t="array" ref="E319">IF(COUNTIF(A:A, "*" &amp; LEFT(D319, FIND(" ", D319 &amp; " ") - 1) &amp; "*") &gt; 0,INDEX(A:A,FuzzyVLookup(D319,A:A,0,,,2)),"Non-PDL")</f>
        <v>HYRIMOZ (adalimumab-adaz)</v>
      </c>
      <c r="F319" t="str">
        <f t="shared" si="4"/>
        <v>Non-Preferred</v>
      </c>
      <c r="G319" s="1" cm="1">
        <f t="array" ref="G319">FuzzyPercent(D319,E319,2)</f>
        <v>0.25352111458778381</v>
      </c>
      <c r="H319" t="str" cm="1">
        <f t="array" ref="H319">IF(F319="Non-PDL","",IF(FuzzyPercent(D319,E319,2)&lt;0.4,"CHECK",""))</f>
        <v>CHECK</v>
      </c>
    </row>
    <row r="320" spans="1:8" x14ac:dyDescent="0.2">
      <c r="A320" t="s">
        <v>636</v>
      </c>
      <c r="B320" t="s">
        <v>0</v>
      </c>
      <c r="D320" t="s">
        <v>2436</v>
      </c>
      <c r="E320" t="str" cm="1">
        <f t="array" ref="E320">IF(COUNTIF(A:A, "*" &amp; LEFT(D320, FIND(" ", D320 &amp; " ") - 1) &amp; "*") &gt; 0,INDEX(A:A,FuzzyVLookup(D320,A:A,0,,,2)),"Non-PDL")</f>
        <v>IBRANCE (palbociclib)</v>
      </c>
      <c r="F320" t="str">
        <f t="shared" si="4"/>
        <v>Non-Preferred</v>
      </c>
      <c r="G320" s="1" cm="1">
        <f t="array" ref="G320">FuzzyPercent(D320,E320,2)</f>
        <v>0.31034481525421143</v>
      </c>
      <c r="H320" t="str" cm="1">
        <f t="array" ref="H320">IF(F320="Non-PDL","",IF(FuzzyPercent(D320,E320,2)&lt;0.4,"CHECK",""))</f>
        <v>CHECK</v>
      </c>
    </row>
    <row r="321" spans="1:8" x14ac:dyDescent="0.2">
      <c r="A321" t="s">
        <v>638</v>
      </c>
      <c r="B321" t="s">
        <v>0</v>
      </c>
      <c r="D321" t="s">
        <v>2437</v>
      </c>
      <c r="E321" t="str" cm="1">
        <f t="array" ref="E321">IF(COUNTIF(A:A, "*" &amp; LEFT(D321, FIND(" ", D321 &amp; " ") - 1) &amp; "*") &gt; 0,INDEX(A:A,FuzzyVLookup(D321,A:A,0,,,2)),"Non-PDL")</f>
        <v>ICLUSIG (ponatinib)</v>
      </c>
      <c r="F321" t="str">
        <f t="shared" si="4"/>
        <v>Preferred</v>
      </c>
      <c r="G321" s="1" cm="1">
        <f t="array" ref="G321">FuzzyPercent(D321,E321,2)</f>
        <v>0.36000001430511475</v>
      </c>
      <c r="H321" t="str" cm="1">
        <f t="array" ref="H321">IF(F321="Non-PDL","",IF(FuzzyPercent(D321,E321,2)&lt;0.4,"CHECK",""))</f>
        <v>CHECK</v>
      </c>
    </row>
    <row r="322" spans="1:8" x14ac:dyDescent="0.2">
      <c r="A322" t="s">
        <v>640</v>
      </c>
      <c r="B322" t="s">
        <v>0</v>
      </c>
      <c r="D322" t="s">
        <v>2438</v>
      </c>
      <c r="E322" t="str" cm="1">
        <f t="array" ref="E322">IF(COUNTIF(A:A, "*" &amp; LEFT(D322, FIND(" ", D322 &amp; " ") - 1) &amp; "*") &gt; 0,INDEX(A:A,FuzzyVLookup(D322,A:A,0,,,2)),"Non-PDL")</f>
        <v>IDACIO (adalimumab-aacf)</v>
      </c>
      <c r="F322" t="str">
        <f t="shared" si="4"/>
        <v>Non-Preferred</v>
      </c>
      <c r="G322" s="1" cm="1">
        <f t="array" ref="G322">FuzzyPercent(D322,E322,2)</f>
        <v>0.23529411852359772</v>
      </c>
      <c r="H322" t="str" cm="1">
        <f t="array" ref="H322">IF(F322="Non-PDL","",IF(FuzzyPercent(D322,E322,2)&lt;0.4,"CHECK",""))</f>
        <v>CHECK</v>
      </c>
    </row>
    <row r="323" spans="1:8" x14ac:dyDescent="0.2">
      <c r="A323" t="s">
        <v>642</v>
      </c>
      <c r="B323" t="s">
        <v>0</v>
      </c>
      <c r="D323" t="s">
        <v>2439</v>
      </c>
      <c r="E323" t="str" cm="1">
        <f t="array" ref="E323">IF(COUNTIF(A:A, "*" &amp; LEFT(D323, FIND(" ", D323 &amp; " ") - 1) &amp; "*") &gt; 0,INDEX(A:A,FuzzyVLookup(D323,A:A,0,,,2)),"Non-PDL")</f>
        <v>IDELVION</v>
      </c>
      <c r="F323" t="str">
        <f t="shared" ref="F323:F386" si="5">_xlfn.IFNA(_xlfn.XLOOKUP(E323,A:A,B:B),"Non-PDL")</f>
        <v>Preferred</v>
      </c>
      <c r="G323" s="1" cm="1">
        <f t="array" ref="G323">FuzzyPercent(D323,E323,2)</f>
        <v>1</v>
      </c>
      <c r="H323" t="str" cm="1">
        <f t="array" ref="H323">IF(F323="Non-PDL","",IF(FuzzyPercent(D323,E323,2)&lt;0.4,"CHECK",""))</f>
        <v/>
      </c>
    </row>
    <row r="324" spans="1:8" x14ac:dyDescent="0.2">
      <c r="A324" t="s">
        <v>644</v>
      </c>
      <c r="B324" t="s">
        <v>0</v>
      </c>
      <c r="D324" t="s">
        <v>2440</v>
      </c>
      <c r="E324" t="str" cm="1">
        <f t="array" ref="E324">IF(COUNTIF(A:A, "*" &amp; LEFT(D324, FIND(" ", D324 &amp; " ") - 1) &amp; "*") &gt; 0,INDEX(A:A,FuzzyVLookup(D324,A:A,0,,,2)),"Non-PDL")</f>
        <v>Non-PDL</v>
      </c>
      <c r="F324" t="str">
        <f t="shared" si="5"/>
        <v>Non-PDL</v>
      </c>
      <c r="G324" s="1" cm="1">
        <f t="array" ref="G324">FuzzyPercent(D324,E324,2)</f>
        <v>0</v>
      </c>
      <c r="H324" t="str" cm="1">
        <f t="array" ref="H324">IF(F324="Non-PDL","",IF(FuzzyPercent(D324,E324,2)&lt;0.4,"CHECK",""))</f>
        <v/>
      </c>
    </row>
    <row r="325" spans="1:8" x14ac:dyDescent="0.2">
      <c r="A325" t="s">
        <v>646</v>
      </c>
      <c r="B325" t="s">
        <v>0</v>
      </c>
      <c r="D325" t="s">
        <v>2441</v>
      </c>
      <c r="E325" t="str" cm="1">
        <f t="array" ref="E325">IF(COUNTIF(A:A, "*" &amp; LEFT(D325, FIND(" ", D325 &amp; " ") - 1) &amp; "*") &gt; 0,INDEX(A:A,FuzzyVLookup(D325,A:A,0,,,2)),"Non-PDL")</f>
        <v>ILARIS (canakinumab)</v>
      </c>
      <c r="F325" t="str">
        <f t="shared" si="5"/>
        <v>Non-Preferred</v>
      </c>
      <c r="G325" s="1" cm="1">
        <f t="array" ref="G325">FuzzyPercent(D325,E325,2)</f>
        <v>0.29629629850387573</v>
      </c>
      <c r="H325" t="str" cm="1">
        <f t="array" ref="H325">IF(F325="Non-PDL","",IF(FuzzyPercent(D325,E325,2)&lt;0.4,"CHECK",""))</f>
        <v>CHECK</v>
      </c>
    </row>
    <row r="326" spans="1:8" x14ac:dyDescent="0.2">
      <c r="A326" t="s">
        <v>648</v>
      </c>
      <c r="B326" t="s">
        <v>0</v>
      </c>
      <c r="D326" t="s">
        <v>2442</v>
      </c>
      <c r="E326" t="str" cm="1">
        <f t="array" ref="E326">IF(COUNTIF(A:A, "*" &amp; LEFT(D326, FIND(" ", D326 &amp; " ") - 1) &amp; "*") &gt; 0,INDEX(A:A,FuzzyVLookup(D326,A:A,0,,,2)),"Non-PDL")</f>
        <v>paroxetine suspension, capsule</v>
      </c>
      <c r="F326" t="str">
        <f t="shared" si="5"/>
        <v>Non-Preferred</v>
      </c>
      <c r="G326" s="1" cm="1">
        <f t="array" ref="G326">FuzzyPercent(D326,E326,2)</f>
        <v>0.20779220759868622</v>
      </c>
      <c r="H326" t="str" cm="1">
        <f t="array" ref="H326">IF(F326="Non-PDL","",IF(FuzzyPercent(D326,E326,2)&lt;0.4,"CHECK",""))</f>
        <v>CHECK</v>
      </c>
    </row>
    <row r="327" spans="1:8" x14ac:dyDescent="0.2">
      <c r="A327" t="s">
        <v>650</v>
      </c>
      <c r="B327" t="s">
        <v>0</v>
      </c>
      <c r="D327" t="s">
        <v>2443</v>
      </c>
      <c r="E327" t="str" cm="1">
        <f t="array" ref="E327">IF(COUNTIF(A:A, "*" &amp; LEFT(D327, FIND(" ", D327 &amp; " ") - 1) &amp; "*") &gt; 0,INDEX(A:A,FuzzyVLookup(D327,A:A,0,,,2)),"Non-PDL")</f>
        <v>imatinib</v>
      </c>
      <c r="F327" t="str">
        <f t="shared" si="5"/>
        <v>Preferred</v>
      </c>
      <c r="G327" s="1" cm="1">
        <f t="array" ref="G327">FuzzyPercent(D327,E327,2)</f>
        <v>1</v>
      </c>
      <c r="H327" t="str" cm="1">
        <f t="array" ref="H327">IF(F327="Non-PDL","",IF(FuzzyPercent(D327,E327,2)&lt;0.4,"CHECK",""))</f>
        <v/>
      </c>
    </row>
    <row r="328" spans="1:8" x14ac:dyDescent="0.2">
      <c r="A328" t="s">
        <v>652</v>
      </c>
      <c r="B328" t="s">
        <v>0</v>
      </c>
      <c r="D328" t="s">
        <v>2444</v>
      </c>
      <c r="E328" t="str" cm="1">
        <f t="array" ref="E328">IF(COUNTIF(A:A, "*" &amp; LEFT(D328, FIND(" ", D328 &amp; " ") - 1) &amp; "*") &gt; 0,INDEX(A:A,FuzzyVLookup(D328,A:A,0,,,2)),"Non-PDL")</f>
        <v>IMBRUVICA (ibrutinib)</v>
      </c>
      <c r="F328" t="str">
        <f t="shared" si="5"/>
        <v>Preferred</v>
      </c>
      <c r="G328" s="1" cm="1">
        <f t="array" ref="G328">FuzzyPercent(D328,E328,2)</f>
        <v>0.4444444477558136</v>
      </c>
      <c r="H328" t="str" cm="1">
        <f t="array" ref="H328">IF(F328="Non-PDL","",IF(FuzzyPercent(D328,E328,2)&lt;0.4,"CHECK",""))</f>
        <v/>
      </c>
    </row>
    <row r="329" spans="1:8" x14ac:dyDescent="0.2">
      <c r="A329" t="s">
        <v>654</v>
      </c>
      <c r="B329" t="s">
        <v>0</v>
      </c>
      <c r="D329" t="s">
        <v>2445</v>
      </c>
      <c r="E329" t="str" cm="1">
        <f t="array" ref="E329">IF(COUNTIF(A:A, "*" &amp; LEFT(D329, FIND(" ", D329 &amp; " ") - 1) &amp; "*") &gt; 0,INDEX(A:A,FuzzyVLookup(D329,A:A,0,,,2)),"Non-PDL")</f>
        <v>Non-PDL</v>
      </c>
      <c r="F329" t="str">
        <f t="shared" si="5"/>
        <v>Non-PDL</v>
      </c>
      <c r="G329" s="1" cm="1">
        <f t="array" ref="G329">FuzzyPercent(D329,E329,2)</f>
        <v>0</v>
      </c>
      <c r="H329" t="str" cm="1">
        <f t="array" ref="H329">IF(F329="Non-PDL","",IF(FuzzyPercent(D329,E329,2)&lt;0.4,"CHECK",""))</f>
        <v/>
      </c>
    </row>
    <row r="330" spans="1:8" x14ac:dyDescent="0.2">
      <c r="A330" t="s">
        <v>656</v>
      </c>
      <c r="B330" t="s">
        <v>0</v>
      </c>
      <c r="D330" t="s">
        <v>2446</v>
      </c>
      <c r="E330" t="str" cm="1">
        <f t="array" ref="E330">IF(COUNTIF(A:A, "*" &amp; LEFT(D330, FIND(" ", D330 &amp; " ") - 1) &amp; "*") &gt; 0,INDEX(A:A,FuzzyVLookup(D330,A:A,0,,,2)),"Non-PDL")</f>
        <v>Non-PDL</v>
      </c>
      <c r="F330" t="str">
        <f t="shared" si="5"/>
        <v>Non-PDL</v>
      </c>
      <c r="G330" s="1" cm="1">
        <f t="array" ref="G330">FuzzyPercent(D330,E330,2)</f>
        <v>0</v>
      </c>
      <c r="H330" t="str" cm="1">
        <f t="array" ref="H330">IF(F330="Non-PDL","",IF(FuzzyPercent(D330,E330,2)&lt;0.4,"CHECK",""))</f>
        <v/>
      </c>
    </row>
    <row r="331" spans="1:8" x14ac:dyDescent="0.2">
      <c r="A331" t="s">
        <v>658</v>
      </c>
      <c r="B331" t="s">
        <v>0</v>
      </c>
      <c r="D331" t="s">
        <v>2447</v>
      </c>
      <c r="E331" t="str" cm="1">
        <f t="array" ref="E331">IF(COUNTIF(A:A, "*" &amp; LEFT(D331, FIND(" ", D331 &amp; " ") - 1) &amp; "*") &gt; 0,INDEX(A:A,FuzzyVLookup(D331,A:A,0,,,2)),"Non-PDL")</f>
        <v>INGREZZA (valbenazine)</v>
      </c>
      <c r="F331" t="str">
        <f t="shared" si="5"/>
        <v>Preferred</v>
      </c>
      <c r="G331" s="1" cm="1">
        <f t="array" ref="G331">FuzzyPercent(D331,E331,2)</f>
        <v>0.375</v>
      </c>
      <c r="H331" t="str" cm="1">
        <f t="array" ref="H331">IF(F331="Non-PDL","",IF(FuzzyPercent(D331,E331,2)&lt;0.4,"CHECK",""))</f>
        <v>CHECK</v>
      </c>
    </row>
    <row r="332" spans="1:8" x14ac:dyDescent="0.2">
      <c r="A332" t="s">
        <v>660</v>
      </c>
      <c r="B332" t="s">
        <v>0</v>
      </c>
      <c r="D332" t="s">
        <v>2448</v>
      </c>
      <c r="E332" t="str" cm="1">
        <f t="array" ref="E332">IF(COUNTIF(A:A, "*" &amp; LEFT(D332, FIND(" ", D332 &amp; " ") - 1) &amp; "*") &gt; 0,INDEX(A:A,FuzzyVLookup(D332,A:A,0,,,2)),"Non-PDL")</f>
        <v>INGREZZA SPRINKLE (valbenazine)</v>
      </c>
      <c r="F332" t="str">
        <f t="shared" si="5"/>
        <v>Preferred</v>
      </c>
      <c r="G332" s="1" cm="1">
        <f t="array" ref="G332">FuzzyPercent(D332,E332,2)</f>
        <v>0.55555558204650879</v>
      </c>
      <c r="H332" t="str" cm="1">
        <f t="array" ref="H332">IF(F332="Non-PDL","",IF(FuzzyPercent(D332,E332,2)&lt;0.4,"CHECK",""))</f>
        <v/>
      </c>
    </row>
    <row r="333" spans="1:8" x14ac:dyDescent="0.2">
      <c r="A333" t="s">
        <v>662</v>
      </c>
      <c r="B333" t="s">
        <v>0</v>
      </c>
      <c r="D333" t="s">
        <v>2449</v>
      </c>
      <c r="E333" t="str" cm="1">
        <f t="array" ref="E333">IF(COUNTIF(A:A, "*" &amp; LEFT(D333, FIND(" ", D333 &amp; " ") - 1) &amp; "*") &gt; 0,INDEX(A:A,FuzzyVLookup(D333,A:A,0,,,2)),"Non-PDL")</f>
        <v>INGREZZA INITIATION PACK (valbenazine)</v>
      </c>
      <c r="F333" t="str">
        <f t="shared" si="5"/>
        <v>Non-Preferred</v>
      </c>
      <c r="G333" s="1" cm="1">
        <f t="array" ref="G333">FuzzyPercent(D333,E333,2)</f>
        <v>0.32919254899024963</v>
      </c>
      <c r="H333" t="str" cm="1">
        <f t="array" ref="H333">IF(F333="Non-PDL","",IF(FuzzyPercent(D333,E333,2)&lt;0.4,"CHECK",""))</f>
        <v>CHECK</v>
      </c>
    </row>
    <row r="334" spans="1:8" x14ac:dyDescent="0.2">
      <c r="A334" t="s">
        <v>664</v>
      </c>
      <c r="B334" t="s">
        <v>0</v>
      </c>
      <c r="D334" t="s">
        <v>2450</v>
      </c>
      <c r="E334" t="str" cm="1">
        <f t="array" ref="E334">IF(COUNTIF(A:A, "*" &amp; LEFT(D334, FIND(" ", D334 &amp; " ") - 1) &amp; "*") &gt; 0,INDEX(A:A,FuzzyVLookup(D334,A:A,0,,,2)),"Non-PDL")</f>
        <v>insulin glargine-yfgn</v>
      </c>
      <c r="F334" t="str">
        <f t="shared" si="5"/>
        <v>Non-Preferred</v>
      </c>
      <c r="G334" s="1" cm="1">
        <f t="array" ref="G334">FuzzyPercent(D334,E334,2)</f>
        <v>0.81927710771560669</v>
      </c>
      <c r="H334" t="str" cm="1">
        <f t="array" ref="H334">IF(F334="Non-PDL","",IF(FuzzyPercent(D334,E334,2)&lt;0.4,"CHECK",""))</f>
        <v/>
      </c>
    </row>
    <row r="335" spans="1:8" x14ac:dyDescent="0.2">
      <c r="A335" t="s">
        <v>665</v>
      </c>
      <c r="B335" t="s">
        <v>0</v>
      </c>
      <c r="D335" t="s">
        <v>2451</v>
      </c>
      <c r="E335" t="str" cm="1">
        <f t="array" ref="E335">IF(COUNTIF(A:A, "*" &amp; LEFT(D335, FIND(" ", D335 &amp; " ") - 1) &amp; "*") &gt; 0,INDEX(A:A,FuzzyVLookup(D335,A:A,0,,,2)),"Non-PDL")</f>
        <v>insulin lispro</v>
      </c>
      <c r="F335" t="str">
        <f t="shared" si="5"/>
        <v>Preferred</v>
      </c>
      <c r="G335" s="1" cm="1">
        <f t="array" ref="G335">FuzzyPercent(D335,E335,2)</f>
        <v>1</v>
      </c>
      <c r="H335" t="str" cm="1">
        <f t="array" ref="H335">IF(F335="Non-PDL","",IF(FuzzyPercent(D335,E335,2)&lt;0.4,"CHECK",""))</f>
        <v/>
      </c>
    </row>
    <row r="336" spans="1:8" x14ac:dyDescent="0.2">
      <c r="A336" t="s">
        <v>667</v>
      </c>
      <c r="B336" t="s">
        <v>0</v>
      </c>
      <c r="D336" t="s">
        <v>2452</v>
      </c>
      <c r="E336" t="str" cm="1">
        <f t="array" ref="E336">IF(COUNTIF(A:A, "*" &amp; LEFT(D336, FIND(" ", D336 &amp; " ") - 1) &amp; "*") &gt; 0,INDEX(A:A,FuzzyVLookup(D336,A:A,0,,,2)),"Non-PDL")</f>
        <v>INVEGA (paliperidone)</v>
      </c>
      <c r="F336" t="str">
        <f t="shared" si="5"/>
        <v>Non-Preferred</v>
      </c>
      <c r="G336" s="1" cm="1">
        <f t="array" ref="G336">FuzzyPercent(D336,E336,2)</f>
        <v>0.28571429848670959</v>
      </c>
      <c r="H336" t="str" cm="1">
        <f t="array" ref="H336">IF(F336="Non-PDL","",IF(FuzzyPercent(D336,E336,2)&lt;0.4,"CHECK",""))</f>
        <v>CHECK</v>
      </c>
    </row>
    <row r="337" spans="1:8" x14ac:dyDescent="0.2">
      <c r="A337" t="s">
        <v>668</v>
      </c>
      <c r="B337" t="s">
        <v>0</v>
      </c>
      <c r="D337" t="s">
        <v>2453</v>
      </c>
      <c r="E337" t="str" cm="1">
        <f t="array" ref="E337">IF(COUNTIF(A:A, "*" &amp; LEFT(D337, FIND(" ", D337 &amp; " ") - 1) &amp; "*") &gt; 0,INDEX(A:A,FuzzyVLookup(D337,A:A,0,,,2)),"Non-PDL")</f>
        <v>INVEGA HAFYERA (paliperidone)</v>
      </c>
      <c r="F337" t="str">
        <f t="shared" si="5"/>
        <v>Preferred</v>
      </c>
      <c r="G337" s="1" cm="1">
        <f t="array" ref="G337">FuzzyPercent(D337,E337,2)</f>
        <v>0.53465348482131958</v>
      </c>
      <c r="H337" t="str" cm="1">
        <f t="array" ref="H337">IF(F337="Non-PDL","",IF(FuzzyPercent(D337,E337,2)&lt;0.4,"CHECK",""))</f>
        <v/>
      </c>
    </row>
    <row r="338" spans="1:8" x14ac:dyDescent="0.2">
      <c r="A338" t="s">
        <v>670</v>
      </c>
      <c r="B338" t="s">
        <v>0</v>
      </c>
      <c r="D338" t="s">
        <v>2454</v>
      </c>
      <c r="E338" t="str" cm="1">
        <f t="array" ref="E338">IF(COUNTIF(A:A, "*" &amp; LEFT(D338, FIND(" ", D338 &amp; " ") - 1) &amp; "*") &gt; 0,INDEX(A:A,FuzzyVLookup(D338,A:A,0,,,2)),"Non-PDL")</f>
        <v>INVEGA SUSTENNA (paliperidone palmitate)</v>
      </c>
      <c r="F338" t="str">
        <f t="shared" si="5"/>
        <v>Preferred</v>
      </c>
      <c r="G338" s="1" cm="1">
        <f t="array" ref="G338">FuzzyPercent(D338,E338,2)</f>
        <v>0.40540540218353271</v>
      </c>
      <c r="H338" t="str" cm="1">
        <f t="array" ref="H338">IF(F338="Non-PDL","",IF(FuzzyPercent(D338,E338,2)&lt;0.4,"CHECK",""))</f>
        <v/>
      </c>
    </row>
    <row r="339" spans="1:8" x14ac:dyDescent="0.2">
      <c r="A339" t="s">
        <v>672</v>
      </c>
      <c r="B339" t="s">
        <v>0</v>
      </c>
      <c r="D339" t="s">
        <v>2455</v>
      </c>
      <c r="E339" t="str" cm="1">
        <f t="array" ref="E339">IF(COUNTIF(A:A, "*" &amp; LEFT(D339, FIND(" ", D339 &amp; " ") - 1) &amp; "*") &gt; 0,INDEX(A:A,FuzzyVLookup(D339,A:A,0,,,2)),"Non-PDL")</f>
        <v>INVEGA TRINZA (paliperidone)</v>
      </c>
      <c r="F339" t="str">
        <f t="shared" si="5"/>
        <v>Preferred</v>
      </c>
      <c r="G339" s="1" cm="1">
        <f t="array" ref="G339">FuzzyPercent(D339,E339,2)</f>
        <v>0.49484536051750183</v>
      </c>
      <c r="H339" t="str" cm="1">
        <f t="array" ref="H339">IF(F339="Non-PDL","",IF(FuzzyPercent(D339,E339,2)&lt;0.4,"CHECK",""))</f>
        <v/>
      </c>
    </row>
    <row r="340" spans="1:8" x14ac:dyDescent="0.2">
      <c r="A340" t="s">
        <v>674</v>
      </c>
      <c r="B340" t="s">
        <v>0</v>
      </c>
      <c r="D340" t="s">
        <v>2456</v>
      </c>
      <c r="E340" t="str" cm="1">
        <f t="array" ref="E340">IF(COUNTIF(A:A, "*" &amp; LEFT(D340, FIND(" ", D340 &amp; " ") - 1) &amp; "*") &gt; 0,INDEX(A:A,FuzzyVLookup(D340,A:A,0,,,2)),"Non-PDL")</f>
        <v>INVOKAMET (canagliflozin/metformin)</v>
      </c>
      <c r="F340" t="str">
        <f t="shared" si="5"/>
        <v>Non-Preferred</v>
      </c>
      <c r="G340" s="1" cm="1">
        <f t="array" ref="G340">FuzzyPercent(D340,E340,2)</f>
        <v>0.25454545021057129</v>
      </c>
      <c r="H340" t="str" cm="1">
        <f t="array" ref="H340">IF(F340="Non-PDL","",IF(FuzzyPercent(D340,E340,2)&lt;0.4,"CHECK",""))</f>
        <v>CHECK</v>
      </c>
    </row>
    <row r="341" spans="1:8" x14ac:dyDescent="0.2">
      <c r="A341" t="s">
        <v>676</v>
      </c>
      <c r="B341" t="s">
        <v>0</v>
      </c>
      <c r="D341" t="s">
        <v>2457</v>
      </c>
      <c r="E341" t="str" cm="1">
        <f t="array" ref="E341">IF(COUNTIF(A:A, "*" &amp; LEFT(D341, FIND(" ", D341 &amp; " ") - 1) &amp; "*") &gt; 0,INDEX(A:A,FuzzyVLookup(D341,A:A,0,,,2)),"Non-PDL")</f>
        <v>INVOKANA (canagliflozin)</v>
      </c>
      <c r="F341" t="str">
        <f t="shared" si="5"/>
        <v>Non-Preferred</v>
      </c>
      <c r="G341" s="1" cm="1">
        <f t="array" ref="G341">FuzzyPercent(D341,E341,2)</f>
        <v>0.3333333432674408</v>
      </c>
      <c r="H341" t="str" cm="1">
        <f t="array" ref="H341">IF(F341="Non-PDL","",IF(FuzzyPercent(D341,E341,2)&lt;0.4,"CHECK",""))</f>
        <v>CHECK</v>
      </c>
    </row>
    <row r="342" spans="1:8" x14ac:dyDescent="0.2">
      <c r="A342" t="s">
        <v>678</v>
      </c>
      <c r="B342" t="s">
        <v>0</v>
      </c>
      <c r="D342" t="s">
        <v>2458</v>
      </c>
      <c r="E342" t="str" cm="1">
        <f t="array" ref="E342">IF(COUNTIF(A:A, "*" &amp; LEFT(D342, FIND(" ", D342 &amp; " ") - 1) &amp; "*") &gt; 0,INDEX(A:A,FuzzyVLookup(D342,A:A,0,,,2)),"Non-PDL")</f>
        <v>Non-PDL</v>
      </c>
      <c r="F342" t="str">
        <f t="shared" si="5"/>
        <v>Non-PDL</v>
      </c>
      <c r="G342" s="1" cm="1">
        <f t="array" ref="G342">FuzzyPercent(D342,E342,2)</f>
        <v>1.3698630034923553E-2</v>
      </c>
      <c r="H342" t="str" cm="1">
        <f t="array" ref="H342">IF(F342="Non-PDL","",IF(FuzzyPercent(D342,E342,2)&lt;0.4,"CHECK",""))</f>
        <v/>
      </c>
    </row>
    <row r="343" spans="1:8" x14ac:dyDescent="0.2">
      <c r="A343" t="s">
        <v>679</v>
      </c>
      <c r="B343" t="s">
        <v>0</v>
      </c>
      <c r="D343" t="s">
        <v>2459</v>
      </c>
      <c r="E343" t="str" cm="1">
        <f t="array" ref="E343">IF(COUNTIF(A:A, "*" &amp; LEFT(D343, FIND(" ", D343 &amp; " ") - 1) &amp; "*") &gt; 0,INDEX(A:A,FuzzyVLookup(D343,A:A,0,,,2)),"Non-PDL")</f>
        <v>ipratropium/albuterol</v>
      </c>
      <c r="F343" t="str">
        <f t="shared" si="5"/>
        <v>Preferred</v>
      </c>
      <c r="G343" s="1" cm="1">
        <f t="array" ref="G343">FuzzyPercent(D343,E343,2)</f>
        <v>0.41525423526763916</v>
      </c>
      <c r="H343" t="str" cm="1">
        <f t="array" ref="H343">IF(F343="Non-PDL","",IF(FuzzyPercent(D343,E343,2)&lt;0.4,"CHECK",""))</f>
        <v/>
      </c>
    </row>
    <row r="344" spans="1:8" x14ac:dyDescent="0.2">
      <c r="A344" t="s">
        <v>681</v>
      </c>
      <c r="B344" t="s">
        <v>0</v>
      </c>
      <c r="D344" t="s">
        <v>2460</v>
      </c>
      <c r="E344" t="str" cm="1">
        <f t="array" ref="E344">IF(COUNTIF(A:A, "*" &amp; LEFT(D344, FIND(" ", D344 &amp; " ") - 1) &amp; "*") &gt; 0,INDEX(A:A,FuzzyVLookup(D344,A:A,0,,,2)),"Non-PDL")</f>
        <v>IQIRVO (elafibranor)</v>
      </c>
      <c r="F344" t="str">
        <f t="shared" si="5"/>
        <v>Non-Preferred</v>
      </c>
      <c r="G344" s="1" cm="1">
        <f t="array" ref="G344">FuzzyPercent(D344,E344,2)</f>
        <v>0.67647057771682739</v>
      </c>
      <c r="H344" t="str" cm="1">
        <f t="array" ref="H344">IF(F344="Non-PDL","",IF(FuzzyPercent(D344,E344,2)&lt;0.4,"CHECK",""))</f>
        <v/>
      </c>
    </row>
    <row r="345" spans="1:8" x14ac:dyDescent="0.2">
      <c r="A345" t="s">
        <v>683</v>
      </c>
      <c r="B345" t="s">
        <v>0</v>
      </c>
      <c r="D345" t="s">
        <v>2461</v>
      </c>
      <c r="E345" t="str" cm="1">
        <f t="array" ref="E345">IF(COUNTIF(A:A, "*" &amp; LEFT(D345, FIND(" ", D345 &amp; " ") - 1) &amp; "*") &gt; 0,INDEX(A:A,FuzzyVLookup(D345,A:A,0,,,2)),"Non-PDL")</f>
        <v>irbesartan</v>
      </c>
      <c r="F345" t="str">
        <f t="shared" si="5"/>
        <v>Preferred</v>
      </c>
      <c r="G345" s="1" cm="1">
        <f t="array" ref="G345">FuzzyPercent(D345,E345,2)</f>
        <v>1</v>
      </c>
      <c r="H345" t="str" cm="1">
        <f t="array" ref="H345">IF(F345="Non-PDL","",IF(FuzzyPercent(D345,E345,2)&lt;0.4,"CHECK",""))</f>
        <v/>
      </c>
    </row>
    <row r="346" spans="1:8" x14ac:dyDescent="0.2">
      <c r="A346" t="s">
        <v>685</v>
      </c>
      <c r="B346" t="s">
        <v>0</v>
      </c>
      <c r="D346" t="s">
        <v>2462</v>
      </c>
      <c r="E346" t="str" cm="1">
        <f t="array" ref="E346">IF(COUNTIF(A:A, "*" &amp; LEFT(D346, FIND(" ", D346 &amp; " ") - 1) &amp; "*") &gt; 0,INDEX(A:A,FuzzyVLookup(D346,A:A,0,,,2)),"Non-PDL")</f>
        <v>IWILFIN (eflornithine)</v>
      </c>
      <c r="F346" t="str">
        <f t="shared" si="5"/>
        <v>Non-Preferred</v>
      </c>
      <c r="G346" s="1" cm="1">
        <f t="array" ref="G346">FuzzyPercent(D346,E346,2)</f>
        <v>0.2950819730758667</v>
      </c>
      <c r="H346" t="str" cm="1">
        <f t="array" ref="H346">IF(F346="Non-PDL","",IF(FuzzyPercent(D346,E346,2)&lt;0.4,"CHECK",""))</f>
        <v>CHECK</v>
      </c>
    </row>
    <row r="347" spans="1:8" x14ac:dyDescent="0.2">
      <c r="A347" t="s">
        <v>687</v>
      </c>
      <c r="B347" t="s">
        <v>0</v>
      </c>
      <c r="D347" t="s">
        <v>2463</v>
      </c>
      <c r="E347" t="str" cm="1">
        <f t="array" ref="E347">IF(COUNTIF(A:A, "*" &amp; LEFT(D347, FIND(" ", D347 &amp; " ") - 1) &amp; "*") &gt; 0,INDEX(A:A,FuzzyVLookup(D347,A:A,0,,,2)),"Non-PDL")</f>
        <v>IXINITY</v>
      </c>
      <c r="F347" t="str">
        <f t="shared" si="5"/>
        <v>Preferred</v>
      </c>
      <c r="G347" s="1" cm="1">
        <f t="array" ref="G347">FuzzyPercent(D347,E347,2)</f>
        <v>1</v>
      </c>
      <c r="H347" t="str" cm="1">
        <f t="array" ref="H347">IF(F347="Non-PDL","",IF(FuzzyPercent(D347,E347,2)&lt;0.4,"CHECK",""))</f>
        <v/>
      </c>
    </row>
    <row r="348" spans="1:8" x14ac:dyDescent="0.2">
      <c r="A348" t="s">
        <v>689</v>
      </c>
      <c r="B348" t="s">
        <v>0</v>
      </c>
      <c r="D348" t="s">
        <v>2464</v>
      </c>
      <c r="E348" t="str" cm="1">
        <f t="array" ref="E348">IF(COUNTIF(A:A, "*" &amp; LEFT(D348, FIND(" ", D348 &amp; " ") - 1) &amp; "*") &gt; 0,INDEX(A:A,FuzzyVLookup(D348,A:A,0,,,2)),"Non-PDL")</f>
        <v>Non-PDL</v>
      </c>
      <c r="F348" t="str">
        <f t="shared" si="5"/>
        <v>Non-PDL</v>
      </c>
      <c r="G348" s="1" cm="1">
        <f t="array" ref="G348">FuzzyPercent(D348,E348,2)</f>
        <v>0</v>
      </c>
      <c r="H348" t="str" cm="1">
        <f t="array" ref="H348">IF(F348="Non-PDL","",IF(FuzzyPercent(D348,E348,2)&lt;0.4,"CHECK",""))</f>
        <v/>
      </c>
    </row>
    <row r="349" spans="1:8" x14ac:dyDescent="0.2">
      <c r="A349" t="s">
        <v>690</v>
      </c>
      <c r="B349" t="s">
        <v>0</v>
      </c>
      <c r="D349" t="s">
        <v>2465</v>
      </c>
      <c r="E349" t="str" cm="1">
        <f t="array" ref="E349">IF(COUNTIF(A:A, "*" &amp; LEFT(D349, FIND(" ", D349 &amp; " ") - 1) &amp; "*") &gt; 0,INDEX(A:A,FuzzyVLookup(D349,A:A,0,,,2)),"Non-PDL")</f>
        <v>JAKAFI (ruxolitinib)</v>
      </c>
      <c r="F349" t="str">
        <f t="shared" si="5"/>
        <v>Preferred</v>
      </c>
      <c r="G349" s="1" cm="1">
        <f t="array" ref="G349">FuzzyPercent(D349,E349,2)</f>
        <v>0.29629629850387573</v>
      </c>
      <c r="H349" t="str" cm="1">
        <f t="array" ref="H349">IF(F349="Non-PDL","",IF(FuzzyPercent(D349,E349,2)&lt;0.4,"CHECK",""))</f>
        <v>CHECK</v>
      </c>
    </row>
    <row r="350" spans="1:8" x14ac:dyDescent="0.2">
      <c r="A350" t="s">
        <v>692</v>
      </c>
      <c r="B350" t="s">
        <v>0</v>
      </c>
      <c r="D350" t="s">
        <v>2466</v>
      </c>
      <c r="E350" t="str" cm="1">
        <f t="array" ref="E350">IF(COUNTIF(A:A, "*" &amp; LEFT(D350, FIND(" ", D350 &amp; " ") - 1) &amp; "*") &gt; 0,INDEX(A:A,FuzzyVLookup(D350,A:A,0,,,2)),"Non-PDL")</f>
        <v>JANUMET XR (sitagliptin/metformin)</v>
      </c>
      <c r="F350" t="str">
        <f t="shared" si="5"/>
        <v>Preferred</v>
      </c>
      <c r="G350" s="1" cm="1">
        <f t="array" ref="G350">FuzzyPercent(D350,E350,2)</f>
        <v>0.17647059261798859</v>
      </c>
      <c r="H350" t="str" cm="1">
        <f t="array" ref="H350">IF(F350="Non-PDL","",IF(FuzzyPercent(D350,E350,2)&lt;0.4,"CHECK",""))</f>
        <v>CHECK</v>
      </c>
    </row>
    <row r="351" spans="1:8" x14ac:dyDescent="0.2">
      <c r="A351" t="s">
        <v>694</v>
      </c>
      <c r="B351" t="s">
        <v>0</v>
      </c>
      <c r="D351" t="s">
        <v>2467</v>
      </c>
      <c r="E351" t="str" cm="1">
        <f t="array" ref="E351">IF(COUNTIF(A:A, "*" &amp; LEFT(D351, FIND(" ", D351 &amp; " ") - 1) &amp; "*") &gt; 0,INDEX(A:A,FuzzyVLookup(D351,A:A,0,,,2)),"Non-PDL")</f>
        <v>JANUVIA (sitagliptin)</v>
      </c>
      <c r="F351" t="str">
        <f t="shared" si="5"/>
        <v>Preferred</v>
      </c>
      <c r="G351" s="1" cm="1">
        <f t="array" ref="G351">FuzzyPercent(D351,E351,2)</f>
        <v>0.31034481525421143</v>
      </c>
      <c r="H351" t="str" cm="1">
        <f t="array" ref="H351">IF(F351="Non-PDL","",IF(FuzzyPercent(D351,E351,2)&lt;0.4,"CHECK",""))</f>
        <v>CHECK</v>
      </c>
    </row>
    <row r="352" spans="1:8" x14ac:dyDescent="0.2">
      <c r="A352" t="s">
        <v>696</v>
      </c>
      <c r="B352" t="s">
        <v>0</v>
      </c>
      <c r="D352" t="s">
        <v>2468</v>
      </c>
      <c r="E352" t="str" cm="1">
        <f t="array" ref="E352">IF(COUNTIF(A:A, "*" &amp; LEFT(D352, FIND(" ", D352 &amp; " ") - 1) &amp; "*") &gt; 0,INDEX(A:A,FuzzyVLookup(D352,A:A,0,,,2)),"Non-PDL")</f>
        <v>JARDIANCE (empagliflozin)</v>
      </c>
      <c r="F352" t="str">
        <f t="shared" si="5"/>
        <v>Preferred</v>
      </c>
      <c r="G352" s="1" cm="1">
        <f t="array" ref="G352">FuzzyPercent(D352,E352,2)</f>
        <v>0.3684210479259491</v>
      </c>
      <c r="H352" t="str" cm="1">
        <f t="array" ref="H352">IF(F352="Non-PDL","",IF(FuzzyPercent(D352,E352,2)&lt;0.4,"CHECK",""))</f>
        <v>CHECK</v>
      </c>
    </row>
    <row r="353" spans="1:8" x14ac:dyDescent="0.2">
      <c r="A353" t="s">
        <v>698</v>
      </c>
      <c r="B353" t="s">
        <v>0</v>
      </c>
      <c r="D353" t="s">
        <v>2469</v>
      </c>
      <c r="E353" t="str" cm="1">
        <f t="array" ref="E353">IF(COUNTIF(A:A, "*" &amp; LEFT(D353, FIND(" ", D353 &amp; " ") - 1) &amp; "*") &gt; 0,INDEX(A:A,FuzzyVLookup(D353,A:A,0,,,2)),"Non-PDL")</f>
        <v>Non-PDL</v>
      </c>
      <c r="F353" t="str">
        <f t="shared" si="5"/>
        <v>Non-PDL</v>
      </c>
      <c r="G353" s="1" cm="1">
        <f t="array" ref="G353">FuzzyPercent(D353,E353,2)</f>
        <v>0</v>
      </c>
      <c r="H353" t="str" cm="1">
        <f t="array" ref="H353">IF(F353="Non-PDL","",IF(FuzzyPercent(D353,E353,2)&lt;0.4,"CHECK",""))</f>
        <v/>
      </c>
    </row>
    <row r="354" spans="1:8" x14ac:dyDescent="0.2">
      <c r="A354" t="s">
        <v>700</v>
      </c>
      <c r="B354" t="s">
        <v>0</v>
      </c>
      <c r="D354" t="s">
        <v>2470</v>
      </c>
      <c r="E354" t="str" cm="1">
        <f t="array" ref="E354">IF(COUNTIF(A:A, "*" &amp; LEFT(D354, FIND(" ", D354 &amp; " ") - 1) &amp; "*") &gt; 0,INDEX(A:A,FuzzyVLookup(D354,A:A,0,,,2)),"Non-PDL")</f>
        <v>JIVI</v>
      </c>
      <c r="F354" t="str">
        <f t="shared" si="5"/>
        <v>Non-Preferred</v>
      </c>
      <c r="G354" s="1" cm="1">
        <f t="array" ref="G354">FuzzyPercent(D354,E354,2)</f>
        <v>1</v>
      </c>
      <c r="H354" t="str" cm="1">
        <f t="array" ref="H354">IF(F354="Non-PDL","",IF(FuzzyPercent(D354,E354,2)&lt;0.4,"CHECK",""))</f>
        <v/>
      </c>
    </row>
    <row r="355" spans="1:8" x14ac:dyDescent="0.2">
      <c r="A355" t="s">
        <v>702</v>
      </c>
      <c r="B355" t="s">
        <v>0</v>
      </c>
      <c r="D355" t="s">
        <v>2471</v>
      </c>
      <c r="E355" t="str" cm="1">
        <f t="array" ref="E355">IF(COUNTIF(A:A, "*" &amp; LEFT(D355, FIND(" ", D355 &amp; " ") - 1) &amp; "*") &gt; 0,INDEX(A:A,FuzzyVLookup(D355,A:A,0,,,2)),"Non-PDL")</f>
        <v>Non-PDL</v>
      </c>
      <c r="F355" t="str">
        <f t="shared" si="5"/>
        <v>Non-PDL</v>
      </c>
      <c r="G355" s="1" cm="1">
        <f t="array" ref="G355">FuzzyPercent(D355,E355,2)</f>
        <v>0</v>
      </c>
      <c r="H355" t="str" cm="1">
        <f t="array" ref="H355">IF(F355="Non-PDL","",IF(FuzzyPercent(D355,E355,2)&lt;0.4,"CHECK",""))</f>
        <v/>
      </c>
    </row>
    <row r="356" spans="1:8" x14ac:dyDescent="0.2">
      <c r="A356" t="s">
        <v>704</v>
      </c>
      <c r="B356" t="s">
        <v>0</v>
      </c>
      <c r="D356" t="s">
        <v>2472</v>
      </c>
      <c r="E356" t="str" cm="1">
        <f t="array" ref="E356">IF(COUNTIF(A:A, "*" &amp; LEFT(D356, FIND(" ", D356 &amp; " ") - 1) &amp; "*") &gt; 0,INDEX(A:A,FuzzyVLookup(D356,A:A,0,,,2)),"Non-PDL")</f>
        <v>JORNAY PM (methylphenidate)</v>
      </c>
      <c r="F356" t="str">
        <f t="shared" si="5"/>
        <v>Non-Preferred</v>
      </c>
      <c r="G356" s="1" cm="1">
        <f t="array" ref="G356">FuzzyPercent(D356,E356,2)</f>
        <v>0.34146341681480408</v>
      </c>
      <c r="H356" t="str" cm="1">
        <f t="array" ref="H356">IF(F356="Non-PDL","",IF(FuzzyPercent(D356,E356,2)&lt;0.4,"CHECK",""))</f>
        <v>CHECK</v>
      </c>
    </row>
    <row r="357" spans="1:8" x14ac:dyDescent="0.2">
      <c r="A357" t="s">
        <v>706</v>
      </c>
      <c r="B357" t="s">
        <v>0</v>
      </c>
      <c r="D357" t="s">
        <v>2473</v>
      </c>
      <c r="E357" t="str" cm="1">
        <f t="array" ref="E357">IF(COUNTIF(A:A, "*" &amp; LEFT(D357, FIND(" ", D357 &amp; " ") - 1) &amp; "*") &gt; 0,INDEX(A:A,FuzzyVLookup(D357,A:A,0,,,2)),"Non-PDL")</f>
        <v>KALYDECO (ivacaftor)</v>
      </c>
      <c r="F357" t="str">
        <f t="shared" si="5"/>
        <v>Non-Preferred</v>
      </c>
      <c r="G357" s="1" cm="1">
        <f t="array" ref="G357">FuzzyPercent(D357,E357,2)</f>
        <v>0.41379311680793762</v>
      </c>
      <c r="H357" t="str" cm="1">
        <f t="array" ref="H357">IF(F357="Non-PDL","",IF(FuzzyPercent(D357,E357,2)&lt;0.4,"CHECK",""))</f>
        <v/>
      </c>
    </row>
    <row r="358" spans="1:8" x14ac:dyDescent="0.2">
      <c r="A358" t="s">
        <v>708</v>
      </c>
      <c r="B358" t="s">
        <v>0</v>
      </c>
      <c r="D358" t="s">
        <v>2474</v>
      </c>
      <c r="E358" t="str" cm="1">
        <f t="array" ref="E358">IF(COUNTIF(A:A, "*" &amp; LEFT(D358, FIND(" ", D358 &amp; " ") - 1) &amp; "*") &gt; 0,INDEX(A:A,FuzzyVLookup(D358,A:A,0,,,2)),"Non-PDL")</f>
        <v>vancomycin oral solution</v>
      </c>
      <c r="F358" t="str">
        <f t="shared" si="5"/>
        <v>Preferred</v>
      </c>
      <c r="G358" s="1" cm="1">
        <f t="array" ref="G358">FuzzyPercent(D358,E358,2)</f>
        <v>0.42452830076217651</v>
      </c>
      <c r="H358" t="str" cm="1">
        <f t="array" ref="H358">IF(F358="Non-PDL","",IF(FuzzyPercent(D358,E358,2)&lt;0.4,"CHECK",""))</f>
        <v/>
      </c>
    </row>
    <row r="359" spans="1:8" x14ac:dyDescent="0.2">
      <c r="A359" t="s">
        <v>710</v>
      </c>
      <c r="B359" t="s">
        <v>0</v>
      </c>
      <c r="D359" t="s">
        <v>2475</v>
      </c>
      <c r="E359" t="str" cm="1">
        <f t="array" ref="E359">IF(COUNTIF(A:A, "*" &amp; LEFT(D359, FIND(" ", D359 &amp; " ") - 1) &amp; "*") &gt; 0,INDEX(A:A,FuzzyVLookup(D359,A:A,0,,,2)),"Non-PDL")</f>
        <v>KEPPRA (levetiracetam)</v>
      </c>
      <c r="F359" t="str">
        <f t="shared" si="5"/>
        <v>Non-Preferred</v>
      </c>
      <c r="G359" s="1" cm="1">
        <f t="array" ref="G359">FuzzyPercent(D359,E359,2)</f>
        <v>0.27631577849388123</v>
      </c>
      <c r="H359" t="str" cm="1">
        <f t="array" ref="H359">IF(F359="Non-PDL","",IF(FuzzyPercent(D359,E359,2)&lt;0.4,"CHECK",""))</f>
        <v>CHECK</v>
      </c>
    </row>
    <row r="360" spans="1:8" x14ac:dyDescent="0.2">
      <c r="A360" t="s">
        <v>712</v>
      </c>
      <c r="B360" t="s">
        <v>0</v>
      </c>
      <c r="D360" t="s">
        <v>2476</v>
      </c>
      <c r="E360" t="str" cm="1">
        <f t="array" ref="E360">IF(COUNTIF(A:A, "*" &amp; LEFT(D360, FIND(" ", D360 &amp; " ") - 1) &amp; "*") &gt; 0,INDEX(A:A,FuzzyVLookup(D360,A:A,0,,,2)),"Non-PDL")</f>
        <v>KEPPRA XR (levetiracetam)</v>
      </c>
      <c r="F360" t="str">
        <f t="shared" si="5"/>
        <v>Non-Preferred</v>
      </c>
      <c r="G360" s="1" cm="1">
        <f t="array" ref="G360">FuzzyPercent(D360,E360,2)</f>
        <v>0.3684210479259491</v>
      </c>
      <c r="H360" t="str" cm="1">
        <f t="array" ref="H360">IF(F360="Non-PDL","",IF(FuzzyPercent(D360,E360,2)&lt;0.4,"CHECK",""))</f>
        <v>CHECK</v>
      </c>
    </row>
    <row r="361" spans="1:8" x14ac:dyDescent="0.2">
      <c r="A361" t="s">
        <v>714</v>
      </c>
      <c r="B361" t="s">
        <v>0</v>
      </c>
      <c r="D361" t="s">
        <v>2477</v>
      </c>
      <c r="E361" t="str" cm="1">
        <f t="array" ref="E361">IF(COUNTIF(A:A, "*" &amp; LEFT(D361, FIND(" ", D361 &amp; " ") - 1) &amp; "*") &gt; 0,INDEX(A:A,FuzzyVLookup(D361,A:A,0,,,2)),"Non-PDL")</f>
        <v>Non-PDL</v>
      </c>
      <c r="F361" t="str">
        <f t="shared" si="5"/>
        <v>Non-PDL</v>
      </c>
      <c r="G361" s="1" cm="1">
        <f t="array" ref="G361">FuzzyPercent(D361,E361,2)</f>
        <v>0</v>
      </c>
      <c r="H361" t="str" cm="1">
        <f t="array" ref="H361">IF(F361="Non-PDL","",IF(FuzzyPercent(D361,E361,2)&lt;0.4,"CHECK",""))</f>
        <v/>
      </c>
    </row>
    <row r="362" spans="1:8" x14ac:dyDescent="0.2">
      <c r="A362" t="s">
        <v>716</v>
      </c>
      <c r="B362" t="s">
        <v>0</v>
      </c>
      <c r="D362" t="s">
        <v>2478</v>
      </c>
      <c r="E362" t="str" cm="1">
        <f t="array" ref="E362">IF(COUNTIF(A:A, "*" &amp; LEFT(D362, FIND(" ", D362 &amp; " ") - 1) &amp; "*") &gt; 0,INDEX(A:A,FuzzyVLookup(D362,A:A,0,,,2)),"Non-PDL")</f>
        <v>KESIMPTA PEN (ofatumumab)</v>
      </c>
      <c r="F362" t="str">
        <f t="shared" si="5"/>
        <v>Non-Preferred</v>
      </c>
      <c r="G362" s="1" cm="1">
        <f t="array" ref="G362">FuzzyPercent(D362,E362,2)</f>
        <v>0.32432430982589722</v>
      </c>
      <c r="H362" t="str" cm="1">
        <f t="array" ref="H362">IF(F362="Non-PDL","",IF(FuzzyPercent(D362,E362,2)&lt;0.4,"CHECK",""))</f>
        <v>CHECK</v>
      </c>
    </row>
    <row r="363" spans="1:8" x14ac:dyDescent="0.2">
      <c r="A363" t="s">
        <v>718</v>
      </c>
      <c r="B363" t="s">
        <v>0</v>
      </c>
      <c r="D363" t="s">
        <v>2479</v>
      </c>
      <c r="E363" t="str" cm="1">
        <f t="array" ref="E363">IF(COUNTIF(A:A, "*" &amp; LEFT(D363, FIND(" ", D363 &amp; " ") - 1) &amp; "*") &gt; 0,INDEX(A:A,FuzzyVLookup(D363,A:A,0,,,2)),"Non-PDL")</f>
        <v>KEVZARA (sarilumab)</v>
      </c>
      <c r="F363" t="str">
        <f t="shared" si="5"/>
        <v>Non-Preferred</v>
      </c>
      <c r="G363" s="1" cm="1">
        <f t="array" ref="G363">FuzzyPercent(D363,E363,2)</f>
        <v>0.20967741310596466</v>
      </c>
      <c r="H363" t="str" cm="1">
        <f t="array" ref="H363">IF(F363="Non-PDL","",IF(FuzzyPercent(D363,E363,2)&lt;0.4,"CHECK",""))</f>
        <v>CHECK</v>
      </c>
    </row>
    <row r="364" spans="1:8" x14ac:dyDescent="0.2">
      <c r="A364" t="s">
        <v>720</v>
      </c>
      <c r="B364" t="s">
        <v>0</v>
      </c>
      <c r="D364" t="s">
        <v>2480</v>
      </c>
      <c r="E364" t="str" cm="1">
        <f t="array" ref="E364">IF(COUNTIF(A:A, "*" &amp; LEFT(D364, FIND(" ", D364 &amp; " ") - 1) &amp; "*") &gt; 0,INDEX(A:A,FuzzyVLookup(D364,A:A,0,,,2)),"Non-PDL")</f>
        <v>KEVZARA (sarilumab)</v>
      </c>
      <c r="F364" t="str">
        <f t="shared" si="5"/>
        <v>Non-Preferred</v>
      </c>
      <c r="G364" s="1" cm="1">
        <f t="array" ref="G364">FuzzyPercent(D364,E364,2)</f>
        <v>0.26530611515045166</v>
      </c>
      <c r="H364" t="str" cm="1">
        <f t="array" ref="H364">IF(F364="Non-PDL","",IF(FuzzyPercent(D364,E364,2)&lt;0.4,"CHECK",""))</f>
        <v>CHECK</v>
      </c>
    </row>
    <row r="365" spans="1:8" x14ac:dyDescent="0.2">
      <c r="A365" t="s">
        <v>722</v>
      </c>
      <c r="B365" t="s">
        <v>0</v>
      </c>
      <c r="D365" t="s">
        <v>2481</v>
      </c>
      <c r="E365" t="str" cm="1">
        <f t="array" ref="E365">IF(COUNTIF(A:A, "*" &amp; LEFT(D365, FIND(" ", D365 &amp; " ") - 1) &amp; "*") &gt; 0,INDEX(A:A,FuzzyVLookup(D365,A:A,0,,,2)),"Non-PDL")</f>
        <v>Non-PDL</v>
      </c>
      <c r="F365" t="str">
        <f t="shared" si="5"/>
        <v>Non-PDL</v>
      </c>
      <c r="G365" s="1" cm="1">
        <f t="array" ref="G365">FuzzyPercent(D365,E365,2)</f>
        <v>0</v>
      </c>
      <c r="H365" t="str" cm="1">
        <f t="array" ref="H365">IF(F365="Non-PDL","",IF(FuzzyPercent(D365,E365,2)&lt;0.4,"CHECK",""))</f>
        <v/>
      </c>
    </row>
    <row r="366" spans="1:8" x14ac:dyDescent="0.2">
      <c r="A366" t="s">
        <v>724</v>
      </c>
      <c r="B366" t="s">
        <v>0</v>
      </c>
      <c r="D366" t="s">
        <v>2482</v>
      </c>
      <c r="E366" t="str" cm="1">
        <f t="array" ref="E366">IF(COUNTIF(A:A, "*" &amp; LEFT(D366, FIND(" ", D366 &amp; " ") - 1) &amp; "*") &gt; 0,INDEX(A:A,FuzzyVLookup(D366,A:A,0,,,2)),"Non-PDL")</f>
        <v>KISQALI (ribociclib)</v>
      </c>
      <c r="F366" t="str">
        <f t="shared" si="5"/>
        <v>Non-Preferred</v>
      </c>
      <c r="G366" s="1" cm="1">
        <f t="array" ref="G366">FuzzyPercent(D366,E366,2)</f>
        <v>0.32727271318435669</v>
      </c>
      <c r="H366" t="str" cm="1">
        <f t="array" ref="H366">IF(F366="Non-PDL","",IF(FuzzyPercent(D366,E366,2)&lt;0.4,"CHECK",""))</f>
        <v>CHECK</v>
      </c>
    </row>
    <row r="367" spans="1:8" x14ac:dyDescent="0.2">
      <c r="A367" t="s">
        <v>726</v>
      </c>
      <c r="B367" t="s">
        <v>0</v>
      </c>
      <c r="D367" t="s">
        <v>2483</v>
      </c>
      <c r="E367" t="str" cm="1">
        <f t="array" ref="E367">IF(COUNTIF(A:A, "*" &amp; LEFT(D367, FIND(" ", D367 &amp; " ") - 1) &amp; "*") &gt; 0,INDEX(A:A,FuzzyVLookup(D367,A:A,0,,,2)),"Non-PDL")</f>
        <v>KITABIS (tobramycin)</v>
      </c>
      <c r="F367" t="str">
        <f t="shared" si="5"/>
        <v>Non-Preferred</v>
      </c>
      <c r="G367" s="1" cm="1">
        <f t="array" ref="G367">FuzzyPercent(D367,E367,2)</f>
        <v>0.375</v>
      </c>
      <c r="H367" t="str" cm="1">
        <f t="array" ref="H367">IF(F367="Non-PDL","",IF(FuzzyPercent(D367,E367,2)&lt;0.4,"CHECK",""))</f>
        <v>CHECK</v>
      </c>
    </row>
    <row r="368" spans="1:8" x14ac:dyDescent="0.2">
      <c r="A368" t="s">
        <v>728</v>
      </c>
      <c r="B368" t="s">
        <v>0</v>
      </c>
      <c r="D368" t="s">
        <v>2484</v>
      </c>
      <c r="E368" t="str" cm="1">
        <f t="array" ref="E368">IF(COUNTIF(A:A, "*" &amp; LEFT(D368, FIND(" ", D368 &amp; " ") - 1) &amp; "*") &gt; 0,INDEX(A:A,FuzzyVLookup(D368,A:A,0,,,2)),"Non-PDL")</f>
        <v>KLOXXADO (naloxone)</v>
      </c>
      <c r="F368" t="str">
        <f t="shared" si="5"/>
        <v>Preferred</v>
      </c>
      <c r="G368" s="1" cm="1">
        <f t="array" ref="G368">FuzzyPercent(D368,E368,2)</f>
        <v>0.45283019542694092</v>
      </c>
      <c r="H368" t="str" cm="1">
        <f t="array" ref="H368">IF(F368="Non-PDL","",IF(FuzzyPercent(D368,E368,2)&lt;0.4,"CHECK",""))</f>
        <v/>
      </c>
    </row>
    <row r="369" spans="1:8" x14ac:dyDescent="0.2">
      <c r="A369" t="s">
        <v>730</v>
      </c>
      <c r="B369" t="s">
        <v>0</v>
      </c>
      <c r="D369" t="s">
        <v>2485</v>
      </c>
      <c r="E369" t="str" cm="1">
        <f t="array" ref="E369">IF(COUNTIF(A:A, "*" &amp; LEFT(D369, FIND(" ", D369 &amp; " ") - 1) &amp; "*") &gt; 0,INDEX(A:A,FuzzyVLookup(D369,A:A,0,,,2)),"Non-PDL")</f>
        <v>KOGENATE FS</v>
      </c>
      <c r="F369" t="str">
        <f t="shared" si="5"/>
        <v>Preferred</v>
      </c>
      <c r="G369" s="1" cm="1">
        <f t="array" ref="G369">FuzzyPercent(D369,E369,2)</f>
        <v>1</v>
      </c>
      <c r="H369" t="str" cm="1">
        <f t="array" ref="H369">IF(F369="Non-PDL","",IF(FuzzyPercent(D369,E369,2)&lt;0.4,"CHECK",""))</f>
        <v/>
      </c>
    </row>
    <row r="370" spans="1:8" x14ac:dyDescent="0.2">
      <c r="A370" t="s">
        <v>732</v>
      </c>
      <c r="B370" t="s">
        <v>0</v>
      </c>
      <c r="D370" t="s">
        <v>2486</v>
      </c>
      <c r="E370" t="str" cm="1">
        <f t="array" ref="E370">IF(COUNTIF(A:A, "*" &amp; LEFT(D370, FIND(" ", D370 &amp; " ") - 1) &amp; "*") &gt; 0,INDEX(A:A,FuzzyVLookup(D370,A:A,0,,,2)),"Non-PDL")</f>
        <v>omeprazole</v>
      </c>
      <c r="F370" t="str">
        <f t="shared" si="5"/>
        <v>Preferred</v>
      </c>
      <c r="G370" s="1" cm="1">
        <f t="array" ref="G370">FuzzyPercent(D370,E370,2)</f>
        <v>0.24137930572032928</v>
      </c>
      <c r="H370" t="str" cm="1">
        <f t="array" ref="H370">IF(F370="Non-PDL","",IF(FuzzyPercent(D370,E370,2)&lt;0.4,"CHECK",""))</f>
        <v>CHECK</v>
      </c>
    </row>
    <row r="371" spans="1:8" x14ac:dyDescent="0.2">
      <c r="A371" t="s">
        <v>734</v>
      </c>
      <c r="B371" t="s">
        <v>0</v>
      </c>
      <c r="D371" t="s">
        <v>2487</v>
      </c>
      <c r="E371" t="str" cm="1">
        <f t="array" ref="E371">IF(COUNTIF(A:A, "*" &amp; LEFT(D371, FIND(" ", D371 &amp; " ") - 1) &amp; "*") &gt; 0,INDEX(A:A,FuzzyVLookup(D371,A:A,0,,,2)),"Non-PDL")</f>
        <v>KOSELUGO (selumetinib/vitamin e)</v>
      </c>
      <c r="F371" t="str">
        <f t="shared" si="5"/>
        <v>Non-Preferred</v>
      </c>
      <c r="G371" s="1" cm="1">
        <f t="array" ref="G371">FuzzyPercent(D371,E371,2)</f>
        <v>0.24242424964904785</v>
      </c>
      <c r="H371" t="str" cm="1">
        <f t="array" ref="H371">IF(F371="Non-PDL","",IF(FuzzyPercent(D371,E371,2)&lt;0.4,"CHECK",""))</f>
        <v>CHECK</v>
      </c>
    </row>
    <row r="372" spans="1:8" x14ac:dyDescent="0.2">
      <c r="A372" t="s">
        <v>736</v>
      </c>
      <c r="B372" t="s">
        <v>0</v>
      </c>
      <c r="D372" t="s">
        <v>2488</v>
      </c>
      <c r="E372" t="str" cm="1">
        <f t="array" ref="E372">IF(COUNTIF(A:A, "*" &amp; LEFT(D372, FIND(" ", D372 &amp; " ") - 1) &amp; "*") &gt; 0,INDEX(A:A,FuzzyVLookup(D372,A:A,0,,,2)),"Non-PDL")</f>
        <v>KOVALTRY</v>
      </c>
      <c r="F372" t="str">
        <f t="shared" si="5"/>
        <v>Preferred</v>
      </c>
      <c r="G372" s="1" cm="1">
        <f t="array" ref="G372">FuzzyPercent(D372,E372,2)</f>
        <v>1</v>
      </c>
      <c r="H372" t="str" cm="1">
        <f t="array" ref="H372">IF(F372="Non-PDL","",IF(FuzzyPercent(D372,E372,2)&lt;0.4,"CHECK",""))</f>
        <v/>
      </c>
    </row>
    <row r="373" spans="1:8" x14ac:dyDescent="0.2">
      <c r="A373" t="s">
        <v>738</v>
      </c>
      <c r="B373" t="s">
        <v>0</v>
      </c>
      <c r="D373" t="s">
        <v>2489</v>
      </c>
      <c r="E373" t="str" cm="1">
        <f t="array" ref="E373">IF(COUNTIF(A:A, "*" &amp; LEFT(D373, FIND(" ", D373 &amp; " ") - 1) &amp; "*") &gt; 0,INDEX(A:A,FuzzyVLookup(D373,A:A,0,,,2)),"Non-PDL")</f>
        <v>KRAZATI (adagrasib)</v>
      </c>
      <c r="F373" t="str">
        <f t="shared" si="5"/>
        <v>Non-Preferred</v>
      </c>
      <c r="G373" s="1" cm="1">
        <f t="array" ref="G373">FuzzyPercent(D373,E373,2)</f>
        <v>0.36000001430511475</v>
      </c>
      <c r="H373" t="str" cm="1">
        <f t="array" ref="H373">IF(F373="Non-PDL","",IF(FuzzyPercent(D373,E373,2)&lt;0.4,"CHECK",""))</f>
        <v>CHECK</v>
      </c>
    </row>
    <row r="374" spans="1:8" x14ac:dyDescent="0.2">
      <c r="A374" t="s">
        <v>740</v>
      </c>
      <c r="B374" t="s">
        <v>0</v>
      </c>
      <c r="D374" t="s">
        <v>2490</v>
      </c>
      <c r="E374" t="str" cm="1">
        <f t="array" ref="E374">IF(COUNTIF(A:A, "*" &amp; LEFT(D374, FIND(" ", D374 &amp; " ") - 1) &amp; "*") &gt; 0,INDEX(A:A,FuzzyVLookup(D374,A:A,0,,,2)),"Non-PDL")</f>
        <v>Non-PDL</v>
      </c>
      <c r="F374" t="str">
        <f t="shared" si="5"/>
        <v>Non-PDL</v>
      </c>
      <c r="G374" s="1" cm="1">
        <f t="array" ref="G374">FuzzyPercent(D374,E374,2)</f>
        <v>0</v>
      </c>
      <c r="H374" t="str" cm="1">
        <f t="array" ref="H374">IF(F374="Non-PDL","",IF(FuzzyPercent(D374,E374,2)&lt;0.4,"CHECK",""))</f>
        <v/>
      </c>
    </row>
    <row r="375" spans="1:8" x14ac:dyDescent="0.2">
      <c r="A375" t="s">
        <v>742</v>
      </c>
      <c r="B375" t="s">
        <v>0</v>
      </c>
      <c r="D375" t="s">
        <v>2491</v>
      </c>
      <c r="E375" t="str" cm="1">
        <f t="array" ref="E375">IF(COUNTIF(A:A, "*" &amp; LEFT(D375, FIND(" ", D375 &amp; " ") - 1) &amp; "*") &gt; 0,INDEX(A:A,FuzzyVLookup(D375,A:A,0,,,2)),"Non-PDL")</f>
        <v>Non-PDL</v>
      </c>
      <c r="F375" t="str">
        <f t="shared" si="5"/>
        <v>Non-PDL</v>
      </c>
      <c r="G375" s="1" cm="1">
        <f t="array" ref="G375">FuzzyPercent(D375,E375,2)</f>
        <v>1.2345679104328156E-2</v>
      </c>
      <c r="H375" t="str" cm="1">
        <f t="array" ref="H375">IF(F375="Non-PDL","",IF(FuzzyPercent(D375,E375,2)&lt;0.4,"CHECK",""))</f>
        <v/>
      </c>
    </row>
    <row r="376" spans="1:8" x14ac:dyDescent="0.2">
      <c r="A376" t="s">
        <v>744</v>
      </c>
      <c r="B376" t="s">
        <v>0</v>
      </c>
      <c r="D376" t="s">
        <v>2492</v>
      </c>
      <c r="E376" t="str" cm="1">
        <f t="array" ref="E376">IF(COUNTIF(A:A, "*" &amp; LEFT(D376, FIND(" ", D376 &amp; " ") - 1) &amp; "*") &gt; 0,INDEX(A:A,FuzzyVLookup(D376,A:A,0,,,2)),"Non-PDL")</f>
        <v>Non-PDL</v>
      </c>
      <c r="F376" t="str">
        <f t="shared" si="5"/>
        <v>Non-PDL</v>
      </c>
      <c r="G376" s="1" cm="1">
        <f t="array" ref="G376">FuzzyPercent(D376,E376,2)</f>
        <v>0</v>
      </c>
      <c r="H376" t="str" cm="1">
        <f t="array" ref="H376">IF(F376="Non-PDL","",IF(FuzzyPercent(D376,E376,2)&lt;0.4,"CHECK",""))</f>
        <v/>
      </c>
    </row>
    <row r="377" spans="1:8" x14ac:dyDescent="0.2">
      <c r="A377" t="s">
        <v>746</v>
      </c>
      <c r="B377" t="s">
        <v>0</v>
      </c>
      <c r="D377" t="s">
        <v>2493</v>
      </c>
      <c r="E377" t="str" cm="1">
        <f t="array" ref="E377">IF(COUNTIF(A:A, "*" &amp; LEFT(D377, FIND(" ", D377 &amp; " ") - 1) &amp; "*") &gt; 0,INDEX(A:A,FuzzyVLookup(D377,A:A,0,,,2)),"Non-PDL")</f>
        <v>Non-PDL</v>
      </c>
      <c r="F377" t="str">
        <f t="shared" si="5"/>
        <v>Non-PDL</v>
      </c>
      <c r="G377" s="1" cm="1">
        <f t="array" ref="G377">FuzzyPercent(D377,E377,2)</f>
        <v>0</v>
      </c>
      <c r="H377" t="str" cm="1">
        <f t="array" ref="H377">IF(F377="Non-PDL","",IF(FuzzyPercent(D377,E377,2)&lt;0.4,"CHECK",""))</f>
        <v/>
      </c>
    </row>
    <row r="378" spans="1:8" x14ac:dyDescent="0.2">
      <c r="A378" t="s">
        <v>748</v>
      </c>
      <c r="B378" t="s">
        <v>0</v>
      </c>
      <c r="D378" t="s">
        <v>2494</v>
      </c>
      <c r="E378" t="str" cm="1">
        <f t="array" ref="E378">IF(COUNTIF(A:A, "*" &amp; LEFT(D378, FIND(" ", D378 &amp; " ") - 1) &amp; "*") &gt; 0,INDEX(A:A,FuzzyVLookup(D378,A:A,0,,,2)),"Non-PDL")</f>
        <v>Non-PDL</v>
      </c>
      <c r="F378" t="str">
        <f t="shared" si="5"/>
        <v>Non-PDL</v>
      </c>
      <c r="G378" s="1" cm="1">
        <f t="array" ref="G378">FuzzyPercent(D378,E378,2)</f>
        <v>7.5757578015327454E-3</v>
      </c>
      <c r="H378" t="str" cm="1">
        <f t="array" ref="H378">IF(F378="Non-PDL","",IF(FuzzyPercent(D378,E378,2)&lt;0.4,"CHECK",""))</f>
        <v/>
      </c>
    </row>
    <row r="379" spans="1:8" x14ac:dyDescent="0.2">
      <c r="A379" t="s">
        <v>750</v>
      </c>
      <c r="B379" t="s">
        <v>0</v>
      </c>
      <c r="D379" t="s">
        <v>2495</v>
      </c>
      <c r="E379" t="str" cm="1">
        <f t="array" ref="E379">IF(COUNTIF(A:A, "*" &amp; LEFT(D379, FIND(" ", D379 &amp; " ") - 1) &amp; "*") &gt; 0,INDEX(A:A,FuzzyVLookup(D379,A:A,0,,,2)),"Non-PDL")</f>
        <v>LAMICTAL (lamotrigine)</v>
      </c>
      <c r="F379" t="str">
        <f t="shared" si="5"/>
        <v>Non-Preferred</v>
      </c>
      <c r="G379" s="1" cm="1">
        <f t="array" ref="G379">FuzzyPercent(D379,E379,2)</f>
        <v>0.37333333492279053</v>
      </c>
      <c r="H379" t="str" cm="1">
        <f t="array" ref="H379">IF(F379="Non-PDL","",IF(FuzzyPercent(D379,E379,2)&lt;0.4,"CHECK",""))</f>
        <v>CHECK</v>
      </c>
    </row>
    <row r="380" spans="1:8" x14ac:dyDescent="0.2">
      <c r="A380" t="s">
        <v>752</v>
      </c>
      <c r="B380" t="s">
        <v>0</v>
      </c>
      <c r="D380" t="s">
        <v>2496</v>
      </c>
      <c r="E380" t="str" cm="1">
        <f t="array" ref="E380">IF(COUNTIF(A:A, "*" &amp; LEFT(D380, FIND(" ", D380 &amp; " ") - 1) &amp; "*") &gt; 0,INDEX(A:A,FuzzyVLookup(D380,A:A,0,,,2)),"Non-PDL")</f>
        <v>LAMICTAL (lamotrigine)</v>
      </c>
      <c r="F380" t="str">
        <f t="shared" si="5"/>
        <v>Non-Preferred</v>
      </c>
      <c r="G380" s="1" cm="1">
        <f t="array" ref="G380">FuzzyPercent(D380,E380,2)</f>
        <v>0.34146341681480408</v>
      </c>
      <c r="H380" t="str" cm="1">
        <f t="array" ref="H380">IF(F380="Non-PDL","",IF(FuzzyPercent(D380,E380,2)&lt;0.4,"CHECK",""))</f>
        <v>CHECK</v>
      </c>
    </row>
    <row r="381" spans="1:8" x14ac:dyDescent="0.2">
      <c r="A381" t="s">
        <v>754</v>
      </c>
      <c r="B381" t="s">
        <v>0</v>
      </c>
      <c r="D381" t="s">
        <v>2497</v>
      </c>
      <c r="E381" t="str" cm="1">
        <f t="array" ref="E381">IF(COUNTIF(A:A, "*" &amp; LEFT(D381, FIND(" ", D381 &amp; " ") - 1) &amp; "*") &gt; 0,INDEX(A:A,FuzzyVLookup(D381,A:A,0,,,2)),"Non-PDL")</f>
        <v>lamotrigine</v>
      </c>
      <c r="F381" t="str">
        <f t="shared" si="5"/>
        <v>Preferred</v>
      </c>
      <c r="G381" s="1" cm="1">
        <f t="array" ref="G381">FuzzyPercent(D381,E381,2)</f>
        <v>1</v>
      </c>
      <c r="H381" t="str" cm="1">
        <f t="array" ref="H381">IF(F381="Non-PDL","",IF(FuzzyPercent(D381,E381,2)&lt;0.4,"CHECK",""))</f>
        <v/>
      </c>
    </row>
    <row r="382" spans="1:8" x14ac:dyDescent="0.2">
      <c r="A382" t="s">
        <v>756</v>
      </c>
      <c r="B382" t="s">
        <v>0</v>
      </c>
      <c r="D382" t="s">
        <v>2498</v>
      </c>
      <c r="E382" t="str" cm="1">
        <f t="array" ref="E382">IF(COUNTIF(A:A, "*" &amp; LEFT(D382, FIND(" ", D382 &amp; " ") - 1) &amp; "*") &gt; 0,INDEX(A:A,FuzzyVLookup(D382,A:A,0,,,2)),"Non-PDL")</f>
        <v>lansoprazole Rx</v>
      </c>
      <c r="F382" t="str">
        <f t="shared" si="5"/>
        <v>Non-Preferred</v>
      </c>
      <c r="G382" s="1" cm="1">
        <f t="array" ref="G382">FuzzyPercent(D382,E382,2)</f>
        <v>0.86792451143264771</v>
      </c>
      <c r="H382" t="str" cm="1">
        <f t="array" ref="H382">IF(F382="Non-PDL","",IF(FuzzyPercent(D382,E382,2)&lt;0.4,"CHECK",""))</f>
        <v/>
      </c>
    </row>
    <row r="383" spans="1:8" x14ac:dyDescent="0.2">
      <c r="A383" t="s">
        <v>758</v>
      </c>
      <c r="B383" t="s">
        <v>0</v>
      </c>
      <c r="D383" t="s">
        <v>2499</v>
      </c>
      <c r="E383" t="str" cm="1">
        <f t="array" ref="E383">IF(COUNTIF(A:A, "*" &amp; LEFT(D383, FIND(" ", D383 &amp; " ") - 1) &amp; "*") &gt; 0,INDEX(A:A,FuzzyVLookup(D383,A:A,0,,,2)),"Non-PDL")</f>
        <v>lansoprazole/amoxicillin/clarithromycin</v>
      </c>
      <c r="F383" t="str">
        <f t="shared" si="5"/>
        <v>Non-Preferred</v>
      </c>
      <c r="G383" s="1" cm="1">
        <f t="array" ref="G383">FuzzyPercent(D383,E383,2)</f>
        <v>0.44094488024711609</v>
      </c>
      <c r="H383" t="str" cm="1">
        <f t="array" ref="H383">IF(F383="Non-PDL","",IF(FuzzyPercent(D383,E383,2)&lt;0.4,"CHECK",""))</f>
        <v/>
      </c>
    </row>
    <row r="384" spans="1:8" x14ac:dyDescent="0.2">
      <c r="A384" t="s">
        <v>760</v>
      </c>
      <c r="B384" t="s">
        <v>0</v>
      </c>
      <c r="D384" t="s">
        <v>2500</v>
      </c>
      <c r="E384" t="str" cm="1">
        <f t="array" ref="E384">IF(COUNTIF(A:A, "*" &amp; LEFT(D384, FIND(" ", D384 &amp; " ") - 1) &amp; "*") &gt; 0,INDEX(A:A,FuzzyVLookup(D384,A:A,0,,,2)),"Non-PDL")</f>
        <v>LANTUS (insulin glargine)</v>
      </c>
      <c r="F384" t="str">
        <f t="shared" si="5"/>
        <v>Preferred</v>
      </c>
      <c r="G384" s="1" cm="1">
        <f t="array" ref="G384">FuzzyPercent(D384,E384,2)</f>
        <v>0.20652173459529877</v>
      </c>
      <c r="H384" t="str" cm="1">
        <f t="array" ref="H384">IF(F384="Non-PDL","",IF(FuzzyPercent(D384,E384,2)&lt;0.4,"CHECK",""))</f>
        <v>CHECK</v>
      </c>
    </row>
    <row r="385" spans="1:8" x14ac:dyDescent="0.2">
      <c r="A385" t="s">
        <v>762</v>
      </c>
      <c r="B385" t="s">
        <v>0</v>
      </c>
      <c r="D385" t="s">
        <v>2501</v>
      </c>
      <c r="E385" t="str" cm="1">
        <f t="array" ref="E385">IF(COUNTIF(A:A, "*" &amp; LEFT(D385, FIND(" ", D385 &amp; " ") - 1) &amp; "*") &gt; 0,INDEX(A:A,FuzzyVLookup(D385,A:A,0,,,2)),"Non-PDL")</f>
        <v>LANTUS (insulin glargine)</v>
      </c>
      <c r="F385" t="str">
        <f t="shared" si="5"/>
        <v>Preferred</v>
      </c>
      <c r="G385" s="1" cm="1">
        <f t="array" ref="G385">FuzzyPercent(D385,E385,2)</f>
        <v>0.22499999403953552</v>
      </c>
      <c r="H385" t="str" cm="1">
        <f t="array" ref="H385">IF(F385="Non-PDL","",IF(FuzzyPercent(D385,E385,2)&lt;0.4,"CHECK",""))</f>
        <v>CHECK</v>
      </c>
    </row>
    <row r="386" spans="1:8" x14ac:dyDescent="0.2">
      <c r="A386" t="s">
        <v>764</v>
      </c>
      <c r="B386" t="s">
        <v>0</v>
      </c>
      <c r="D386" t="s">
        <v>2502</v>
      </c>
      <c r="E386" t="str" cm="1">
        <f t="array" ref="E386">IF(COUNTIF(A:A, "*" &amp; LEFT(D386, FIND(" ", D386 &amp; " ") - 1) &amp; "*") &gt; 0,INDEX(A:A,FuzzyVLookup(D386,A:A,0,,,2)),"Non-PDL")</f>
        <v>LASTACAFT (alcaftadine)</v>
      </c>
      <c r="F386" t="str">
        <f t="shared" si="5"/>
        <v>Non-Preferred</v>
      </c>
      <c r="G386" s="1" cm="1">
        <f t="array" ref="G386">FuzzyPercent(D386,E386,2)</f>
        <v>0.41791045665740967</v>
      </c>
      <c r="H386" t="str" cm="1">
        <f t="array" ref="H386">IF(F386="Non-PDL","",IF(FuzzyPercent(D386,E386,2)&lt;0.4,"CHECK",""))</f>
        <v/>
      </c>
    </row>
    <row r="387" spans="1:8" x14ac:dyDescent="0.2">
      <c r="A387" t="s">
        <v>766</v>
      </c>
      <c r="B387" t="s">
        <v>0</v>
      </c>
      <c r="D387" t="s">
        <v>2503</v>
      </c>
      <c r="E387" t="str" cm="1">
        <f t="array" ref="E387">IF(COUNTIF(A:A, "*" &amp; LEFT(D387, FIND(" ", D387 &amp; " ") - 1) &amp; "*") &gt; 0,INDEX(A:A,FuzzyVLookup(D387,A:A,0,,,2)),"Non-PDL")</f>
        <v>LATUDA (lurasidone)</v>
      </c>
      <c r="F387" t="str">
        <f t="shared" ref="F387:F450" si="6">_xlfn.IFNA(_xlfn.XLOOKUP(E387,A:A,B:B),"Non-PDL")</f>
        <v>Non-Preferred</v>
      </c>
      <c r="G387" s="1" cm="1">
        <f t="array" ref="G387">FuzzyPercent(D387,E387,2)</f>
        <v>0.32653060555458069</v>
      </c>
      <c r="H387" t="str" cm="1">
        <f t="array" ref="H387">IF(F387="Non-PDL","",IF(FuzzyPercent(D387,E387,2)&lt;0.4,"CHECK",""))</f>
        <v>CHECK</v>
      </c>
    </row>
    <row r="388" spans="1:8" x14ac:dyDescent="0.2">
      <c r="A388" t="s">
        <v>768</v>
      </c>
      <c r="B388" t="s">
        <v>0</v>
      </c>
      <c r="D388" t="s">
        <v>2504</v>
      </c>
      <c r="E388" t="str" cm="1">
        <f t="array" ref="E388">IF(COUNTIF(A:A, "*" &amp; LEFT(D388, FIND(" ", D388 &amp; " ") - 1) &amp; "*") &gt; 0,INDEX(A:A,FuzzyVLookup(D388,A:A,0,,,2)),"Non-PDL")</f>
        <v>ledipasvir/sofosbuvir ‚àû</v>
      </c>
      <c r="F388" t="str">
        <f t="shared" si="6"/>
        <v>Non-Preferred</v>
      </c>
      <c r="G388" s="1" cm="1">
        <f t="array" ref="G388">FuzzyPercent(D388,E388,2)</f>
        <v>0.47826087474822998</v>
      </c>
      <c r="H388" t="str" cm="1">
        <f t="array" ref="H388">IF(F388="Non-PDL","",IF(FuzzyPercent(D388,E388,2)&lt;0.4,"CHECK",""))</f>
        <v/>
      </c>
    </row>
    <row r="389" spans="1:8" x14ac:dyDescent="0.2">
      <c r="A389" t="s">
        <v>770</v>
      </c>
      <c r="B389" t="s">
        <v>0</v>
      </c>
      <c r="D389" t="s">
        <v>2505</v>
      </c>
      <c r="E389" t="str" cm="1">
        <f t="array" ref="E389">IF(COUNTIF(A:A, "*" &amp; LEFT(D389, FIND(" ", D389 &amp; " ") - 1) &amp; "*") &gt; 0,INDEX(A:A,FuzzyVLookup(D389,A:A,0,,,2)),"Non-PDL")</f>
        <v>LETAIRIS (ambrisentan)</v>
      </c>
      <c r="F389" t="str">
        <f t="shared" si="6"/>
        <v>Preferred</v>
      </c>
      <c r="G389" s="1" cm="1">
        <f t="array" ref="G389">FuzzyPercent(D389,E389,2)</f>
        <v>0.375</v>
      </c>
      <c r="H389" t="str" cm="1">
        <f t="array" ref="H389">IF(F389="Non-PDL","",IF(FuzzyPercent(D389,E389,2)&lt;0.4,"CHECK",""))</f>
        <v>CHECK</v>
      </c>
    </row>
    <row r="390" spans="1:8" x14ac:dyDescent="0.2">
      <c r="A390" t="s">
        <v>772</v>
      </c>
      <c r="B390" t="s">
        <v>0</v>
      </c>
      <c r="D390" t="s">
        <v>2506</v>
      </c>
      <c r="E390" t="str" cm="1">
        <f t="array" ref="E390">IF(COUNTIF(A:A, "*" &amp; LEFT(D390, FIND(" ", D390 &amp; " ") - 1) &amp; "*") &gt; 0,INDEX(A:A,FuzzyVLookup(D390,A:A,0,,,2)),"Non-PDL")</f>
        <v>levalbuterol HFA</v>
      </c>
      <c r="F390" t="str">
        <f t="shared" si="6"/>
        <v>Non-Preferred</v>
      </c>
      <c r="G390" s="1" cm="1">
        <f t="array" ref="G390">FuzzyPercent(D390,E390,2)</f>
        <v>0.15789473056793213</v>
      </c>
      <c r="H390" t="str" cm="1">
        <f t="array" ref="H390">IF(F390="Non-PDL","",IF(FuzzyPercent(D390,E390,2)&lt;0.4,"CHECK",""))</f>
        <v>CHECK</v>
      </c>
    </row>
    <row r="391" spans="1:8" x14ac:dyDescent="0.2">
      <c r="A391" t="s">
        <v>774</v>
      </c>
      <c r="B391" t="s">
        <v>0</v>
      </c>
      <c r="D391" t="s">
        <v>2507</v>
      </c>
      <c r="E391" t="str" cm="1">
        <f t="array" ref="E391">IF(COUNTIF(A:A, "*" &amp; LEFT(D391, FIND(" ", D391 &amp; " ") - 1) &amp; "*") &gt; 0,INDEX(A:A,FuzzyVLookup(D391,A:A,0,,,2)),"Non-PDL")</f>
        <v>LEVEMIR (insulin detemir)</v>
      </c>
      <c r="F391" t="str">
        <f t="shared" si="6"/>
        <v>Non-Preferred</v>
      </c>
      <c r="G391" s="1" cm="1">
        <f t="array" ref="G391">FuzzyPercent(D391,E391,2)</f>
        <v>0.28235295414924622</v>
      </c>
      <c r="H391" t="str" cm="1">
        <f t="array" ref="H391">IF(F391="Non-PDL","",IF(FuzzyPercent(D391,E391,2)&lt;0.4,"CHECK",""))</f>
        <v>CHECK</v>
      </c>
    </row>
    <row r="392" spans="1:8" x14ac:dyDescent="0.2">
      <c r="A392" t="s">
        <v>776</v>
      </c>
      <c r="B392" t="s">
        <v>0</v>
      </c>
      <c r="D392" t="s">
        <v>2508</v>
      </c>
      <c r="E392" t="str" cm="1">
        <f t="array" ref="E392">IF(COUNTIF(A:A, "*" &amp; LEFT(D392, FIND(" ", D392 &amp; " ") - 1) &amp; "*") &gt; 0,INDEX(A:A,FuzzyVLookup(D392,A:A,0,,,2)),"Non-PDL")</f>
        <v>LEVEMIR (insulin detemir)</v>
      </c>
      <c r="F392" t="str">
        <f t="shared" si="6"/>
        <v>Non-Preferred</v>
      </c>
      <c r="G392" s="1" cm="1">
        <f t="array" ref="G392">FuzzyPercent(D392,E392,2)</f>
        <v>0.24742268025875092</v>
      </c>
      <c r="H392" t="str" cm="1">
        <f t="array" ref="H392">IF(F392="Non-PDL","",IF(FuzzyPercent(D392,E392,2)&lt;0.4,"CHECK",""))</f>
        <v>CHECK</v>
      </c>
    </row>
    <row r="393" spans="1:8" x14ac:dyDescent="0.2">
      <c r="A393" t="s">
        <v>778</v>
      </c>
      <c r="B393" t="s">
        <v>0</v>
      </c>
      <c r="D393" t="s">
        <v>2509</v>
      </c>
      <c r="E393" t="str" cm="1">
        <f t="array" ref="E393">IF(COUNTIF(A:A, "*" &amp; LEFT(D393, FIND(" ", D393 &amp; " ") - 1) &amp; "*") &gt; 0,INDEX(A:A,FuzzyVLookup(D393,A:A,0,,,2)),"Non-PDL")</f>
        <v>LIBERVANT (diazepam)</v>
      </c>
      <c r="F393" t="str">
        <f t="shared" si="6"/>
        <v>Non-Preferred</v>
      </c>
      <c r="G393" s="1" cm="1">
        <f t="array" ref="G393">FuzzyPercent(D393,E393,2)</f>
        <v>0.34693878889083862</v>
      </c>
      <c r="H393" t="str" cm="1">
        <f t="array" ref="H393">IF(F393="Non-PDL","",IF(FuzzyPercent(D393,E393,2)&lt;0.4,"CHECK",""))</f>
        <v>CHECK</v>
      </c>
    </row>
    <row r="394" spans="1:8" x14ac:dyDescent="0.2">
      <c r="A394" t="s">
        <v>780</v>
      </c>
      <c r="B394" t="s">
        <v>0</v>
      </c>
      <c r="D394" t="s">
        <v>2510</v>
      </c>
      <c r="E394" t="str" cm="1">
        <f t="array" ref="E394">IF(COUNTIF(A:A, "*" &amp; LEFT(D394, FIND(" ", D394 &amp; " ") - 1) &amp; "*") &gt; 0,INDEX(A:A,FuzzyVLookup(D394,A:A,0,,,2)),"Non-PDL")</f>
        <v>Non-PDL</v>
      </c>
      <c r="F394" t="str">
        <f t="shared" si="6"/>
        <v>Non-PDL</v>
      </c>
      <c r="G394" s="1" cm="1">
        <f t="array" ref="G394">FuzzyPercent(D394,E394,2)</f>
        <v>0</v>
      </c>
      <c r="H394" t="str" cm="1">
        <f t="array" ref="H394">IF(F394="Non-PDL","",IF(FuzzyPercent(D394,E394,2)&lt;0.4,"CHECK",""))</f>
        <v/>
      </c>
    </row>
    <row r="395" spans="1:8" x14ac:dyDescent="0.2">
      <c r="A395" t="s">
        <v>782</v>
      </c>
      <c r="B395" t="s">
        <v>0</v>
      </c>
      <c r="D395" t="s">
        <v>2511</v>
      </c>
      <c r="E395" t="str" cm="1">
        <f t="array" ref="E395">IF(COUNTIF(A:A, "*" &amp; LEFT(D395, FIND(" ", D395 &amp; " ") - 1) &amp; "*") &gt; 0,INDEX(A:A,FuzzyVLookup(D395,A:A,0,,,2)),"Non-PDL")</f>
        <v>Non-PDL</v>
      </c>
      <c r="F395" t="str">
        <f t="shared" si="6"/>
        <v>Non-PDL</v>
      </c>
      <c r="G395" s="1" cm="1">
        <f t="array" ref="G395">FuzzyPercent(D395,E395,2)</f>
        <v>0</v>
      </c>
      <c r="H395" t="str" cm="1">
        <f t="array" ref="H395">IF(F395="Non-PDL","",IF(FuzzyPercent(D395,E395,2)&lt;0.4,"CHECK",""))</f>
        <v/>
      </c>
    </row>
    <row r="396" spans="1:8" x14ac:dyDescent="0.2">
      <c r="A396" t="s">
        <v>784</v>
      </c>
      <c r="B396" t="s">
        <v>0</v>
      </c>
      <c r="D396" t="s">
        <v>2512</v>
      </c>
      <c r="E396" t="str" cm="1">
        <f t="array" ref="E396">IF(COUNTIF(A:A, "*" &amp; LEFT(D396, FIND(" ", D396 &amp; " ") - 1) &amp; "*") &gt; 0,INDEX(A:A,FuzzyVLookup(D396,A:A,0,,,2)),"Non-PDL")</f>
        <v>Non-PDL</v>
      </c>
      <c r="F396" t="str">
        <f t="shared" si="6"/>
        <v>Non-PDL</v>
      </c>
      <c r="G396" s="1" cm="1">
        <f t="array" ref="G396">FuzzyPercent(D396,E396,2)</f>
        <v>0</v>
      </c>
      <c r="H396" t="str" cm="1">
        <f t="array" ref="H396">IF(F396="Non-PDL","",IF(FuzzyPercent(D396,E396,2)&lt;0.4,"CHECK",""))</f>
        <v/>
      </c>
    </row>
    <row r="397" spans="1:8" x14ac:dyDescent="0.2">
      <c r="A397" t="s">
        <v>786</v>
      </c>
      <c r="B397" t="s">
        <v>0</v>
      </c>
      <c r="D397" t="s">
        <v>2513</v>
      </c>
      <c r="E397" t="str" cm="1">
        <f t="array" ref="E397">IF(COUNTIF(A:A, "*" &amp; LEFT(D397, FIND(" ", D397 &amp; " ") - 1) &amp; "*") &gt; 0,INDEX(A:A,FuzzyVLookup(D397,A:A,0,,,2)),"Non-PDL")</f>
        <v>Non-PDL</v>
      </c>
      <c r="F397" t="str">
        <f t="shared" si="6"/>
        <v>Non-PDL</v>
      </c>
      <c r="G397" s="1" cm="1">
        <f t="array" ref="G397">FuzzyPercent(D397,E397,2)</f>
        <v>0</v>
      </c>
      <c r="H397" t="str" cm="1">
        <f t="array" ref="H397">IF(F397="Non-PDL","",IF(FuzzyPercent(D397,E397,2)&lt;0.4,"CHECK",""))</f>
        <v/>
      </c>
    </row>
    <row r="398" spans="1:8" x14ac:dyDescent="0.2">
      <c r="A398" t="s">
        <v>788</v>
      </c>
      <c r="B398" t="s">
        <v>0</v>
      </c>
      <c r="D398" t="s">
        <v>2514</v>
      </c>
      <c r="E398" t="str" cm="1">
        <f t="array" ref="E398">IF(COUNTIF(A:A, "*" &amp; LEFT(D398, FIND(" ", D398 &amp; " ") - 1) &amp; "*") &gt; 0,INDEX(A:A,FuzzyVLookup(D398,A:A,0,,,2)),"Non-PDL")</f>
        <v>LIQREV (sildenafil)</v>
      </c>
      <c r="F398" t="str">
        <f t="shared" si="6"/>
        <v>Non-Preferred</v>
      </c>
      <c r="G398" s="1" cm="1">
        <f t="array" ref="G398">FuzzyPercent(D398,E398,2)</f>
        <v>0.32653060555458069</v>
      </c>
      <c r="H398" t="str" cm="1">
        <f t="array" ref="H398">IF(F398="Non-PDL","",IF(FuzzyPercent(D398,E398,2)&lt;0.4,"CHECK",""))</f>
        <v>CHECK</v>
      </c>
    </row>
    <row r="399" spans="1:8" x14ac:dyDescent="0.2">
      <c r="A399" t="s">
        <v>790</v>
      </c>
      <c r="B399" t="s">
        <v>0</v>
      </c>
      <c r="D399" t="s">
        <v>2515</v>
      </c>
      <c r="E399" t="str" cm="1">
        <f t="array" ref="E399">IF(COUNTIF(A:A, "*" &amp; LEFT(D399, FIND(" ", D399 &amp; " ") - 1) &amp; "*") &gt; 0,INDEX(A:A,FuzzyVLookup(D399,A:A,0,,,2)),"Non-PDL")</f>
        <v>lisinopril</v>
      </c>
      <c r="F399" t="str">
        <f t="shared" si="6"/>
        <v>Preferred</v>
      </c>
      <c r="G399" s="1" cm="1">
        <f t="array" ref="G399">FuzzyPercent(D399,E399,2)</f>
        <v>1</v>
      </c>
      <c r="H399" t="str" cm="1">
        <f t="array" ref="H399">IF(F399="Non-PDL","",IF(FuzzyPercent(D399,E399,2)&lt;0.4,"CHECK",""))</f>
        <v/>
      </c>
    </row>
    <row r="400" spans="1:8" x14ac:dyDescent="0.2">
      <c r="A400" t="s">
        <v>792</v>
      </c>
      <c r="B400" t="s">
        <v>0</v>
      </c>
      <c r="D400" t="s">
        <v>2516</v>
      </c>
      <c r="E400" t="str" cm="1">
        <f t="array" ref="E400">IF(COUNTIF(A:A, "*" &amp; LEFT(D400, FIND(" ", D400 &amp; " ") - 1) &amp; "*") &gt; 0,INDEX(A:A,FuzzyVLookup(D400,A:A,0,,,2)),"Non-PDL")</f>
        <v>LITFULO (ritlecitinib)</v>
      </c>
      <c r="F400" t="str">
        <f t="shared" si="6"/>
        <v>Non-Preferred</v>
      </c>
      <c r="G400" s="1" cm="1">
        <f t="array" ref="G400">FuzzyPercent(D400,E400,2)</f>
        <v>0.2950819730758667</v>
      </c>
      <c r="H400" t="str" cm="1">
        <f t="array" ref="H400">IF(F400="Non-PDL","",IF(FuzzyPercent(D400,E400,2)&lt;0.4,"CHECK",""))</f>
        <v>CHECK</v>
      </c>
    </row>
    <row r="401" spans="1:8" x14ac:dyDescent="0.2">
      <c r="A401" t="s">
        <v>794</v>
      </c>
      <c r="B401" t="s">
        <v>0</v>
      </c>
      <c r="D401" t="s">
        <v>2517</v>
      </c>
      <c r="E401" t="str" cm="1">
        <f t="array" ref="E401">IF(COUNTIF(A:A, "*" &amp; LEFT(D401, FIND(" ", D401 &amp; " ") - 1) &amp; "*") &gt; 0,INDEX(A:A,FuzzyVLookup(D401,A:A,0,,,2)),"Non-PDL")</f>
        <v>LIVMARLI (maralixibat)</v>
      </c>
      <c r="F401" t="str">
        <f t="shared" si="6"/>
        <v>Non-Preferred</v>
      </c>
      <c r="G401" s="1" cm="1">
        <f t="array" ref="G401">FuzzyPercent(D401,E401,2)</f>
        <v>0.375</v>
      </c>
      <c r="H401" t="str" cm="1">
        <f t="array" ref="H401">IF(F401="Non-PDL","",IF(FuzzyPercent(D401,E401,2)&lt;0.4,"CHECK",""))</f>
        <v>CHECK</v>
      </c>
    </row>
    <row r="402" spans="1:8" x14ac:dyDescent="0.2">
      <c r="A402" t="s">
        <v>796</v>
      </c>
      <c r="B402" t="s">
        <v>0</v>
      </c>
      <c r="D402" t="s">
        <v>2518</v>
      </c>
      <c r="E402" t="str" cm="1">
        <f t="array" ref="E402">IF(COUNTIF(A:A, "*" &amp; LEFT(D402, FIND(" ", D402 &amp; " ") - 1) &amp; "*") &gt; 0,INDEX(A:A,FuzzyVLookup(D402,A:A,0,,,2)),"Non-PDL")</f>
        <v>Non-PDL</v>
      </c>
      <c r="F402" t="str">
        <f t="shared" si="6"/>
        <v>Non-PDL</v>
      </c>
      <c r="G402" s="1" cm="1">
        <f t="array" ref="G402">FuzzyPercent(D402,E402,2)</f>
        <v>0</v>
      </c>
      <c r="H402" t="str" cm="1">
        <f t="array" ref="H402">IF(F402="Non-PDL","",IF(FuzzyPercent(D402,E402,2)&lt;0.4,"CHECK",""))</f>
        <v/>
      </c>
    </row>
    <row r="403" spans="1:8" x14ac:dyDescent="0.2">
      <c r="A403" t="s">
        <v>798</v>
      </c>
      <c r="B403" t="s">
        <v>0</v>
      </c>
      <c r="D403" t="s">
        <v>2519</v>
      </c>
      <c r="E403" t="str" cm="1">
        <f t="array" ref="E403">IF(COUNTIF(A:A, "*" &amp; LEFT(D403, FIND(" ", D403 &amp; " ") - 1) &amp; "*") &gt; 0,INDEX(A:A,FuzzyVLookup(D403,A:A,0,,,2)),"Non-PDL")</f>
        <v>LO LOESTRIN FE (norethindrone/ethinyl estradiol/iron)</v>
      </c>
      <c r="F403" t="str">
        <f t="shared" si="6"/>
        <v>Preferred</v>
      </c>
      <c r="G403" s="1" cm="1">
        <f t="array" ref="G403">FuzzyPercent(D403,E403,2)</f>
        <v>0.27979275584220886</v>
      </c>
      <c r="H403" t="str" cm="1">
        <f t="array" ref="H403">IF(F403="Non-PDL","",IF(FuzzyPercent(D403,E403,2)&lt;0.4,"CHECK",""))</f>
        <v>CHECK</v>
      </c>
    </row>
    <row r="404" spans="1:8" x14ac:dyDescent="0.2">
      <c r="A404" t="s">
        <v>800</v>
      </c>
      <c r="B404" t="s">
        <v>0</v>
      </c>
      <c r="D404" t="s">
        <v>2520</v>
      </c>
      <c r="E404" t="str" cm="1">
        <f t="array" ref="E404">IF(COUNTIF(A:A, "*" &amp; LEFT(D404, FIND(" ", D404 &amp; " ") - 1) &amp; "*") &gt; 0,INDEX(A:A,FuzzyVLookup(D404,A:A,0,,,2)),"Non-PDL")</f>
        <v>Non-PDL</v>
      </c>
      <c r="F404" t="str">
        <f t="shared" si="6"/>
        <v>Non-PDL</v>
      </c>
      <c r="G404" s="1" cm="1">
        <f t="array" ref="G404">FuzzyPercent(D404,E404,2)</f>
        <v>0</v>
      </c>
      <c r="H404" t="str" cm="1">
        <f t="array" ref="H404">IF(F404="Non-PDL","",IF(FuzzyPercent(D404,E404,2)&lt;0.4,"CHECK",""))</f>
        <v/>
      </c>
    </row>
    <row r="405" spans="1:8" x14ac:dyDescent="0.2">
      <c r="A405" t="s">
        <v>802</v>
      </c>
      <c r="B405" t="s">
        <v>0</v>
      </c>
      <c r="D405" t="s">
        <v>2521</v>
      </c>
      <c r="E405" t="str" cm="1">
        <f t="array" ref="E405">IF(COUNTIF(A:A, "*" &amp; LEFT(D405, FIND(" ", D405 &amp; " ") - 1) &amp; "*") &gt; 0,INDEX(A:A,FuzzyVLookup(D405,A:A,0,,,2)),"Non-PDL")</f>
        <v>chlorzoxazone</v>
      </c>
      <c r="F405" t="str">
        <f t="shared" si="6"/>
        <v>Preferred</v>
      </c>
      <c r="G405" s="1" cm="1">
        <f t="array" ref="G405">FuzzyPercent(D405,E405,2)</f>
        <v>0.3333333432674408</v>
      </c>
      <c r="H405" t="str" cm="1">
        <f t="array" ref="H405">IF(F405="Non-PDL","",IF(FuzzyPercent(D405,E405,2)&lt;0.4,"CHECK",""))</f>
        <v>CHECK</v>
      </c>
    </row>
    <row r="406" spans="1:8" x14ac:dyDescent="0.2">
      <c r="A406" t="s">
        <v>804</v>
      </c>
      <c r="B406" t="s">
        <v>0</v>
      </c>
      <c r="D406" t="s">
        <v>2522</v>
      </c>
      <c r="E406" t="str" cm="1">
        <f t="array" ref="E406">IF(COUNTIF(A:A, "*" &amp; LEFT(D406, FIND(" ", D406 &amp; " ") - 1) &amp; "*") &gt; 0,INDEX(A:A,FuzzyVLookup(D406,A:A,0,,,2)),"Non-PDL")</f>
        <v>losartan</v>
      </c>
      <c r="F406" t="str">
        <f t="shared" si="6"/>
        <v>Preferred</v>
      </c>
      <c r="G406" s="1" cm="1">
        <f t="array" ref="G406">FuzzyPercent(D406,E406,2)</f>
        <v>1</v>
      </c>
      <c r="H406" t="str" cm="1">
        <f t="array" ref="H406">IF(F406="Non-PDL","",IF(FuzzyPercent(D406,E406,2)&lt;0.4,"CHECK",""))</f>
        <v/>
      </c>
    </row>
    <row r="407" spans="1:8" x14ac:dyDescent="0.2">
      <c r="A407" t="s">
        <v>806</v>
      </c>
      <c r="B407" t="s">
        <v>0</v>
      </c>
      <c r="D407" t="s">
        <v>2523</v>
      </c>
      <c r="E407" t="str" cm="1">
        <f t="array" ref="E407">IF(COUNTIF(A:A, "*" &amp; LEFT(D407, FIND(" ", D407 &amp; " ") - 1) &amp; "*") &gt; 0,INDEX(A:A,FuzzyVLookup(D407,A:A,0,,,2)),"Non-PDL")</f>
        <v>LUCEMYRA (lofexidine)</v>
      </c>
      <c r="F407" t="str">
        <f t="shared" si="6"/>
        <v>Non-Preferred</v>
      </c>
      <c r="G407" s="1" cm="1">
        <f t="array" ref="G407">FuzzyPercent(D407,E407,2)</f>
        <v>0.39344263076782227</v>
      </c>
      <c r="H407" t="str" cm="1">
        <f t="array" ref="H407">IF(F407="Non-PDL","",IF(FuzzyPercent(D407,E407,2)&lt;0.4,"CHECK",""))</f>
        <v>CHECK</v>
      </c>
    </row>
    <row r="408" spans="1:8" x14ac:dyDescent="0.2">
      <c r="A408" t="s">
        <v>808</v>
      </c>
      <c r="B408" t="s">
        <v>0</v>
      </c>
      <c r="D408" t="s">
        <v>2524</v>
      </c>
      <c r="E408" t="str" cm="1">
        <f t="array" ref="E408">IF(COUNTIF(A:A, "*" &amp; LEFT(D408, FIND(" ", D408 &amp; " ") - 1) &amp; "*") &gt; 0,INDEX(A:A,FuzzyVLookup(D408,A:A,0,,,2)),"Non-PDL")</f>
        <v>Non-PDL</v>
      </c>
      <c r="F408" t="str">
        <f t="shared" si="6"/>
        <v>Non-PDL</v>
      </c>
      <c r="G408" s="1" cm="1">
        <f t="array" ref="G408">FuzzyPercent(D408,E408,2)</f>
        <v>0</v>
      </c>
      <c r="H408" t="str" cm="1">
        <f t="array" ref="H408">IF(F408="Non-PDL","",IF(FuzzyPercent(D408,E408,2)&lt;0.4,"CHECK",""))</f>
        <v/>
      </c>
    </row>
    <row r="409" spans="1:8" x14ac:dyDescent="0.2">
      <c r="A409" t="s">
        <v>810</v>
      </c>
      <c r="B409" t="s">
        <v>0</v>
      </c>
      <c r="D409" t="s">
        <v>2525</v>
      </c>
      <c r="E409" t="str" cm="1">
        <f t="array" ref="E409">IF(COUNTIF(A:A, "*" &amp; LEFT(D409, FIND(" ", D409 &amp; " ") - 1) &amp; "*") &gt; 0,INDEX(A:A,FuzzyVLookup(D409,A:A,0,,,2)),"Non-PDL")</f>
        <v>LUMAKRAS (sotorasib)</v>
      </c>
      <c r="F409" t="str">
        <f t="shared" si="6"/>
        <v>Non-Preferred</v>
      </c>
      <c r="G409" s="1" cm="1">
        <f t="array" ref="G409">FuzzyPercent(D409,E409,2)</f>
        <v>0.41379311680793762</v>
      </c>
      <c r="H409" t="str" cm="1">
        <f t="array" ref="H409">IF(F409="Non-PDL","",IF(FuzzyPercent(D409,E409,2)&lt;0.4,"CHECK",""))</f>
        <v/>
      </c>
    </row>
    <row r="410" spans="1:8" x14ac:dyDescent="0.2">
      <c r="A410" t="s">
        <v>812</v>
      </c>
      <c r="B410" t="s">
        <v>0</v>
      </c>
      <c r="D410" t="s">
        <v>2526</v>
      </c>
      <c r="E410" t="str" cm="1">
        <f t="array" ref="E410">IF(COUNTIF(A:A, "*" &amp; LEFT(D410, FIND(" ", D410 &amp; " ") - 1) &amp; "*") &gt; 0,INDEX(A:A,FuzzyVLookup(D410,A:A,0,,,2)),"Non-PDL")</f>
        <v>LUMIGAN (bimatoprost)</v>
      </c>
      <c r="F410" t="str">
        <f t="shared" si="6"/>
        <v>Non-Preferred</v>
      </c>
      <c r="G410" s="1" cm="1">
        <f t="array" ref="G410">FuzzyPercent(D410,E410,2)</f>
        <v>0.31578946113586426</v>
      </c>
      <c r="H410" t="str" cm="1">
        <f t="array" ref="H410">IF(F410="Non-PDL","",IF(FuzzyPercent(D410,E410,2)&lt;0.4,"CHECK",""))</f>
        <v>CHECK</v>
      </c>
    </row>
    <row r="411" spans="1:8" x14ac:dyDescent="0.2">
      <c r="A411" t="s">
        <v>814</v>
      </c>
      <c r="B411" t="s">
        <v>0</v>
      </c>
      <c r="D411" t="s">
        <v>2527</v>
      </c>
      <c r="E411" t="str" cm="1">
        <f t="array" ref="E411">IF(COUNTIF(A:A, "*" &amp; LEFT(D411, FIND(" ", D411 &amp; " ") - 1) &amp; "*") &gt; 0,INDEX(A:A,FuzzyVLookup(D411,A:A,0,,,2)),"Non-PDL")</f>
        <v>LUMIGAN (bimatoprost)</v>
      </c>
      <c r="F411" t="str">
        <f t="shared" si="6"/>
        <v>Non-Preferred</v>
      </c>
      <c r="G411" s="1" cm="1">
        <f t="array" ref="G411">FuzzyPercent(D411,E411,2)</f>
        <v>0.3333333432674408</v>
      </c>
      <c r="H411" t="str" cm="1">
        <f t="array" ref="H411">IF(F411="Non-PDL","",IF(FuzzyPercent(D411,E411,2)&lt;0.4,"CHECK",""))</f>
        <v>CHECK</v>
      </c>
    </row>
    <row r="412" spans="1:8" x14ac:dyDescent="0.2">
      <c r="A412" t="s">
        <v>816</v>
      </c>
      <c r="B412" t="s">
        <v>0</v>
      </c>
      <c r="D412" t="s">
        <v>2528</v>
      </c>
      <c r="E412" t="str" cm="1">
        <f t="array" ref="E412">IF(COUNTIF(A:A, "*" &amp; LEFT(D412, FIND(" ", D412 &amp; " ") - 1) &amp; "*") &gt; 0,INDEX(A:A,FuzzyVLookup(D412,A:A,0,,,2)),"Non-PDL")</f>
        <v>LUMIGAN (bimatoprost)</v>
      </c>
      <c r="F412" t="str">
        <f t="shared" si="6"/>
        <v>Non-Preferred</v>
      </c>
      <c r="G412" s="1" cm="1">
        <f t="array" ref="G412">FuzzyPercent(D412,E412,2)</f>
        <v>0.31578946113586426</v>
      </c>
      <c r="H412" t="str" cm="1">
        <f t="array" ref="H412">IF(F412="Non-PDL","",IF(FuzzyPercent(D412,E412,2)&lt;0.4,"CHECK",""))</f>
        <v>CHECK</v>
      </c>
    </row>
    <row r="413" spans="1:8" x14ac:dyDescent="0.2">
      <c r="A413" t="s">
        <v>818</v>
      </c>
      <c r="B413" t="s">
        <v>0</v>
      </c>
      <c r="D413" t="s">
        <v>2529</v>
      </c>
      <c r="E413" t="str" cm="1">
        <f t="array" ref="E413">IF(COUNTIF(A:A, "*" &amp; LEFT(D413, FIND(" ", D413 &amp; " ") - 1) &amp; "*") &gt; 0,INDEX(A:A,FuzzyVLookup(D413,A:A,0,,,2)),"Non-PDL")</f>
        <v>Non-PDL</v>
      </c>
      <c r="F413" t="str">
        <f t="shared" si="6"/>
        <v>Non-PDL</v>
      </c>
      <c r="G413" s="1" cm="1">
        <f t="array" ref="G413">FuzzyPercent(D413,E413,2)</f>
        <v>0</v>
      </c>
      <c r="H413" t="str" cm="1">
        <f t="array" ref="H413">IF(F413="Non-PDL","",IF(FuzzyPercent(D413,E413,2)&lt;0.4,"CHECK",""))</f>
        <v/>
      </c>
    </row>
    <row r="414" spans="1:8" x14ac:dyDescent="0.2">
      <c r="A414" t="s">
        <v>820</v>
      </c>
      <c r="B414" t="s">
        <v>0</v>
      </c>
      <c r="D414" t="s">
        <v>2530</v>
      </c>
      <c r="E414" t="str" cm="1">
        <f t="array" ref="E414">IF(COUNTIF(A:A, "*" &amp; LEFT(D414, FIND(" ", D414 &amp; " ") - 1) &amp; "*") &gt; 0,INDEX(A:A,FuzzyVLookup(D414,A:A,0,,,2)),"Non-PDL")</f>
        <v>Non-PDL</v>
      </c>
      <c r="F414" t="str">
        <f t="shared" si="6"/>
        <v>Non-PDL</v>
      </c>
      <c r="G414" s="1" cm="1">
        <f t="array" ref="G414">FuzzyPercent(D414,E414,2)</f>
        <v>0</v>
      </c>
      <c r="H414" t="str" cm="1">
        <f t="array" ref="H414">IF(F414="Non-PDL","",IF(FuzzyPercent(D414,E414,2)&lt;0.4,"CHECK",""))</f>
        <v/>
      </c>
    </row>
    <row r="415" spans="1:8" x14ac:dyDescent="0.2">
      <c r="A415" t="s">
        <v>822</v>
      </c>
      <c r="B415" t="s">
        <v>0</v>
      </c>
      <c r="D415" t="s">
        <v>2531</v>
      </c>
      <c r="E415" t="str" cm="1">
        <f t="array" ref="E415">IF(COUNTIF(A:A, "*" &amp; LEFT(D415, FIND(" ", D415 &amp; " ") - 1) &amp; "*") &gt; 0,INDEX(A:A,FuzzyVLookup(D415,A:A,0,,,2)),"Non-PDL")</f>
        <v>Non-PDL</v>
      </c>
      <c r="F415" t="str">
        <f t="shared" si="6"/>
        <v>Non-PDL</v>
      </c>
      <c r="G415" s="1" cm="1">
        <f t="array" ref="G415">FuzzyPercent(D415,E415,2)</f>
        <v>0</v>
      </c>
      <c r="H415" t="str" cm="1">
        <f t="array" ref="H415">IF(F415="Non-PDL","",IF(FuzzyPercent(D415,E415,2)&lt;0.4,"CHECK",""))</f>
        <v/>
      </c>
    </row>
    <row r="416" spans="1:8" x14ac:dyDescent="0.2">
      <c r="A416" t="s">
        <v>824</v>
      </c>
      <c r="B416" t="s">
        <v>0</v>
      </c>
      <c r="D416" t="s">
        <v>2532</v>
      </c>
      <c r="E416" t="str" cm="1">
        <f t="array" ref="E416">IF(COUNTIF(A:A, "*" &amp; LEFT(D416, FIND(" ", D416 &amp; " ") - 1) &amp; "*") &gt; 0,INDEX(A:A,FuzzyVLookup(D416,A:A,0,,,2)),"Non-PDL")</f>
        <v>Non-PDL</v>
      </c>
      <c r="F416" t="str">
        <f t="shared" si="6"/>
        <v>Non-PDL</v>
      </c>
      <c r="G416" s="1" cm="1">
        <f t="array" ref="G416">FuzzyPercent(D416,E416,2)</f>
        <v>3.3333335071802139E-2</v>
      </c>
      <c r="H416" t="str" cm="1">
        <f t="array" ref="H416">IF(F416="Non-PDL","",IF(FuzzyPercent(D416,E416,2)&lt;0.4,"CHECK",""))</f>
        <v/>
      </c>
    </row>
    <row r="417" spans="1:8" x14ac:dyDescent="0.2">
      <c r="A417" t="s">
        <v>826</v>
      </c>
      <c r="B417" t="s">
        <v>0</v>
      </c>
      <c r="D417" t="s">
        <v>2533</v>
      </c>
      <c r="E417" t="str" cm="1">
        <f t="array" ref="E417">IF(COUNTIF(A:A, "*" &amp; LEFT(D417, FIND(" ", D417 &amp; " ") - 1) &amp; "*") &gt; 0,INDEX(A:A,FuzzyVLookup(D417,A:A,0,,,2)),"Non-PDL")</f>
        <v>Non-PDL</v>
      </c>
      <c r="F417" t="str">
        <f t="shared" si="6"/>
        <v>Non-PDL</v>
      </c>
      <c r="G417" s="1" cm="1">
        <f t="array" ref="G417">FuzzyPercent(D417,E417,2)</f>
        <v>3.3333335071802139E-2</v>
      </c>
      <c r="H417" t="str" cm="1">
        <f t="array" ref="H417">IF(F417="Non-PDL","",IF(FuzzyPercent(D417,E417,2)&lt;0.4,"CHECK",""))</f>
        <v/>
      </c>
    </row>
    <row r="418" spans="1:8" x14ac:dyDescent="0.2">
      <c r="A418" t="s">
        <v>828</v>
      </c>
      <c r="B418" t="s">
        <v>0</v>
      </c>
      <c r="D418" t="s">
        <v>2534</v>
      </c>
      <c r="E418" t="str" cm="1">
        <f t="array" ref="E418">IF(COUNTIF(A:A, "*" &amp; LEFT(D418, FIND(" ", D418 &amp; " ") - 1) &amp; "*") &gt; 0,INDEX(A:A,FuzzyVLookup(D418,A:A,0,,,2)),"Non-PDL")</f>
        <v>lurasidone</v>
      </c>
      <c r="F418" t="str">
        <f t="shared" si="6"/>
        <v>Non-Preferred</v>
      </c>
      <c r="G418" s="1" cm="1">
        <f t="array" ref="G418">FuzzyPercent(D418,E418,2)</f>
        <v>1</v>
      </c>
      <c r="H418" t="str" cm="1">
        <f t="array" ref="H418">IF(F418="Non-PDL","",IF(FuzzyPercent(D418,E418,2)&lt;0.4,"CHECK",""))</f>
        <v/>
      </c>
    </row>
    <row r="419" spans="1:8" x14ac:dyDescent="0.2">
      <c r="A419" t="s">
        <v>830</v>
      </c>
      <c r="B419" t="s">
        <v>0</v>
      </c>
      <c r="D419" t="s">
        <v>2535</v>
      </c>
      <c r="E419" t="str" cm="1">
        <f t="array" ref="E419">IF(COUNTIF(A:A, "*" &amp; LEFT(D419, FIND(" ", D419 &amp; " ") - 1) &amp; "*") &gt; 0,INDEX(A:A,FuzzyVLookup(D419,A:A,0,,,2)),"Non-PDL")</f>
        <v>Non-PDL</v>
      </c>
      <c r="F419" t="str">
        <f t="shared" si="6"/>
        <v>Non-PDL</v>
      </c>
      <c r="G419" s="1" cm="1">
        <f t="array" ref="G419">FuzzyPercent(D419,E419,2)</f>
        <v>0</v>
      </c>
      <c r="H419" t="str" cm="1">
        <f t="array" ref="H419">IF(F419="Non-PDL","",IF(FuzzyPercent(D419,E419,2)&lt;0.4,"CHECK",""))</f>
        <v/>
      </c>
    </row>
    <row r="420" spans="1:8" x14ac:dyDescent="0.2">
      <c r="A420" t="s">
        <v>832</v>
      </c>
      <c r="B420" t="s">
        <v>0</v>
      </c>
      <c r="D420" t="s">
        <v>2536</v>
      </c>
      <c r="E420" t="str" cm="1">
        <f t="array" ref="E420">IF(COUNTIF(A:A, "*" &amp; LEFT(D420, FIND(" ", D420 &amp; " ") - 1) &amp; "*") &gt; 0,INDEX(A:A,FuzzyVLookup(D420,A:A,0,,,2)),"Non-PDL")</f>
        <v>LYBALVI (olanzapine/samidorphan)</v>
      </c>
      <c r="F420" t="str">
        <f t="shared" si="6"/>
        <v>Non-Preferred</v>
      </c>
      <c r="G420" s="1" cm="1">
        <f t="array" ref="G420">FuzzyPercent(D420,E420,2)</f>
        <v>0.1875</v>
      </c>
      <c r="H420" t="str" cm="1">
        <f t="array" ref="H420">IF(F420="Non-PDL","",IF(FuzzyPercent(D420,E420,2)&lt;0.4,"CHECK",""))</f>
        <v>CHECK</v>
      </c>
    </row>
    <row r="421" spans="1:8" x14ac:dyDescent="0.2">
      <c r="A421" t="s">
        <v>834</v>
      </c>
      <c r="B421" t="s">
        <v>0</v>
      </c>
      <c r="D421" t="s">
        <v>2537</v>
      </c>
      <c r="E421" t="str" cm="1">
        <f t="array" ref="E421">IF(COUNTIF(A:A, "*" &amp; LEFT(D421, FIND(" ", D421 &amp; " ") - 1) &amp; "*") &gt; 0,INDEX(A:A,FuzzyVLookup(D421,A:A,0,,,2)),"Non-PDL")</f>
        <v>LYNPARZA (olaparib)</v>
      </c>
      <c r="F421" t="str">
        <f t="shared" si="6"/>
        <v>Non-Preferred</v>
      </c>
      <c r="G421" s="1" cm="1">
        <f t="array" ref="G421">FuzzyPercent(D421,E421,2)</f>
        <v>0.45283019542694092</v>
      </c>
      <c r="H421" t="str" cm="1">
        <f t="array" ref="H421">IF(F421="Non-PDL","",IF(FuzzyPercent(D421,E421,2)&lt;0.4,"CHECK",""))</f>
        <v/>
      </c>
    </row>
    <row r="422" spans="1:8" x14ac:dyDescent="0.2">
      <c r="A422" t="s">
        <v>836</v>
      </c>
      <c r="B422" t="s">
        <v>0</v>
      </c>
      <c r="D422" t="s">
        <v>2538</v>
      </c>
      <c r="E422" t="str" cm="1">
        <f t="array" ref="E422">IF(COUNTIF(A:A, "*" &amp; LEFT(D422, FIND(" ", D422 &amp; " ") - 1) &amp; "*") &gt; 0,INDEX(A:A,FuzzyVLookup(D422,A:A,0,,,2)),"Non-PDL")</f>
        <v>TRICARE</v>
      </c>
      <c r="F422" t="str">
        <f t="shared" si="6"/>
        <v>Preferred</v>
      </c>
      <c r="G422" s="1" cm="1">
        <f t="array" ref="G422">FuzzyPercent(D422,E422,2)</f>
        <v>0.23529411852359772</v>
      </c>
      <c r="H422" t="str" cm="1">
        <f t="array" ref="H422">IF(F422="Non-PDL","",IF(FuzzyPercent(D422,E422,2)&lt;0.4,"CHECK",""))</f>
        <v>CHECK</v>
      </c>
    </row>
    <row r="423" spans="1:8" x14ac:dyDescent="0.2">
      <c r="A423" t="s">
        <v>838</v>
      </c>
      <c r="B423" t="s">
        <v>0</v>
      </c>
      <c r="D423" t="s">
        <v>2539</v>
      </c>
      <c r="E423" t="str" cm="1">
        <f t="array" ref="E423">IF(COUNTIF(A:A, "*" &amp; LEFT(D423, FIND(" ", D423 &amp; " ") - 1) &amp; "*") &gt; 0,INDEX(A:A,FuzzyVLookup(D423,A:A,0,,,2)),"Non-PDL")</f>
        <v>LYUMJEV (insulin lispro-aabc)</v>
      </c>
      <c r="F423" t="str">
        <f t="shared" si="6"/>
        <v>Non-Preferred</v>
      </c>
      <c r="G423" s="1" cm="1">
        <f t="array" ref="G423">FuzzyPercent(D423,E423,2)</f>
        <v>0.24742268025875092</v>
      </c>
      <c r="H423" t="str" cm="1">
        <f t="array" ref="H423">IF(F423="Non-PDL","",IF(FuzzyPercent(D423,E423,2)&lt;0.4,"CHECK",""))</f>
        <v>CHECK</v>
      </c>
    </row>
    <row r="424" spans="1:8" x14ac:dyDescent="0.2">
      <c r="A424" t="s">
        <v>840</v>
      </c>
      <c r="B424" t="s">
        <v>0</v>
      </c>
      <c r="D424" t="s">
        <v>2540</v>
      </c>
      <c r="E424" t="str" cm="1">
        <f t="array" ref="E424">IF(COUNTIF(A:A, "*" &amp; LEFT(D424, FIND(" ", D424 &amp; " ") - 1) &amp; "*") &gt; 0,INDEX(A:A,FuzzyVLookup(D424,A:A,0,,,2)),"Non-PDL")</f>
        <v>LYUMJEV (insulin lispro-aabc)</v>
      </c>
      <c r="F424" t="str">
        <f t="shared" si="6"/>
        <v>Non-Preferred</v>
      </c>
      <c r="G424" s="1" cm="1">
        <f t="array" ref="G424">FuzzyPercent(D424,E424,2)</f>
        <v>0.190476194024086</v>
      </c>
      <c r="H424" t="str" cm="1">
        <f t="array" ref="H424">IF(F424="Non-PDL","",IF(FuzzyPercent(D424,E424,2)&lt;0.4,"CHECK",""))</f>
        <v>CHECK</v>
      </c>
    </row>
    <row r="425" spans="1:8" x14ac:dyDescent="0.2">
      <c r="A425" t="s">
        <v>842</v>
      </c>
      <c r="B425" t="s">
        <v>0</v>
      </c>
      <c r="D425" t="s">
        <v>2541</v>
      </c>
      <c r="E425" t="str" cm="1">
        <f t="array" ref="E425">IF(COUNTIF(A:A, "*" &amp; LEFT(D425, FIND(" ", D425 &amp; " ") - 1) &amp; "*") &gt; 0,INDEX(A:A,FuzzyVLookup(D425,A:A,0,,,2)),"Non-PDL")</f>
        <v>LYUMJEV (insulin lispro-aabc)</v>
      </c>
      <c r="F425" t="str">
        <f t="shared" si="6"/>
        <v>Non-Preferred</v>
      </c>
      <c r="G425" s="1" cm="1">
        <f t="array" ref="G425">FuzzyPercent(D425,E425,2)</f>
        <v>0.190476194024086</v>
      </c>
      <c r="H425" t="str" cm="1">
        <f t="array" ref="H425">IF(F425="Non-PDL","",IF(FuzzyPercent(D425,E425,2)&lt;0.4,"CHECK",""))</f>
        <v>CHECK</v>
      </c>
    </row>
    <row r="426" spans="1:8" x14ac:dyDescent="0.2">
      <c r="A426" t="s">
        <v>844</v>
      </c>
      <c r="B426" t="s">
        <v>0</v>
      </c>
      <c r="D426" t="s">
        <v>2542</v>
      </c>
      <c r="E426" t="str" cm="1">
        <f t="array" ref="E426">IF(COUNTIF(A:A, "*" &amp; LEFT(D426, FIND(" ", D426 &amp; " ") - 1) &amp; "*") &gt; 0,INDEX(A:A,FuzzyVLookup(D426,A:A,0,,,2)),"Non-PDL")</f>
        <v>Non-PDL</v>
      </c>
      <c r="F426" t="str">
        <f t="shared" si="6"/>
        <v>Non-PDL</v>
      </c>
      <c r="G426" s="1" cm="1">
        <f t="array" ref="G426">FuzzyPercent(D426,E426,2)</f>
        <v>0</v>
      </c>
      <c r="H426" t="str" cm="1">
        <f t="array" ref="H426">IF(F426="Non-PDL","",IF(FuzzyPercent(D426,E426,2)&lt;0.4,"CHECK",""))</f>
        <v/>
      </c>
    </row>
    <row r="427" spans="1:8" x14ac:dyDescent="0.2">
      <c r="A427" t="s">
        <v>846</v>
      </c>
      <c r="B427" t="s">
        <v>0</v>
      </c>
      <c r="D427" t="s">
        <v>2543</v>
      </c>
      <c r="E427" t="str" cm="1">
        <f t="array" ref="E427">IF(COUNTIF(A:A, "*" &amp; LEFT(D427, FIND(" ", D427 &amp; " ") - 1) &amp; "*") &gt; 0,INDEX(A:A,FuzzyVLookup(D427,A:A,0,,,2)),"Non-PDL")</f>
        <v>cefixime suspension</v>
      </c>
      <c r="F427" t="str">
        <f t="shared" si="6"/>
        <v>Non-Preferred</v>
      </c>
      <c r="G427" s="1" cm="1">
        <f t="array" ref="G427">FuzzyPercent(D427,E427,2)</f>
        <v>0.20270270109176636</v>
      </c>
      <c r="H427" t="str" cm="1">
        <f t="array" ref="H427">IF(F427="Non-PDL","",IF(FuzzyPercent(D427,E427,2)&lt;0.4,"CHECK",""))</f>
        <v>CHECK</v>
      </c>
    </row>
    <row r="428" spans="1:8" x14ac:dyDescent="0.2">
      <c r="A428" t="s">
        <v>848</v>
      </c>
      <c r="B428" t="s">
        <v>0</v>
      </c>
      <c r="D428" t="s">
        <v>2544</v>
      </c>
      <c r="E428" t="str" cm="1">
        <f t="array" ref="E428">IF(COUNTIF(A:A, "*" &amp; LEFT(D428, FIND(" ", D428 &amp; " ") - 1) &amp; "*") &gt; 0,INDEX(A:A,FuzzyVLookup(D428,A:A,0,,,2)),"Non-PDL")</f>
        <v>calcitriol ointment</v>
      </c>
      <c r="F428" t="str">
        <f t="shared" si="6"/>
        <v>Non-Preferred</v>
      </c>
      <c r="G428" s="1" cm="1">
        <f t="array" ref="G428">FuzzyPercent(D428,E428,2)</f>
        <v>0.2054794579744339</v>
      </c>
      <c r="H428" t="str" cm="1">
        <f t="array" ref="H428">IF(F428="Non-PDL","",IF(FuzzyPercent(D428,E428,2)&lt;0.4,"CHECK",""))</f>
        <v>CHECK</v>
      </c>
    </row>
    <row r="429" spans="1:8" x14ac:dyDescent="0.2">
      <c r="A429" t="s">
        <v>850</v>
      </c>
      <c r="B429" t="s">
        <v>0</v>
      </c>
      <c r="D429" t="s">
        <v>2545</v>
      </c>
      <c r="E429" t="str" cm="1">
        <f t="array" ref="E429">IF(COUNTIF(A:A, "*" &amp; LEFT(D429, FIND(" ", D429 &amp; " ") - 1) &amp; "*") &gt; 0,INDEX(A:A,FuzzyVLookup(D429,A:A,0,,,2)),"Non-PDL")</f>
        <v>nitrofurantoin suspension</v>
      </c>
      <c r="F429" t="str">
        <f t="shared" si="6"/>
        <v>Preferred</v>
      </c>
      <c r="G429" s="1" cm="1">
        <f t="array" ref="G429">FuzzyPercent(D429,E429,2)</f>
        <v>0.20987653732299805</v>
      </c>
      <c r="H429" t="str" cm="1">
        <f t="array" ref="H429">IF(F429="Non-PDL","",IF(FuzzyPercent(D429,E429,2)&lt;0.4,"CHECK",""))</f>
        <v>CHECK</v>
      </c>
    </row>
    <row r="430" spans="1:8" x14ac:dyDescent="0.2">
      <c r="A430" t="s">
        <v>852</v>
      </c>
      <c r="B430" t="s">
        <v>0</v>
      </c>
      <c r="D430" t="s">
        <v>2546</v>
      </c>
      <c r="E430" t="str" cm="1">
        <f t="array" ref="E430">IF(COUNTIF(A:A, "*" &amp; LEFT(D430, FIND(" ", D430 &amp; " ") - 1) &amp; "*") &gt; 0,INDEX(A:A,FuzzyVLookup(D430,A:A,0,,,2)),"Non-PDL")</f>
        <v>vancomycin oral solution</v>
      </c>
      <c r="F430" t="str">
        <f t="shared" si="6"/>
        <v>Preferred</v>
      </c>
      <c r="G430" s="1" cm="1">
        <f t="array" ref="G430">FuzzyPercent(D430,E430,2)</f>
        <v>0.38938054442405701</v>
      </c>
      <c r="H430" t="str" cm="1">
        <f t="array" ref="H430">IF(F430="Non-PDL","",IF(FuzzyPercent(D430,E430,2)&lt;0.4,"CHECK",""))</f>
        <v>CHECK</v>
      </c>
    </row>
    <row r="431" spans="1:8" x14ac:dyDescent="0.2">
      <c r="A431" t="s">
        <v>854</v>
      </c>
      <c r="B431" t="s">
        <v>0</v>
      </c>
      <c r="D431" t="s">
        <v>2547</v>
      </c>
      <c r="E431" t="str" cm="1">
        <f t="array" ref="E431">IF(COUNTIF(A:A, "*" &amp; LEFT(D431, FIND(" ", D431 &amp; " ") - 1) &amp; "*") &gt; 0,INDEX(A:A,FuzzyVLookup(D431,A:A,0,,,2)),"Non-PDL")</f>
        <v>memantine ER</v>
      </c>
      <c r="F431" t="str">
        <f t="shared" si="6"/>
        <v>Non-Preferred</v>
      </c>
      <c r="G431" s="1" cm="1">
        <f t="array" ref="G431">FuzzyPercent(D431,E431,2)</f>
        <v>0.5</v>
      </c>
      <c r="H431" t="str" cm="1">
        <f t="array" ref="H431">IF(F431="Non-PDL","",IF(FuzzyPercent(D431,E431,2)&lt;0.4,"CHECK",""))</f>
        <v/>
      </c>
    </row>
    <row r="432" spans="1:8" x14ac:dyDescent="0.2">
      <c r="A432" t="s">
        <v>856</v>
      </c>
      <c r="B432" t="s">
        <v>0</v>
      </c>
      <c r="D432" t="s">
        <v>2548</v>
      </c>
      <c r="E432" t="str" cm="1">
        <f t="array" ref="E432">IF(COUNTIF(A:A, "*" &amp; LEFT(D432, FIND(" ", D432 &amp; " ") - 1) &amp; "*") &gt; 0,INDEX(A:A,FuzzyVLookup(D432,A:A,0,,,2)),"Non-PDL")</f>
        <v>memantine ER</v>
      </c>
      <c r="F432" t="str">
        <f t="shared" si="6"/>
        <v>Non-Preferred</v>
      </c>
      <c r="G432" s="1" cm="1">
        <f t="array" ref="G432">FuzzyPercent(D432,E432,2)</f>
        <v>0.73913043737411499</v>
      </c>
      <c r="H432" t="str" cm="1">
        <f t="array" ref="H432">IF(F432="Non-PDL","",IF(FuzzyPercent(D432,E432,2)&lt;0.4,"CHECK",""))</f>
        <v/>
      </c>
    </row>
    <row r="433" spans="1:8" x14ac:dyDescent="0.2">
      <c r="A433" t="s">
        <v>858</v>
      </c>
      <c r="B433" t="s">
        <v>0</v>
      </c>
      <c r="D433" t="s">
        <v>2549</v>
      </c>
      <c r="E433" t="str" cm="1">
        <f t="array" ref="E433">IF(COUNTIF(A:A, "*" &amp; LEFT(D433, FIND(" ", D433 &amp; " ") - 1) &amp; "*") &gt; 0,INDEX(A:A,FuzzyVLookup(D433,A:A,0,,,2)),"Non-PDL")</f>
        <v>Non-PDL</v>
      </c>
      <c r="F433" t="str">
        <f t="shared" si="6"/>
        <v>Non-PDL</v>
      </c>
      <c r="G433" s="1" cm="1">
        <f t="array" ref="G433">FuzzyPercent(D433,E433,2)</f>
        <v>0</v>
      </c>
      <c r="H433" t="str" cm="1">
        <f t="array" ref="H433">IF(F433="Non-PDL","",IF(FuzzyPercent(D433,E433,2)&lt;0.4,"CHECK",""))</f>
        <v/>
      </c>
    </row>
    <row r="434" spans="1:8" x14ac:dyDescent="0.2">
      <c r="A434" t="s">
        <v>860</v>
      </c>
      <c r="B434" t="s">
        <v>0</v>
      </c>
      <c r="D434" t="s">
        <v>2550</v>
      </c>
      <c r="E434" t="str" cm="1">
        <f t="array" ref="E434">IF(COUNTIF(A:A, "*" &amp; LEFT(D434, FIND(" ", D434 &amp; " ") - 1) &amp; "*") &gt; 0,INDEX(A:A,FuzzyVLookup(D434,A:A,0,,,2)),"Non-PDL")</f>
        <v>metaxalone</v>
      </c>
      <c r="F434" t="str">
        <f t="shared" si="6"/>
        <v>Non-Preferred</v>
      </c>
      <c r="G434" s="1" cm="1">
        <f t="array" ref="G434">FuzzyPercent(D434,E434,2)</f>
        <v>1</v>
      </c>
      <c r="H434" t="str" cm="1">
        <f t="array" ref="H434">IF(F434="Non-PDL","",IF(FuzzyPercent(D434,E434,2)&lt;0.4,"CHECK",""))</f>
        <v/>
      </c>
    </row>
    <row r="435" spans="1:8" x14ac:dyDescent="0.2">
      <c r="A435" t="s">
        <v>862</v>
      </c>
      <c r="B435" t="s">
        <v>0</v>
      </c>
      <c r="D435" t="s">
        <v>2551</v>
      </c>
      <c r="E435" t="str" cm="1">
        <f t="array" ref="E435">IF(COUNTIF(A:A, "*" &amp; LEFT(D435, FIND(" ", D435 &amp; " ") - 1) &amp; "*") &gt; 0,INDEX(A:A,FuzzyVLookup(D435,A:A,0,,,2)),"Non-PDL")</f>
        <v>metoprolol succinate</v>
      </c>
      <c r="F435" t="str">
        <f t="shared" si="6"/>
        <v>Preferred</v>
      </c>
      <c r="G435" s="1" cm="1">
        <f t="array" ref="G435">FuzzyPercent(D435,E435,2)</f>
        <v>0.56790125370025635</v>
      </c>
      <c r="H435" t="str" cm="1">
        <f t="array" ref="H435">IF(F435="Non-PDL","",IF(FuzzyPercent(D435,E435,2)&lt;0.4,"CHECK",""))</f>
        <v/>
      </c>
    </row>
    <row r="436" spans="1:8" x14ac:dyDescent="0.2">
      <c r="A436" t="s">
        <v>864</v>
      </c>
      <c r="B436" t="s">
        <v>0</v>
      </c>
      <c r="D436" t="s">
        <v>2552</v>
      </c>
      <c r="E436" t="str" cm="1">
        <f t="array" ref="E436">IF(COUNTIF(A:A, "*" &amp; LEFT(D436, FIND(" ", D436 &amp; " ") - 1) &amp; "*") &gt; 0,INDEX(A:A,FuzzyVLookup(D436,A:A,0,,,2)),"Non-PDL")</f>
        <v>METROGEL (metronidazole)</v>
      </c>
      <c r="F436" t="str">
        <f t="shared" si="6"/>
        <v>Non-Preferred</v>
      </c>
      <c r="G436" s="1" cm="1">
        <f t="array" ref="G436">FuzzyPercent(D436,E436,2)</f>
        <v>0.3218390941619873</v>
      </c>
      <c r="H436" t="str" cm="1">
        <f t="array" ref="H436">IF(F436="Non-PDL","",IF(FuzzyPercent(D436,E436,2)&lt;0.4,"CHECK",""))</f>
        <v>CHECK</v>
      </c>
    </row>
    <row r="437" spans="1:8" x14ac:dyDescent="0.2">
      <c r="A437" t="s">
        <v>866</v>
      </c>
      <c r="B437" t="s">
        <v>0</v>
      </c>
      <c r="D437" t="s">
        <v>2553</v>
      </c>
      <c r="E437" t="str" cm="1">
        <f t="array" ref="E437">IF(COUNTIF(A:A, "*" &amp; LEFT(D437, FIND(" ", D437 &amp; " ") - 1) &amp; "*") &gt; 0,INDEX(A:A,FuzzyVLookup(D437,A:A,0,,,2)),"Non-PDL")</f>
        <v>metronidazole tablet</v>
      </c>
      <c r="F437" t="str">
        <f t="shared" si="6"/>
        <v>Preferred</v>
      </c>
      <c r="G437" s="1" cm="1">
        <f t="array" ref="G437">FuzzyPercent(D437,E437,2)</f>
        <v>0.50943398475646973</v>
      </c>
      <c r="H437" t="str" cm="1">
        <f t="array" ref="H437">IF(F437="Non-PDL","",IF(FuzzyPercent(D437,E437,2)&lt;0.4,"CHECK",""))</f>
        <v/>
      </c>
    </row>
    <row r="438" spans="1:8" x14ac:dyDescent="0.2">
      <c r="A438" t="s">
        <v>868</v>
      </c>
      <c r="B438" t="s">
        <v>0</v>
      </c>
      <c r="D438" t="s">
        <v>2554</v>
      </c>
      <c r="E438" t="str" cm="1">
        <f t="array" ref="E438">IF(COUNTIF(A:A, "*" &amp; LEFT(D438, FIND(" ", D438 &amp; " ") - 1) &amp; "*") &gt; 0,INDEX(A:A,FuzzyVLookup(D438,A:A,0,,,2)),"Non-PDL")</f>
        <v>MIEBO (perfluorohexyloactane)</v>
      </c>
      <c r="F438" t="str">
        <f t="shared" si="6"/>
        <v>Non-Preferred</v>
      </c>
      <c r="G438" s="1" cm="1">
        <f t="array" ref="G438">FuzzyPercent(D438,E438,2)</f>
        <v>0.12658227980136871</v>
      </c>
      <c r="H438" t="str" cm="1">
        <f t="array" ref="H438">IF(F438="Non-PDL","",IF(FuzzyPercent(D438,E438,2)&lt;0.4,"CHECK",""))</f>
        <v>CHECK</v>
      </c>
    </row>
    <row r="439" spans="1:8" x14ac:dyDescent="0.2">
      <c r="A439" t="s">
        <v>870</v>
      </c>
      <c r="B439" t="s">
        <v>0</v>
      </c>
      <c r="D439" t="s">
        <v>2555</v>
      </c>
      <c r="E439" t="str" cm="1">
        <f t="array" ref="E439">IF(COUNTIF(A:A, "*" &amp; LEFT(D439, FIND(" ", D439 &amp; " ") - 1) &amp; "*") &gt; 0,INDEX(A:A,FuzzyVLookup(D439,A:A,0,,,2)),"Non-PDL")</f>
        <v>Non-PDL</v>
      </c>
      <c r="F439" t="str">
        <f t="shared" si="6"/>
        <v>Non-PDL</v>
      </c>
      <c r="G439" s="1" cm="1">
        <f t="array" ref="G439">FuzzyPercent(D439,E439,2)</f>
        <v>0</v>
      </c>
      <c r="H439" t="str" cm="1">
        <f t="array" ref="H439">IF(F439="Non-PDL","",IF(FuzzyPercent(D439,E439,2)&lt;0.4,"CHECK",""))</f>
        <v/>
      </c>
    </row>
    <row r="440" spans="1:8" x14ac:dyDescent="0.2">
      <c r="A440" t="s">
        <v>872</v>
      </c>
      <c r="B440" t="s">
        <v>0</v>
      </c>
      <c r="D440" t="s">
        <v>2556</v>
      </c>
      <c r="E440" t="str" cm="1">
        <f t="array" ref="E440">IF(COUNTIF(A:A, "*" &amp; LEFT(D440, FIND(" ", D440 &amp; " ") - 1) &amp; "*") &gt; 0,INDEX(A:A,FuzzyVLookup(D440,A:A,0,,,2)),"Non-PDL")</f>
        <v>Non-PDL</v>
      </c>
      <c r="F440" t="str">
        <f t="shared" si="6"/>
        <v>Non-PDL</v>
      </c>
      <c r="G440" s="1" cm="1">
        <f t="array" ref="G440">FuzzyPercent(D440,E440,2)</f>
        <v>0</v>
      </c>
      <c r="H440" t="str" cm="1">
        <f t="array" ref="H440">IF(F440="Non-PDL","",IF(FuzzyPercent(D440,E440,2)&lt;0.4,"CHECK",""))</f>
        <v/>
      </c>
    </row>
    <row r="441" spans="1:8" x14ac:dyDescent="0.2">
      <c r="A441" t="s">
        <v>874</v>
      </c>
      <c r="B441" t="s">
        <v>0</v>
      </c>
      <c r="D441" t="s">
        <v>255</v>
      </c>
      <c r="E441" t="str" cm="1">
        <f t="array" ref="E441">IF(COUNTIF(A:A, "*" &amp; LEFT(D441, FIND(" ", D441 &amp; " ") - 1) &amp; "*") &gt; 0,INDEX(A:A,FuzzyVLookup(D441,A:A,0,,,2)),"Non-PDL")</f>
        <v>Moexipril</v>
      </c>
      <c r="F441" t="str">
        <f t="shared" si="6"/>
        <v>Non-Preferred</v>
      </c>
      <c r="G441" s="1" cm="1">
        <f t="array" ref="G441">FuzzyPercent(D441,E441,2)</f>
        <v>1</v>
      </c>
      <c r="H441" t="str" cm="1">
        <f t="array" ref="H441">IF(F441="Non-PDL","",IF(FuzzyPercent(D441,E441,2)&lt;0.4,"CHECK",""))</f>
        <v/>
      </c>
    </row>
    <row r="442" spans="1:8" x14ac:dyDescent="0.2">
      <c r="A442" t="s">
        <v>876</v>
      </c>
      <c r="B442" t="s">
        <v>0</v>
      </c>
      <c r="D442" t="s">
        <v>2557</v>
      </c>
      <c r="E442" t="str" cm="1">
        <f t="array" ref="E442">IF(COUNTIF(A:A, "*" &amp; LEFT(D442, FIND(" ", D442 &amp; " ") - 1) &amp; "*") &gt; 0,INDEX(A:A,FuzzyVLookup(D442,A:A,0,,,2)),"Non-PDL")</f>
        <v>MOUNJARO (tirzepatide)</v>
      </c>
      <c r="F442" t="str">
        <f t="shared" si="6"/>
        <v>Non-Preferred</v>
      </c>
      <c r="G442" s="1" cm="1">
        <f t="array" ref="G442">FuzzyPercent(D442,E442,2)</f>
        <v>0.375</v>
      </c>
      <c r="H442" t="str" cm="1">
        <f t="array" ref="H442">IF(F442="Non-PDL","",IF(FuzzyPercent(D442,E442,2)&lt;0.4,"CHECK",""))</f>
        <v>CHECK</v>
      </c>
    </row>
    <row r="443" spans="1:8" x14ac:dyDescent="0.2">
      <c r="A443" t="s">
        <v>878</v>
      </c>
      <c r="B443" t="s">
        <v>0</v>
      </c>
      <c r="D443" t="s">
        <v>2558</v>
      </c>
      <c r="E443" t="str" cm="1">
        <f t="array" ref="E443">IF(COUNTIF(A:A, "*" &amp; LEFT(D443, FIND(" ", D443 &amp; " ") - 1) &amp; "*") &gt; 0,INDEX(A:A,FuzzyVLookup(D443,A:A,0,,,2)),"Non-PDL")</f>
        <v>Non-PDL</v>
      </c>
      <c r="F443" t="str">
        <f t="shared" si="6"/>
        <v>Non-PDL</v>
      </c>
      <c r="G443" s="1" cm="1">
        <f t="array" ref="G443">FuzzyPercent(D443,E443,2)</f>
        <v>0</v>
      </c>
      <c r="H443" t="str" cm="1">
        <f t="array" ref="H443">IF(F443="Non-PDL","",IF(FuzzyPercent(D443,E443,2)&lt;0.4,"CHECK",""))</f>
        <v/>
      </c>
    </row>
    <row r="444" spans="1:8" x14ac:dyDescent="0.2">
      <c r="A444" t="s">
        <v>880</v>
      </c>
      <c r="B444" t="s">
        <v>0</v>
      </c>
      <c r="D444" t="s">
        <v>2559</v>
      </c>
      <c r="E444" t="str" cm="1">
        <f t="array" ref="E444">IF(COUNTIF(A:A, "*" &amp; LEFT(D444, FIND(" ", D444 &amp; " ") - 1) &amp; "*") &gt; 0,INDEX(A:A,FuzzyVLookup(D444,A:A,0,,,2)),"Non-PDL")</f>
        <v>naloxone</v>
      </c>
      <c r="F444" t="str">
        <f t="shared" si="6"/>
        <v>Preferred</v>
      </c>
      <c r="G444" s="1" cm="1">
        <f t="array" ref="G444">FuzzyPercent(D444,E444,2)</f>
        <v>0.30000001192092896</v>
      </c>
      <c r="H444" t="str" cm="1">
        <f t="array" ref="H444">IF(F444="Non-PDL","",IF(FuzzyPercent(D444,E444,2)&lt;0.4,"CHECK",""))</f>
        <v>CHECK</v>
      </c>
    </row>
    <row r="445" spans="1:8" x14ac:dyDescent="0.2">
      <c r="A445" t="s">
        <v>882</v>
      </c>
      <c r="B445" t="s">
        <v>0</v>
      </c>
      <c r="D445" t="s">
        <v>2560</v>
      </c>
      <c r="E445" t="str" cm="1">
        <f t="array" ref="E445">IF(COUNTIF(A:A, "*" &amp; LEFT(D445, FIND(" ", D445 &amp; " ") - 1) &amp; "*") &gt; 0,INDEX(A:A,FuzzyVLookup(D445,A:A,0,,,2)),"Non-PDL")</f>
        <v>NICOTROL NASAL SPRAY</v>
      </c>
      <c r="F445" t="str">
        <f t="shared" si="6"/>
        <v>Non-Preferred</v>
      </c>
      <c r="G445" s="1" cm="1">
        <f t="array" ref="G445">FuzzyPercent(D445,E445,2)</f>
        <v>0.3695652186870575</v>
      </c>
      <c r="H445" t="str" cm="1">
        <f t="array" ref="H445">IF(F445="Non-PDL","",IF(FuzzyPercent(D445,E445,2)&lt;0.4,"CHECK",""))</f>
        <v>CHECK</v>
      </c>
    </row>
    <row r="446" spans="1:8" x14ac:dyDescent="0.2">
      <c r="A446" t="s">
        <v>884</v>
      </c>
      <c r="B446" t="s">
        <v>0</v>
      </c>
      <c r="D446" t="s">
        <v>2561</v>
      </c>
      <c r="E446" t="str" cm="1">
        <f t="array" ref="E446">IF(COUNTIF(A:A, "*" &amp; LEFT(D446, FIND(" ", D446 &amp; " ") - 1) &amp; "*") &gt; 0,INDEX(A:A,FuzzyVLookup(D446,A:A,0,,,2)),"Non-PDL")</f>
        <v>naloxone</v>
      </c>
      <c r="F446" t="str">
        <f t="shared" si="6"/>
        <v>Preferred</v>
      </c>
      <c r="G446" s="1" cm="1">
        <f t="array" ref="G446">FuzzyPercent(D446,E446,2)</f>
        <v>0.5</v>
      </c>
      <c r="H446" t="str" cm="1">
        <f t="array" ref="H446">IF(F446="Non-PDL","",IF(FuzzyPercent(D446,E446,2)&lt;0.4,"CHECK",""))</f>
        <v/>
      </c>
    </row>
    <row r="447" spans="1:8" x14ac:dyDescent="0.2">
      <c r="A447" t="s">
        <v>886</v>
      </c>
      <c r="B447" t="s">
        <v>0</v>
      </c>
      <c r="D447" t="s">
        <v>2562</v>
      </c>
      <c r="E447" t="str" cm="1">
        <f t="array" ref="E447">IF(COUNTIF(A:A, "*" &amp; LEFT(D447, FIND(" ", D447 &amp; " ") - 1) &amp; "*") &gt; 0,INDEX(A:A,FuzzyVLookup(D447,A:A,0,,,2)),"Non-PDL")</f>
        <v>NAMENDA (memantine)</v>
      </c>
      <c r="F447" t="str">
        <f t="shared" si="6"/>
        <v>Non-Preferred</v>
      </c>
      <c r="G447" s="1" cm="1">
        <f t="array" ref="G447">FuzzyPercent(D447,E447,2)</f>
        <v>0.36000001430511475</v>
      </c>
      <c r="H447" t="str" cm="1">
        <f t="array" ref="H447">IF(F447="Non-PDL","",IF(FuzzyPercent(D447,E447,2)&lt;0.4,"CHECK",""))</f>
        <v>CHECK</v>
      </c>
    </row>
    <row r="448" spans="1:8" x14ac:dyDescent="0.2">
      <c r="A448" t="s">
        <v>888</v>
      </c>
      <c r="B448" t="s">
        <v>0</v>
      </c>
      <c r="D448" t="s">
        <v>2563</v>
      </c>
      <c r="E448" t="str" cm="1">
        <f t="array" ref="E448">IF(COUNTIF(A:A, "*" &amp; LEFT(D448, FIND(" ", D448 &amp; " ") - 1) &amp; "*") &gt; 0,INDEX(A:A,FuzzyVLookup(D448,A:A,0,,,2)),"Non-PDL")</f>
        <v>NAMENDA XR (memantine)</v>
      </c>
      <c r="F448" t="str">
        <f t="shared" si="6"/>
        <v>Non-Preferred</v>
      </c>
      <c r="G448" s="1" cm="1">
        <f t="array" ref="G448">FuzzyPercent(D448,E448,2)</f>
        <v>0.49275362491607666</v>
      </c>
      <c r="H448" t="str" cm="1">
        <f t="array" ref="H448">IF(F448="Non-PDL","",IF(FuzzyPercent(D448,E448,2)&lt;0.4,"CHECK",""))</f>
        <v/>
      </c>
    </row>
    <row r="449" spans="1:8" x14ac:dyDescent="0.2">
      <c r="A449" t="s">
        <v>890</v>
      </c>
      <c r="B449" t="s">
        <v>0</v>
      </c>
      <c r="D449" t="s">
        <v>2564</v>
      </c>
      <c r="E449" t="str" cm="1">
        <f t="array" ref="E449">IF(COUNTIF(A:A, "*" &amp; LEFT(D449, FIND(" ", D449 &amp; " ") - 1) &amp; "*") &gt; 0,INDEX(A:A,FuzzyVLookup(D449,A:A,0,,,2)),"Non-PDL")</f>
        <v>NAMZARIC (memantine/donepezil)</v>
      </c>
      <c r="F449" t="str">
        <f t="shared" si="6"/>
        <v>Non-Preferred</v>
      </c>
      <c r="G449" s="1" cm="1">
        <f t="array" ref="G449">FuzzyPercent(D449,E449,2)</f>
        <v>0.25806450843811035</v>
      </c>
      <c r="H449" t="str" cm="1">
        <f t="array" ref="H449">IF(F449="Non-PDL","",IF(FuzzyPercent(D449,E449,2)&lt;0.4,"CHECK",""))</f>
        <v>CHECK</v>
      </c>
    </row>
    <row r="450" spans="1:8" x14ac:dyDescent="0.2">
      <c r="A450" t="s">
        <v>892</v>
      </c>
      <c r="B450" t="s">
        <v>0</v>
      </c>
      <c r="D450" t="s">
        <v>2565</v>
      </c>
      <c r="E450" t="str" cm="1">
        <f t="array" ref="E450">IF(COUNTIF(A:A, "*" &amp; LEFT(D450, FIND(" ", D450 &amp; " ") - 1) &amp; "*") &gt; 0,INDEX(A:A,FuzzyVLookup(D450,A:A,0,,,2)),"Non-PDL")</f>
        <v>NARCAN (naloxone)</v>
      </c>
      <c r="F450" t="str">
        <f t="shared" si="6"/>
        <v>Preferred</v>
      </c>
      <c r="G450" s="1" cm="1">
        <f t="array" ref="G450">FuzzyPercent(D450,E450,2)</f>
        <v>0.37209302186965942</v>
      </c>
      <c r="H450" t="str" cm="1">
        <f t="array" ref="H450">IF(F450="Non-PDL","",IF(FuzzyPercent(D450,E450,2)&lt;0.4,"CHECK",""))</f>
        <v>CHECK</v>
      </c>
    </row>
    <row r="451" spans="1:8" x14ac:dyDescent="0.2">
      <c r="A451" t="s">
        <v>894</v>
      </c>
      <c r="B451" t="s">
        <v>0</v>
      </c>
      <c r="D451" t="s">
        <v>2566</v>
      </c>
      <c r="E451" t="str" cm="1">
        <f t="array" ref="E451">IF(COUNTIF(A:A, "*" &amp; LEFT(D451, FIND(" ", D451 &amp; " ") - 1) &amp; "*") &gt; 0,INDEX(A:A,FuzzyVLookup(D451,A:A,0,,,2)),"Non-PDL")</f>
        <v>NATACYN (natamycin0</v>
      </c>
      <c r="F451" t="str">
        <f t="shared" ref="F451:F514" si="7">_xlfn.IFNA(_xlfn.XLOOKUP(E451,A:A,B:B),"Non-PDL")</f>
        <v>Non-Preferred</v>
      </c>
      <c r="G451" s="1" cm="1">
        <f t="array" ref="G451">FuzzyPercent(D451,E451,2)</f>
        <v>0.33613446354866028</v>
      </c>
      <c r="H451" t="str" cm="1">
        <f t="array" ref="H451">IF(F451="Non-PDL","",IF(FuzzyPercent(D451,E451,2)&lt;0.4,"CHECK",""))</f>
        <v>CHECK</v>
      </c>
    </row>
    <row r="452" spans="1:8" x14ac:dyDescent="0.2">
      <c r="A452" t="s">
        <v>896</v>
      </c>
      <c r="B452" t="s">
        <v>0</v>
      </c>
      <c r="D452" t="s">
        <v>2567</v>
      </c>
      <c r="E452" t="str" cm="1">
        <f t="array" ref="E452">IF(COUNTIF(A:A, "*" &amp; LEFT(D452, FIND(" ", D452 &amp; " ") - 1) &amp; "*") &gt; 0,INDEX(A:A,FuzzyVLookup(D452,A:A,0,,,2)),"Non-PDL")</f>
        <v>Non-PDL</v>
      </c>
      <c r="F452" t="str">
        <f t="shared" si="7"/>
        <v>Non-PDL</v>
      </c>
      <c r="G452" s="1" cm="1">
        <f t="array" ref="G452">FuzzyPercent(D452,E452,2)</f>
        <v>0</v>
      </c>
      <c r="H452" t="str" cm="1">
        <f t="array" ref="H452">IF(F452="Non-PDL","",IF(FuzzyPercent(D452,E452,2)&lt;0.4,"CHECK",""))</f>
        <v/>
      </c>
    </row>
    <row r="453" spans="1:8" x14ac:dyDescent="0.2">
      <c r="A453" t="s">
        <v>898</v>
      </c>
      <c r="B453" t="s">
        <v>0</v>
      </c>
      <c r="D453" t="s">
        <v>2568</v>
      </c>
      <c r="E453" t="str" cm="1">
        <f t="array" ref="E453">IF(COUNTIF(A:A, "*" &amp; LEFT(D453, FIND(" ", D453 &amp; " ") - 1) &amp; "*") &gt; 0,INDEX(A:A,FuzzyVLookup(D453,A:A,0,,,2)),"Non-PDL")</f>
        <v>NAYZILAM (midazolam)</v>
      </c>
      <c r="F453" t="str">
        <f t="shared" si="7"/>
        <v>Preferred</v>
      </c>
      <c r="G453" s="1" cm="1">
        <f t="array" ref="G453">FuzzyPercent(D453,E453,2)</f>
        <v>0.41379311680793762</v>
      </c>
      <c r="H453" t="str" cm="1">
        <f t="array" ref="H453">IF(F453="Non-PDL","",IF(FuzzyPercent(D453,E453,2)&lt;0.4,"CHECK",""))</f>
        <v/>
      </c>
    </row>
    <row r="454" spans="1:8" x14ac:dyDescent="0.2">
      <c r="A454" t="s">
        <v>900</v>
      </c>
      <c r="B454" t="s">
        <v>0</v>
      </c>
      <c r="D454" t="s">
        <v>2569</v>
      </c>
      <c r="E454" t="str" cm="1">
        <f t="array" ref="E454">IF(COUNTIF(A:A, "*" &amp; LEFT(D454, FIND(" ", D454 &amp; " ") - 1) &amp; "*") &gt; 0,INDEX(A:A,FuzzyVLookup(D454,A:A,0,,,2)),"Non-PDL")</f>
        <v>GAMASTAN</v>
      </c>
      <c r="F454" t="str">
        <f t="shared" si="7"/>
        <v>Preferred</v>
      </c>
      <c r="G454" s="1" cm="1">
        <f t="array" ref="G454">FuzzyPercent(D454,E454,2)</f>
        <v>0.25</v>
      </c>
      <c r="H454" t="str" cm="1">
        <f t="array" ref="H454">IF(F454="Non-PDL","",IF(FuzzyPercent(D454,E454,2)&lt;0.4,"CHECK",""))</f>
        <v>CHECK</v>
      </c>
    </row>
    <row r="455" spans="1:8" x14ac:dyDescent="0.2">
      <c r="A455" t="s">
        <v>902</v>
      </c>
      <c r="B455" t="s">
        <v>0</v>
      </c>
      <c r="D455" t="s">
        <v>2570</v>
      </c>
      <c r="E455" t="str" cm="1">
        <f t="array" ref="E455">IF(COUNTIF(A:A, "*" &amp; LEFT(D455, FIND(" ", D455 &amp; " ") - 1) &amp; "*") &gt; 0,INDEX(A:A,FuzzyVLookup(D455,A:A,0,,,2)),"Non-PDL")</f>
        <v>NEULASTA, NEULASTA ONPRO (pegfilgrastim)</v>
      </c>
      <c r="F455" t="str">
        <f t="shared" si="7"/>
        <v>Non-Preferred</v>
      </c>
      <c r="G455" s="1" cm="1">
        <f t="array" ref="G455">FuzzyPercent(D455,E455,2)</f>
        <v>0.34482759237289429</v>
      </c>
      <c r="H455" t="str" cm="1">
        <f t="array" ref="H455">IF(F455="Non-PDL","",IF(FuzzyPercent(D455,E455,2)&lt;0.4,"CHECK",""))</f>
        <v>CHECK</v>
      </c>
    </row>
    <row r="456" spans="1:8" x14ac:dyDescent="0.2">
      <c r="A456" t="s">
        <v>904</v>
      </c>
      <c r="B456" t="s">
        <v>0</v>
      </c>
      <c r="D456" t="s">
        <v>2571</v>
      </c>
      <c r="E456" t="str" cm="1">
        <f t="array" ref="E456">IF(COUNTIF(A:A, "*" &amp; LEFT(D456, FIND(" ", D456 &amp; " ") - 1) &amp; "*") &gt; 0,INDEX(A:A,FuzzyVLookup(D456,A:A,0,,,2)),"Non-PDL")</f>
        <v>oxcarbazepine suspension</v>
      </c>
      <c r="F456" t="str">
        <f t="shared" si="7"/>
        <v>Non-Preferred</v>
      </c>
      <c r="G456" s="1" cm="1">
        <f t="array" ref="G456">FuzzyPercent(D456,E456,2)</f>
        <v>0.20270270109176636</v>
      </c>
      <c r="H456" t="str" cm="1">
        <f t="array" ref="H456">IF(F456="Non-PDL","",IF(FuzzyPercent(D456,E456,2)&lt;0.4,"CHECK",""))</f>
        <v>CHECK</v>
      </c>
    </row>
    <row r="457" spans="1:8" x14ac:dyDescent="0.2">
      <c r="A457" t="s">
        <v>906</v>
      </c>
      <c r="B457" t="s">
        <v>0</v>
      </c>
      <c r="D457" t="s">
        <v>2572</v>
      </c>
      <c r="E457" t="str" cm="1">
        <f t="array" ref="E457">IF(COUNTIF(A:A, "*" &amp; LEFT(D457, FIND(" ", D457 &amp; " ") - 1) &amp; "*") &gt; 0,INDEX(A:A,FuzzyVLookup(D457,A:A,0,,,2)),"Non-PDL")</f>
        <v>NEXAVAR (sorafenib)</v>
      </c>
      <c r="F457" t="str">
        <f t="shared" si="7"/>
        <v>Preferred</v>
      </c>
      <c r="G457" s="1" cm="1">
        <f t="array" ref="G457">FuzzyPercent(D457,E457,2)</f>
        <v>0.36000001430511475</v>
      </c>
      <c r="H457" t="str" cm="1">
        <f t="array" ref="H457">IF(F457="Non-PDL","",IF(FuzzyPercent(D457,E457,2)&lt;0.4,"CHECK",""))</f>
        <v>CHECK</v>
      </c>
    </row>
    <row r="458" spans="1:8" x14ac:dyDescent="0.2">
      <c r="A458" t="s">
        <v>908</v>
      </c>
      <c r="B458" t="s">
        <v>0</v>
      </c>
      <c r="D458" t="s">
        <v>2573</v>
      </c>
      <c r="E458" t="str" cm="1">
        <f t="array" ref="E458">IF(COUNTIF(A:A, "*" &amp; LEFT(D458, FIND(" ", D458 &amp; " ") - 1) &amp; "*") &gt; 0,INDEX(A:A,FuzzyVLookup(D458,A:A,0,,,2)),"Non-PDL")</f>
        <v>fluoxetine DR capsule</v>
      </c>
      <c r="F458" t="str">
        <f t="shared" si="7"/>
        <v>Non-Preferred</v>
      </c>
      <c r="G458" s="1" cm="1">
        <f t="array" ref="G458">FuzzyPercent(D458,E458,2)</f>
        <v>0.369047611951828</v>
      </c>
      <c r="H458" t="str" cm="1">
        <f t="array" ref="H458">IF(F458="Non-PDL","",IF(FuzzyPercent(D458,E458,2)&lt;0.4,"CHECK",""))</f>
        <v>CHECK</v>
      </c>
    </row>
    <row r="459" spans="1:8" x14ac:dyDescent="0.2">
      <c r="A459" t="s">
        <v>910</v>
      </c>
      <c r="B459" t="s">
        <v>0</v>
      </c>
      <c r="D459" t="s">
        <v>2574</v>
      </c>
      <c r="E459" t="str" cm="1">
        <f t="array" ref="E459">IF(COUNTIF(A:A, "*" &amp; LEFT(D459, FIND(" ", D459 &amp; " ") - 1) &amp; "*") &gt; 0,INDEX(A:A,FuzzyVLookup(D459,A:A,0,,,2)),"Non-PDL")</f>
        <v>sulfacetamide sodium suspension</v>
      </c>
      <c r="F459" t="str">
        <f t="shared" si="7"/>
        <v>Non-Preferred</v>
      </c>
      <c r="G459" s="1" cm="1">
        <f t="array" ref="G459">FuzzyPercent(D459,E459,2)</f>
        <v>0.17307692766189575</v>
      </c>
      <c r="H459" t="str" cm="1">
        <f t="array" ref="H459">IF(F459="Non-PDL","",IF(FuzzyPercent(D459,E459,2)&lt;0.4,"CHECK",""))</f>
        <v>CHECK</v>
      </c>
    </row>
    <row r="460" spans="1:8" x14ac:dyDescent="0.2">
      <c r="A460" t="s">
        <v>912</v>
      </c>
      <c r="B460" t="s">
        <v>0</v>
      </c>
      <c r="D460" t="s">
        <v>2575</v>
      </c>
      <c r="E460" t="str" cm="1">
        <f t="array" ref="E460">IF(COUNTIF(A:A, "*" &amp; LEFT(D460, FIND(" ", D460 &amp; " ") - 1) &amp; "*") &gt; 0,INDEX(A:A,FuzzyVLookup(D460,A:A,0,,,2)),"Non-PDL")</f>
        <v>NEXTSTELLIS (drospirenone/estetrol)</v>
      </c>
      <c r="F460" t="str">
        <f t="shared" si="7"/>
        <v>Preferred</v>
      </c>
      <c r="G460" s="1" cm="1">
        <f t="array" ref="G460">FuzzyPercent(D460,E460,2)</f>
        <v>0.31578946113586426</v>
      </c>
      <c r="H460" t="str" cm="1">
        <f t="array" ref="H460">IF(F460="Non-PDL","",IF(FuzzyPercent(D460,E460,2)&lt;0.4,"CHECK",""))</f>
        <v>CHECK</v>
      </c>
    </row>
    <row r="461" spans="1:8" x14ac:dyDescent="0.2">
      <c r="A461" t="s">
        <v>914</v>
      </c>
      <c r="B461" t="s">
        <v>0</v>
      </c>
      <c r="D461" t="s">
        <v>2576</v>
      </c>
      <c r="E461" t="str" cm="1">
        <f t="array" ref="E461">IF(COUNTIF(A:A, "*" &amp; LEFT(D461, FIND(" ", D461 &amp; " ") - 1) &amp; "*") &gt; 0,INDEX(A:A,FuzzyVLookup(D461,A:A,0,,,2)),"Non-PDL")</f>
        <v>Non-PDL</v>
      </c>
      <c r="F461" t="str">
        <f t="shared" si="7"/>
        <v>Non-PDL</v>
      </c>
      <c r="G461" s="1" cm="1">
        <f t="array" ref="G461">FuzzyPercent(D461,E461,2)</f>
        <v>0</v>
      </c>
      <c r="H461" t="str" cm="1">
        <f t="array" ref="H461">IF(F461="Non-PDL","",IF(FuzzyPercent(D461,E461,2)&lt;0.4,"CHECK",""))</f>
        <v/>
      </c>
    </row>
    <row r="462" spans="1:8" x14ac:dyDescent="0.2">
      <c r="A462" t="s">
        <v>916</v>
      </c>
      <c r="B462" t="s">
        <v>0</v>
      </c>
      <c r="D462" t="s">
        <v>2577</v>
      </c>
      <c r="E462" t="str" cm="1">
        <f t="array" ref="E462">IF(COUNTIF(A:A, "*" &amp; LEFT(D462, FIND(" ", D462 &amp; " ") - 1) &amp; "*") &gt; 0,INDEX(A:A,FuzzyVLookup(D462,A:A,0,,,2)),"Non-PDL")</f>
        <v>NGENLA (somatrogon-ghla)</v>
      </c>
      <c r="F462" t="str">
        <f t="shared" si="7"/>
        <v>Non-Preferred</v>
      </c>
      <c r="G462" s="1" cm="1">
        <f t="array" ref="G462">FuzzyPercent(D462,E462,2)</f>
        <v>0.23529411852359772</v>
      </c>
      <c r="H462" t="str" cm="1">
        <f t="array" ref="H462">IF(F462="Non-PDL","",IF(FuzzyPercent(D462,E462,2)&lt;0.4,"CHECK",""))</f>
        <v>CHECK</v>
      </c>
    </row>
    <row r="463" spans="1:8" x14ac:dyDescent="0.2">
      <c r="A463" t="s">
        <v>918</v>
      </c>
      <c r="B463" t="s">
        <v>0</v>
      </c>
      <c r="D463" t="s">
        <v>2578</v>
      </c>
      <c r="E463" t="str" cm="1">
        <f t="array" ref="E463">IF(COUNTIF(A:A, "*" &amp; LEFT(D463, FIND(" ", D463 &amp; " ") - 1) &amp; "*") &gt; 0,INDEX(A:A,FuzzyVLookup(D463,A:A,0,,,2)),"Non-PDL")</f>
        <v>Non-PDL</v>
      </c>
      <c r="F463" t="str">
        <f t="shared" si="7"/>
        <v>Non-PDL</v>
      </c>
      <c r="G463" s="1" cm="1">
        <f t="array" ref="G463">FuzzyPercent(D463,E463,2)</f>
        <v>0</v>
      </c>
      <c r="H463" t="str" cm="1">
        <f t="array" ref="H463">IF(F463="Non-PDL","",IF(FuzzyPercent(D463,E463,2)&lt;0.4,"CHECK",""))</f>
        <v/>
      </c>
    </row>
    <row r="464" spans="1:8" x14ac:dyDescent="0.2">
      <c r="A464" t="s">
        <v>920</v>
      </c>
      <c r="B464" t="s">
        <v>0</v>
      </c>
      <c r="D464" t="s">
        <v>2579</v>
      </c>
      <c r="E464" t="str" cm="1">
        <f t="array" ref="E464">IF(COUNTIF(A:A, "*" &amp; LEFT(D464, FIND(" ", D464 &amp; " ") - 1) &amp; "*") &gt; 0,INDEX(A:A,FuzzyVLookup(D464,A:A,0,,,2)),"Non-PDL")</f>
        <v>Non-PDL</v>
      </c>
      <c r="F464" t="str">
        <f t="shared" si="7"/>
        <v>Non-PDL</v>
      </c>
      <c r="G464" s="1" cm="1">
        <f t="array" ref="G464">FuzzyPercent(D464,E464,2)</f>
        <v>0</v>
      </c>
      <c r="H464" t="str" cm="1">
        <f t="array" ref="H464">IF(F464="Non-PDL","",IF(FuzzyPercent(D464,E464,2)&lt;0.4,"CHECK",""))</f>
        <v/>
      </c>
    </row>
    <row r="465" spans="1:8" x14ac:dyDescent="0.2">
      <c r="A465" t="s">
        <v>922</v>
      </c>
      <c r="B465" t="s">
        <v>0</v>
      </c>
      <c r="D465" t="s">
        <v>2580</v>
      </c>
      <c r="E465" t="str" cm="1">
        <f t="array" ref="E465">IF(COUNTIF(A:A, "*" &amp; LEFT(D465, FIND(" ", D465 &amp; " ") - 1) &amp; "*") &gt; 0,INDEX(A:A,FuzzyVLookup(D465,A:A,0,,,2)),"Non-PDL")</f>
        <v>NORDITROPIN FLEXPRO (somatropin)</v>
      </c>
      <c r="F465" t="str">
        <f t="shared" si="7"/>
        <v>Preferred</v>
      </c>
      <c r="G465" s="1" cm="1">
        <f t="array" ref="G465">FuzzyPercent(D465,E465,2)</f>
        <v>0.34285715222358704</v>
      </c>
      <c r="H465" t="str" cm="1">
        <f t="array" ref="H465">IF(F465="Non-PDL","",IF(FuzzyPercent(D465,E465,2)&lt;0.4,"CHECK",""))</f>
        <v>CHECK</v>
      </c>
    </row>
    <row r="466" spans="1:8" x14ac:dyDescent="0.2">
      <c r="A466" t="s">
        <v>924</v>
      </c>
      <c r="B466" t="s">
        <v>0</v>
      </c>
      <c r="D466" t="s">
        <v>2581</v>
      </c>
      <c r="E466" t="str" cm="1">
        <f t="array" ref="E466">IF(COUNTIF(A:A, "*" &amp; LEFT(D466, FIND(" ", D466 &amp; " ") - 1) &amp; "*") &gt; 0,INDEX(A:A,FuzzyVLookup(D466,A:A,0,,,2)),"Non-PDL")</f>
        <v>NORGESIC FORTE (orphenadrine/aspirin/caffeine)</v>
      </c>
      <c r="F466" t="str">
        <f t="shared" si="7"/>
        <v>Non-Preferred</v>
      </c>
      <c r="G466" s="1" cm="1">
        <f t="array" ref="G466">FuzzyPercent(D466,E466,2)</f>
        <v>0.32335329055786133</v>
      </c>
      <c r="H466" t="str" cm="1">
        <f t="array" ref="H466">IF(F466="Non-PDL","",IF(FuzzyPercent(D466,E466,2)&lt;0.4,"CHECK",""))</f>
        <v>CHECK</v>
      </c>
    </row>
    <row r="467" spans="1:8" x14ac:dyDescent="0.2">
      <c r="A467" t="s">
        <v>926</v>
      </c>
      <c r="B467" t="s">
        <v>0</v>
      </c>
      <c r="D467" t="s">
        <v>2582</v>
      </c>
      <c r="E467" t="str" cm="1">
        <f t="array" ref="E467">IF(COUNTIF(A:A, "*" &amp; LEFT(D467, FIND(" ", D467 &amp; " ") - 1) &amp; "*") &gt; 0,INDEX(A:A,FuzzyVLookup(D467,A:A,0,,,2)),"Non-PDL")</f>
        <v>NOVOEIGHT</v>
      </c>
      <c r="F467" t="str">
        <f t="shared" si="7"/>
        <v>Preferred</v>
      </c>
      <c r="G467" s="1" cm="1">
        <f t="array" ref="G467">FuzzyPercent(D467,E467,2)</f>
        <v>1</v>
      </c>
      <c r="H467" t="str" cm="1">
        <f t="array" ref="H467">IF(F467="Non-PDL","",IF(FuzzyPercent(D467,E467,2)&lt;0.4,"CHECK",""))</f>
        <v/>
      </c>
    </row>
    <row r="468" spans="1:8" x14ac:dyDescent="0.2">
      <c r="A468" t="s">
        <v>928</v>
      </c>
      <c r="B468" t="s">
        <v>0</v>
      </c>
      <c r="D468" t="s">
        <v>2583</v>
      </c>
      <c r="E468" t="str" cm="1">
        <f t="array" ref="E468">IF(COUNTIF(A:A, "*" &amp; LEFT(D468, FIND(" ", D468 &amp; " ") - 1) &amp; "*") &gt; 0,INDEX(A:A,FuzzyVLookup(D468,A:A,0,,,2)),"Non-PDL")</f>
        <v>NOVOLIN 70/30 (insulin NPH/regular)</v>
      </c>
      <c r="F468" t="str">
        <f t="shared" si="7"/>
        <v>Non-Preferred</v>
      </c>
      <c r="G468" s="1" cm="1">
        <f t="array" ref="G468">FuzzyPercent(D468,E468,2)</f>
        <v>0.40000000596046448</v>
      </c>
      <c r="H468" t="str" cm="1">
        <f t="array" ref="H468">IF(F468="Non-PDL","",IF(FuzzyPercent(D468,E468,2)&lt;0.4,"CHECK",""))</f>
        <v/>
      </c>
    </row>
    <row r="469" spans="1:8" x14ac:dyDescent="0.2">
      <c r="A469" t="s">
        <v>930</v>
      </c>
      <c r="B469" t="s">
        <v>0</v>
      </c>
      <c r="D469" t="s">
        <v>2584</v>
      </c>
      <c r="E469" t="str" cm="1">
        <f t="array" ref="E469">IF(COUNTIF(A:A, "*" &amp; LEFT(D469, FIND(" ", D469 &amp; " ") - 1) &amp; "*") &gt; 0,INDEX(A:A,FuzzyVLookup(D469,A:A,0,,,2)),"Non-PDL")</f>
        <v>NOVOLIN 70/30 (insulin NPH/regular)</v>
      </c>
      <c r="F469" t="str">
        <f t="shared" si="7"/>
        <v>Non-Preferred</v>
      </c>
      <c r="G469" s="1" cm="1">
        <f t="array" ref="G469">FuzzyPercent(D469,E469,2)</f>
        <v>0.34810125827789307</v>
      </c>
      <c r="H469" t="str" cm="1">
        <f t="array" ref="H469">IF(F469="Non-PDL","",IF(FuzzyPercent(D469,E469,2)&lt;0.4,"CHECK",""))</f>
        <v>CHECK</v>
      </c>
    </row>
    <row r="470" spans="1:8" x14ac:dyDescent="0.2">
      <c r="A470" t="s">
        <v>932</v>
      </c>
      <c r="B470" t="s">
        <v>0</v>
      </c>
      <c r="D470" t="s">
        <v>2585</v>
      </c>
      <c r="E470" t="str" cm="1">
        <f t="array" ref="E470">IF(COUNTIF(A:A, "*" &amp; LEFT(D470, FIND(" ", D470 &amp; " ") - 1) &amp; "*") &gt; 0,INDEX(A:A,FuzzyVLookup(D470,A:A,0,,,2)),"Non-PDL")</f>
        <v>NOVOLIN R (insulin regular)</v>
      </c>
      <c r="F470" t="str">
        <f t="shared" si="7"/>
        <v>Non-Preferred</v>
      </c>
      <c r="G470" s="1" cm="1">
        <f t="array" ref="G470">FuzzyPercent(D470,E470,2)</f>
        <v>0.29268291592597961</v>
      </c>
      <c r="H470" t="str" cm="1">
        <f t="array" ref="H470">IF(F470="Non-PDL","",IF(FuzzyPercent(D470,E470,2)&lt;0.4,"CHECK",""))</f>
        <v>CHECK</v>
      </c>
    </row>
    <row r="471" spans="1:8" x14ac:dyDescent="0.2">
      <c r="A471" t="s">
        <v>934</v>
      </c>
      <c r="B471" t="s">
        <v>0</v>
      </c>
      <c r="D471" t="s">
        <v>2586</v>
      </c>
      <c r="E471" t="str" cm="1">
        <f t="array" ref="E471">IF(COUNTIF(A:A, "*" &amp; LEFT(D471, FIND(" ", D471 &amp; " ") - 1) &amp; "*") &gt; 0,INDEX(A:A,FuzzyVLookup(D471,A:A,0,,,2)),"Non-PDL")</f>
        <v>NOVOLIN R (insulin regular)</v>
      </c>
      <c r="F471" t="str">
        <f t="shared" si="7"/>
        <v>Non-Preferred</v>
      </c>
      <c r="G471" s="1" cm="1">
        <f t="array" ref="G471">FuzzyPercent(D471,E471,2)</f>
        <v>0.34146341681480408</v>
      </c>
      <c r="H471" t="str" cm="1">
        <f t="array" ref="H471">IF(F471="Non-PDL","",IF(FuzzyPercent(D471,E471,2)&lt;0.4,"CHECK",""))</f>
        <v>CHECK</v>
      </c>
    </row>
    <row r="472" spans="1:8" x14ac:dyDescent="0.2">
      <c r="A472" t="s">
        <v>936</v>
      </c>
      <c r="B472" t="s">
        <v>0</v>
      </c>
      <c r="D472" t="s">
        <v>2587</v>
      </c>
      <c r="E472" t="str" cm="1">
        <f t="array" ref="E472">IF(COUNTIF(A:A, "*" &amp; LEFT(D472, FIND(" ", D472 &amp; " ") - 1) &amp; "*") &gt; 0,INDEX(A:A,FuzzyVLookup(D472,A:A,0,,,2)),"Non-PDL")</f>
        <v>NOVOEIGHT</v>
      </c>
      <c r="F472" t="str">
        <f t="shared" si="7"/>
        <v>Preferred</v>
      </c>
      <c r="G472" s="1" cm="1">
        <f t="array" ref="G472">FuzzyPercent(D472,E472,2)</f>
        <v>0.34782609343528748</v>
      </c>
      <c r="H472" t="str" cm="1">
        <f t="array" ref="H472">IF(F472="Non-PDL","",IF(FuzzyPercent(D472,E472,2)&lt;0.4,"CHECK",""))</f>
        <v>CHECK</v>
      </c>
    </row>
    <row r="473" spans="1:8" x14ac:dyDescent="0.2">
      <c r="A473" t="s">
        <v>938</v>
      </c>
      <c r="B473" t="s">
        <v>0</v>
      </c>
      <c r="D473" t="s">
        <v>2588</v>
      </c>
      <c r="E473" t="str" cm="1">
        <f t="array" ref="E473">IF(COUNTIF(A:A, "*" &amp; LEFT(D473, FIND(" ", D473 &amp; " ") - 1) &amp; "*") &gt; 0,INDEX(A:A,FuzzyVLookup(D473,A:A,0,,,2)),"Non-PDL")</f>
        <v>NOVOLOG (insulin aspart)</v>
      </c>
      <c r="F473" t="str">
        <f t="shared" si="7"/>
        <v>Non-Preferred</v>
      </c>
      <c r="G473" s="1" cm="1">
        <f t="array" ref="G473">FuzzyPercent(D473,E473,2)</f>
        <v>0.28421053290367126</v>
      </c>
      <c r="H473" t="str" cm="1">
        <f t="array" ref="H473">IF(F473="Non-PDL","",IF(FuzzyPercent(D473,E473,2)&lt;0.4,"CHECK",""))</f>
        <v>CHECK</v>
      </c>
    </row>
    <row r="474" spans="1:8" x14ac:dyDescent="0.2">
      <c r="A474" t="s">
        <v>940</v>
      </c>
      <c r="B474" t="s">
        <v>0</v>
      </c>
      <c r="D474" t="s">
        <v>2589</v>
      </c>
      <c r="E474" t="str" cm="1">
        <f t="array" ref="E474">IF(COUNTIF(A:A, "*" &amp; LEFT(D474, FIND(" ", D474 &amp; " ") - 1) &amp; "*") &gt; 0,INDEX(A:A,FuzzyVLookup(D474,A:A,0,,,2)),"Non-PDL")</f>
        <v>NOVOLOG (insulin aspart)</v>
      </c>
      <c r="F474" t="str">
        <f t="shared" si="7"/>
        <v>Non-Preferred</v>
      </c>
      <c r="G474" s="1" cm="1">
        <f t="array" ref="G474">FuzzyPercent(D474,E474,2)</f>
        <v>0.26666668057441711</v>
      </c>
      <c r="H474" t="str" cm="1">
        <f t="array" ref="H474">IF(F474="Non-PDL","",IF(FuzzyPercent(D474,E474,2)&lt;0.4,"CHECK",""))</f>
        <v>CHECK</v>
      </c>
    </row>
    <row r="475" spans="1:8" x14ac:dyDescent="0.2">
      <c r="A475" t="s">
        <v>942</v>
      </c>
      <c r="B475" t="s">
        <v>0</v>
      </c>
      <c r="D475" t="s">
        <v>2590</v>
      </c>
      <c r="E475" t="str" cm="1">
        <f t="array" ref="E475">IF(COUNTIF(A:A, "*" &amp; LEFT(D475, FIND(" ", D475 &amp; " ") - 1) &amp; "*") &gt; 0,INDEX(A:A,FuzzyVLookup(D475,A:A,0,,,2)),"Non-PDL")</f>
        <v>NOVOLOG (insulin aspart)</v>
      </c>
      <c r="F475" t="str">
        <f t="shared" si="7"/>
        <v>Non-Preferred</v>
      </c>
      <c r="G475" s="1" cm="1">
        <f t="array" ref="G475">FuzzyPercent(D475,E475,2)</f>
        <v>0.28571429848670959</v>
      </c>
      <c r="H475" t="str" cm="1">
        <f t="array" ref="H475">IF(F475="Non-PDL","",IF(FuzzyPercent(D475,E475,2)&lt;0.4,"CHECK",""))</f>
        <v>CHECK</v>
      </c>
    </row>
    <row r="476" spans="1:8" x14ac:dyDescent="0.2">
      <c r="A476" t="s">
        <v>943</v>
      </c>
      <c r="B476" t="s">
        <v>0</v>
      </c>
      <c r="D476" t="s">
        <v>2591</v>
      </c>
      <c r="E476" t="str" cm="1">
        <f t="array" ref="E476">IF(COUNTIF(A:A, "*" &amp; LEFT(D476, FIND(" ", D476 &amp; " ") - 1) &amp; "*") &gt; 0,INDEX(A:A,FuzzyVLookup(D476,A:A,0,,,2)),"Non-PDL")</f>
        <v>NOVOLOG (insulin aspart)</v>
      </c>
      <c r="F476" t="str">
        <f t="shared" si="7"/>
        <v>Non-Preferred</v>
      </c>
      <c r="G476" s="1" cm="1">
        <f t="array" ref="G476">FuzzyPercent(D476,E476,2)</f>
        <v>0.22018349170684814</v>
      </c>
      <c r="H476" t="str" cm="1">
        <f t="array" ref="H476">IF(F476="Non-PDL","",IF(FuzzyPercent(D476,E476,2)&lt;0.4,"CHECK",""))</f>
        <v>CHECK</v>
      </c>
    </row>
    <row r="477" spans="1:8" x14ac:dyDescent="0.2">
      <c r="A477" t="s">
        <v>945</v>
      </c>
      <c r="B477" t="s">
        <v>0</v>
      </c>
      <c r="D477" t="s">
        <v>2592</v>
      </c>
      <c r="E477" t="str" cm="1">
        <f t="array" ref="E477">IF(COUNTIF(A:A, "*" &amp; LEFT(D477, FIND(" ", D477 &amp; " ") - 1) &amp; "*") &gt; 0,INDEX(A:A,FuzzyVLookup(D477,A:A,0,,,2)),"Non-PDL")</f>
        <v>NOVOSEVEN RT (factor VII)</v>
      </c>
      <c r="F477" t="str">
        <f t="shared" si="7"/>
        <v>Non-Preferred</v>
      </c>
      <c r="G477" s="1" cm="1">
        <f t="array" ref="G477">FuzzyPercent(D477,E477,2)</f>
        <v>0.54117649793624878</v>
      </c>
      <c r="H477" t="str" cm="1">
        <f t="array" ref="H477">IF(F477="Non-PDL","",IF(FuzzyPercent(D477,E477,2)&lt;0.4,"CHECK",""))</f>
        <v/>
      </c>
    </row>
    <row r="478" spans="1:8" x14ac:dyDescent="0.2">
      <c r="A478" t="s">
        <v>947</v>
      </c>
      <c r="B478" t="s">
        <v>0</v>
      </c>
      <c r="D478" t="s">
        <v>2593</v>
      </c>
      <c r="E478" t="str" cm="1">
        <f t="array" ref="E478">IF(COUNTIF(A:A, "*" &amp; LEFT(D478, FIND(" ", D478 &amp; " ") - 1) &amp; "*") &gt; 0,INDEX(A:A,FuzzyVLookup(D478,A:A,0,,,2)),"Non-PDL")</f>
        <v>probenecid</v>
      </c>
      <c r="F478" t="str">
        <f t="shared" si="7"/>
        <v>Preferred</v>
      </c>
      <c r="G478" s="1" cm="1">
        <f t="array" ref="G478">FuzzyPercent(D478,E478,2)</f>
        <v>0.11764705926179886</v>
      </c>
      <c r="H478" t="str" cm="1">
        <f t="array" ref="H478">IF(F478="Non-PDL","",IF(FuzzyPercent(D478,E478,2)&lt;0.4,"CHECK",""))</f>
        <v>CHECK</v>
      </c>
    </row>
    <row r="479" spans="1:8" x14ac:dyDescent="0.2">
      <c r="A479" t="s">
        <v>948</v>
      </c>
      <c r="B479" t="s">
        <v>0</v>
      </c>
      <c r="D479" t="s">
        <v>2594</v>
      </c>
      <c r="E479" t="str" cm="1">
        <f t="array" ref="E479">IF(COUNTIF(A:A, "*" &amp; LEFT(D479, FIND(" ", D479 &amp; " ") - 1) &amp; "*") &gt; 0,INDEX(A:A,FuzzyVLookup(D479,A:A,0,,,2)),"Non-PDL")</f>
        <v>NUBEQA (darolutamide)</v>
      </c>
      <c r="F479" t="str">
        <f t="shared" si="7"/>
        <v>Non-Preferred</v>
      </c>
      <c r="G479" s="1" cm="1">
        <f t="array" ref="G479">FuzzyPercent(D479,E479,2)</f>
        <v>0.28070175647735596</v>
      </c>
      <c r="H479" t="str" cm="1">
        <f t="array" ref="H479">IF(F479="Non-PDL","",IF(FuzzyPercent(D479,E479,2)&lt;0.4,"CHECK",""))</f>
        <v>CHECK</v>
      </c>
    </row>
    <row r="480" spans="1:8" x14ac:dyDescent="0.2">
      <c r="A480" t="s">
        <v>950</v>
      </c>
      <c r="B480" t="s">
        <v>0</v>
      </c>
      <c r="D480" t="s">
        <v>2595</v>
      </c>
      <c r="E480" t="str" cm="1">
        <f t="array" ref="E480">IF(COUNTIF(A:A, "*" &amp; LEFT(D480, FIND(" ", D480 &amp; " ") - 1) &amp; "*") &gt; 0,INDEX(A:A,FuzzyVLookup(D480,A:A,0,,,2)),"Non-PDL")</f>
        <v>NUCALA (mepolizumab)</v>
      </c>
      <c r="F480" t="str">
        <f t="shared" si="7"/>
        <v>Non-Preferred</v>
      </c>
      <c r="G480" s="1" cm="1">
        <f t="array" ref="G480">FuzzyPercent(D480,E480,2)</f>
        <v>0.29629629850387573</v>
      </c>
      <c r="H480" t="str" cm="1">
        <f t="array" ref="H480">IF(F480="Non-PDL","",IF(FuzzyPercent(D480,E480,2)&lt;0.4,"CHECK",""))</f>
        <v>CHECK</v>
      </c>
    </row>
    <row r="481" spans="1:8" x14ac:dyDescent="0.2">
      <c r="A481" t="s">
        <v>952</v>
      </c>
      <c r="B481" t="s">
        <v>0</v>
      </c>
      <c r="D481" t="s">
        <v>2596</v>
      </c>
      <c r="E481" t="str" cm="1">
        <f t="array" ref="E481">IF(COUNTIF(A:A, "*" &amp; LEFT(D481, FIND(" ", D481 &amp; " ") - 1) &amp; "*") &gt; 0,INDEX(A:A,FuzzyVLookup(D481,A:A,0,,,2)),"Non-PDL")</f>
        <v>NUPLAZID (pimavanserin)</v>
      </c>
      <c r="F481" t="str">
        <f t="shared" si="7"/>
        <v>Non-Preferred</v>
      </c>
      <c r="G481" s="1" cm="1">
        <f t="array" ref="G481">FuzzyPercent(D481,E481,2)</f>
        <v>0.36923077702522278</v>
      </c>
      <c r="H481" t="str" cm="1">
        <f t="array" ref="H481">IF(F481="Non-PDL","",IF(FuzzyPercent(D481,E481,2)&lt;0.4,"CHECK",""))</f>
        <v>CHECK</v>
      </c>
    </row>
    <row r="482" spans="1:8" x14ac:dyDescent="0.2">
      <c r="A482" t="s">
        <v>954</v>
      </c>
      <c r="B482" t="s">
        <v>0</v>
      </c>
      <c r="D482" t="s">
        <v>2597</v>
      </c>
      <c r="E482" t="str" cm="1">
        <f t="array" ref="E482">IF(COUNTIF(A:A, "*" &amp; LEFT(D482, FIND(" ", D482 &amp; " ") - 1) &amp; "*") &gt; 0,INDEX(A:A,FuzzyVLookup(D482,A:A,0,,,2)),"Non-PDL")</f>
        <v>NURTEC ODT (rimegepant)</v>
      </c>
      <c r="F482" t="str">
        <f t="shared" si="7"/>
        <v>Preferred</v>
      </c>
      <c r="G482" s="1" cm="1">
        <f t="array" ref="G482">FuzzyPercent(D482,E482,2)</f>
        <v>0.48571428656578064</v>
      </c>
      <c r="H482" t="str" cm="1">
        <f t="array" ref="H482">IF(F482="Non-PDL","",IF(FuzzyPercent(D482,E482,2)&lt;0.4,"CHECK",""))</f>
        <v/>
      </c>
    </row>
    <row r="483" spans="1:8" x14ac:dyDescent="0.2">
      <c r="A483" t="s">
        <v>956</v>
      </c>
      <c r="B483" t="s">
        <v>0</v>
      </c>
      <c r="D483" t="s">
        <v>2598</v>
      </c>
      <c r="E483" t="str" cm="1">
        <f t="array" ref="E483">IF(COUNTIF(A:A, "*" &amp; LEFT(D483, FIND(" ", D483 &amp; " ") - 1) &amp; "*") &gt; 0,INDEX(A:A,FuzzyVLookup(D483,A:A,0,,,2)),"Non-PDL")</f>
        <v>Non-PDL</v>
      </c>
      <c r="F483" t="str">
        <f t="shared" si="7"/>
        <v>Non-PDL</v>
      </c>
      <c r="G483" s="1" cm="1">
        <f t="array" ref="G483">FuzzyPercent(D483,E483,2)</f>
        <v>0</v>
      </c>
      <c r="H483" t="str" cm="1">
        <f t="array" ref="H483">IF(F483="Non-PDL","",IF(FuzzyPercent(D483,E483,2)&lt;0.4,"CHECK",""))</f>
        <v/>
      </c>
    </row>
    <row r="484" spans="1:8" x14ac:dyDescent="0.2">
      <c r="A484" t="s">
        <v>958</v>
      </c>
      <c r="B484" t="s">
        <v>0</v>
      </c>
      <c r="D484" t="s">
        <v>2599</v>
      </c>
      <c r="E484" t="str" cm="1">
        <f t="array" ref="E484">IF(COUNTIF(A:A, "*" &amp; LEFT(D484, FIND(" ", D484 &amp; " ") - 1) &amp; "*") &gt; 0,INDEX(A:A,FuzzyVLookup(D484,A:A,0,,,2)),"Non-PDL")</f>
        <v>Non-PDL</v>
      </c>
      <c r="F484" t="str">
        <f t="shared" si="7"/>
        <v>Non-PDL</v>
      </c>
      <c r="G484" s="1" cm="1">
        <f t="array" ref="G484">FuzzyPercent(D484,E484,2)</f>
        <v>0</v>
      </c>
      <c r="H484" t="str" cm="1">
        <f t="array" ref="H484">IF(F484="Non-PDL","",IF(FuzzyPercent(D484,E484,2)&lt;0.4,"CHECK",""))</f>
        <v/>
      </c>
    </row>
    <row r="485" spans="1:8" x14ac:dyDescent="0.2">
      <c r="A485" t="s">
        <v>960</v>
      </c>
      <c r="B485" t="s">
        <v>0</v>
      </c>
      <c r="D485" t="s">
        <v>2600</v>
      </c>
      <c r="E485" t="str" cm="1">
        <f t="array" ref="E485">IF(COUNTIF(A:A, "*" &amp; LEFT(D485, FIND(" ", D485 &amp; " ") - 1) &amp; "*") &gt; 0,INDEX(A:A,FuzzyVLookup(D485,A:A,0,,,2)),"Non-PDL")</f>
        <v>NUVESSA (metronidazole)</v>
      </c>
      <c r="F485" t="str">
        <f t="shared" si="7"/>
        <v>Preferred</v>
      </c>
      <c r="G485" s="1" cm="1">
        <f t="array" ref="G485">FuzzyPercent(D485,E485,2)</f>
        <v>0.29032257199287415</v>
      </c>
      <c r="H485" t="str" cm="1">
        <f t="array" ref="H485">IF(F485="Non-PDL","",IF(FuzzyPercent(D485,E485,2)&lt;0.4,"CHECK",""))</f>
        <v>CHECK</v>
      </c>
    </row>
    <row r="486" spans="1:8" x14ac:dyDescent="0.2">
      <c r="A486" t="s">
        <v>962</v>
      </c>
      <c r="B486" t="s">
        <v>0</v>
      </c>
      <c r="D486" t="s">
        <v>2601</v>
      </c>
      <c r="E486" t="str" cm="1">
        <f t="array" ref="E486">IF(COUNTIF(A:A, "*" &amp; LEFT(D486, FIND(" ", D486 &amp; " ") - 1) &amp; "*") &gt; 0,INDEX(A:A,FuzzyVLookup(D486,A:A,0,,,2)),"Non-PDL")</f>
        <v>NUWIQ</v>
      </c>
      <c r="F486" t="str">
        <f t="shared" si="7"/>
        <v>Preferred</v>
      </c>
      <c r="G486" s="1" cm="1">
        <f t="array" ref="G486">FuzzyPercent(D486,E486,2)</f>
        <v>1</v>
      </c>
      <c r="H486" t="str" cm="1">
        <f t="array" ref="H486">IF(F486="Non-PDL","",IF(FuzzyPercent(D486,E486,2)&lt;0.4,"CHECK",""))</f>
        <v/>
      </c>
    </row>
    <row r="487" spans="1:8" x14ac:dyDescent="0.2">
      <c r="A487" t="s">
        <v>964</v>
      </c>
      <c r="B487" t="s">
        <v>0</v>
      </c>
      <c r="D487" t="s">
        <v>2602</v>
      </c>
      <c r="E487" t="str" cm="1">
        <f t="array" ref="E487">IF(COUNTIF(A:A, "*" &amp; LEFT(D487, FIND(" ", D487 &amp; " ") - 1) &amp; "*") &gt; 0,INDEX(A:A,FuzzyVLookup(D487,A:A,0,,,2)),"Non-PDL")</f>
        <v>NYVEPRIA (pegfilgrastim-apgf)</v>
      </c>
      <c r="F487" t="str">
        <f t="shared" si="7"/>
        <v>Non-Preferred</v>
      </c>
      <c r="G487" s="1" cm="1">
        <f t="array" ref="G487">FuzzyPercent(D487,E487,2)</f>
        <v>0.27906978130340576</v>
      </c>
      <c r="H487" t="str" cm="1">
        <f t="array" ref="H487">IF(F487="Non-PDL","",IF(FuzzyPercent(D487,E487,2)&lt;0.4,"CHECK",""))</f>
        <v>CHECK</v>
      </c>
    </row>
    <row r="488" spans="1:8" x14ac:dyDescent="0.2">
      <c r="A488" t="s">
        <v>966</v>
      </c>
      <c r="B488" t="s">
        <v>0</v>
      </c>
      <c r="D488" t="s">
        <v>2603</v>
      </c>
      <c r="E488" t="str" cm="1">
        <f t="array" ref="E488">IF(COUNTIF(A:A, "*" &amp; LEFT(D488, FIND(" ", D488 &amp; " ") - 1) &amp; "*") &gt; 0,INDEX(A:A,FuzzyVLookup(D488,A:A,0,,,2)),"Non-PDL")</f>
        <v>OCREVUS (ocrelizumab)</v>
      </c>
      <c r="F488" t="str">
        <f t="shared" si="7"/>
        <v>Non-Preferred</v>
      </c>
      <c r="G488" s="1" cm="1">
        <f t="array" ref="G488">FuzzyPercent(D488,E488,2)</f>
        <v>0.31034481525421143</v>
      </c>
      <c r="H488" t="str" cm="1">
        <f t="array" ref="H488">IF(F488="Non-PDL","",IF(FuzzyPercent(D488,E488,2)&lt;0.4,"CHECK",""))</f>
        <v>CHECK</v>
      </c>
    </row>
    <row r="489" spans="1:8" x14ac:dyDescent="0.2">
      <c r="A489" t="s">
        <v>968</v>
      </c>
      <c r="B489" t="s">
        <v>0</v>
      </c>
      <c r="D489" t="s">
        <v>2604</v>
      </c>
      <c r="E489" t="str" cm="1">
        <f t="array" ref="E489">IF(COUNTIF(A:A, "*" &amp; LEFT(D489, FIND(" ", D489 &amp; " ") - 1) &amp; "*") &gt; 0,INDEX(A:A,FuzzyVLookup(D489,A:A,0,,,2)),"Non-PDL")</f>
        <v>OCREVUS ZUNOVO (ocrelizumab-hyaluronidase)</v>
      </c>
      <c r="F489" t="str">
        <f t="shared" si="7"/>
        <v>Non-Preferred</v>
      </c>
      <c r="G489" s="1" cm="1">
        <f t="array" ref="G489">FuzzyPercent(D489,E489,2)</f>
        <v>0.2910798192024231</v>
      </c>
      <c r="H489" t="str" cm="1">
        <f t="array" ref="H489">IF(F489="Non-PDL","",IF(FuzzyPercent(D489,E489,2)&lt;0.4,"CHECK",""))</f>
        <v>CHECK</v>
      </c>
    </row>
    <row r="490" spans="1:8" x14ac:dyDescent="0.2">
      <c r="A490" t="s">
        <v>970</v>
      </c>
      <c r="B490" t="s">
        <v>0</v>
      </c>
      <c r="D490" t="s">
        <v>2605</v>
      </c>
      <c r="E490" t="str" cm="1">
        <f t="array" ref="E490">IF(COUNTIF(A:A, "*" &amp; LEFT(D490, FIND(" ", D490 &amp; " ") - 1) &amp; "*") &gt; 0,INDEX(A:A,FuzzyVLookup(D490,A:A,0,,,2)),"Non-PDL")</f>
        <v>Non-PDL</v>
      </c>
      <c r="F490" t="str">
        <f t="shared" si="7"/>
        <v>Non-PDL</v>
      </c>
      <c r="G490" s="1" cm="1">
        <f t="array" ref="G490">FuzzyPercent(D490,E490,2)</f>
        <v>0</v>
      </c>
      <c r="H490" t="str" cm="1">
        <f t="array" ref="H490">IF(F490="Non-PDL","",IF(FuzzyPercent(D490,E490,2)&lt;0.4,"CHECK",""))</f>
        <v/>
      </c>
    </row>
    <row r="491" spans="1:8" x14ac:dyDescent="0.2">
      <c r="A491" t="s">
        <v>972</v>
      </c>
      <c r="B491" t="s">
        <v>0</v>
      </c>
      <c r="D491" t="s">
        <v>2606</v>
      </c>
      <c r="E491" t="str" cm="1">
        <f t="array" ref="E491">IF(COUNTIF(A:A, "*" &amp; LEFT(D491, FIND(" ", D491 &amp; " ") - 1) &amp; "*") &gt; 0,INDEX(A:A,FuzzyVLookup(D491,A:A,0,,,2)),"Non-PDL")</f>
        <v>codeine</v>
      </c>
      <c r="F491" t="str">
        <f t="shared" si="7"/>
        <v>Preferred</v>
      </c>
      <c r="G491" s="1" cm="1">
        <f t="array" ref="G491">FuzzyPercent(D491,E491,2)</f>
        <v>0.2222222238779068</v>
      </c>
      <c r="H491" t="str" cm="1">
        <f t="array" ref="H491">IF(F491="Non-PDL","",IF(FuzzyPercent(D491,E491,2)&lt;0.4,"CHECK",""))</f>
        <v>CHECK</v>
      </c>
    </row>
    <row r="492" spans="1:8" x14ac:dyDescent="0.2">
      <c r="A492" t="s">
        <v>973</v>
      </c>
      <c r="B492" t="s">
        <v>0</v>
      </c>
      <c r="D492" t="s">
        <v>2607</v>
      </c>
      <c r="E492" t="str" cm="1">
        <f t="array" ref="E492">IF(COUNTIF(A:A, "*" &amp; LEFT(D492, FIND(" ", D492 &amp; " ") - 1) &amp; "*") &gt; 0,INDEX(A:A,FuzzyVLookup(D492,A:A,0,,,2)),"Non-PDL")</f>
        <v>Non-PDL</v>
      </c>
      <c r="F492" t="str">
        <f t="shared" si="7"/>
        <v>Non-PDL</v>
      </c>
      <c r="G492" s="1" cm="1">
        <f t="array" ref="G492">FuzzyPercent(D492,E492,2)</f>
        <v>0</v>
      </c>
      <c r="H492" t="str" cm="1">
        <f t="array" ref="H492">IF(F492="Non-PDL","",IF(FuzzyPercent(D492,E492,2)&lt;0.4,"CHECK",""))</f>
        <v/>
      </c>
    </row>
    <row r="493" spans="1:8" x14ac:dyDescent="0.2">
      <c r="A493" t="s">
        <v>975</v>
      </c>
      <c r="B493" t="s">
        <v>0</v>
      </c>
      <c r="D493" t="s">
        <v>2608</v>
      </c>
      <c r="E493" t="str" cm="1">
        <f t="array" ref="E493">IF(COUNTIF(A:A, "*" &amp; LEFT(D493, FIND(" ", D493 &amp; " ") - 1) &amp; "*") &gt; 0,INDEX(A:A,FuzzyVLookup(D493,A:A,0,,,2)),"Non-PDL")</f>
        <v>OGSIVEO (nirogacestat)</v>
      </c>
      <c r="F493" t="str">
        <f t="shared" si="7"/>
        <v>Non-Preferred</v>
      </c>
      <c r="G493" s="1" cm="1">
        <f t="array" ref="G493">FuzzyPercent(D493,E493,2)</f>
        <v>0.2950819730758667</v>
      </c>
      <c r="H493" t="str" cm="1">
        <f t="array" ref="H493">IF(F493="Non-PDL","",IF(FuzzyPercent(D493,E493,2)&lt;0.4,"CHECK",""))</f>
        <v>CHECK</v>
      </c>
    </row>
    <row r="494" spans="1:8" x14ac:dyDescent="0.2">
      <c r="A494" t="s">
        <v>977</v>
      </c>
      <c r="B494" t="s">
        <v>0</v>
      </c>
      <c r="D494" t="s">
        <v>2609</v>
      </c>
      <c r="E494" t="str" cm="1">
        <f t="array" ref="E494">IF(COUNTIF(A:A, "*" &amp; LEFT(D494, FIND(" ", D494 &amp; " ") - 1) &amp; "*") &gt; 0,INDEX(A:A,FuzzyVLookup(D494,A:A,0,,,2)),"Non-PDL")</f>
        <v>OJEMDA (tovorafenib)</v>
      </c>
      <c r="F494" t="str">
        <f t="shared" si="7"/>
        <v>Non-Preferred</v>
      </c>
      <c r="G494" s="1" cm="1">
        <f t="array" ref="G494">FuzzyPercent(D494,E494,2)</f>
        <v>0.29629629850387573</v>
      </c>
      <c r="H494" t="str" cm="1">
        <f t="array" ref="H494">IF(F494="Non-PDL","",IF(FuzzyPercent(D494,E494,2)&lt;0.4,"CHECK",""))</f>
        <v>CHECK</v>
      </c>
    </row>
    <row r="495" spans="1:8" x14ac:dyDescent="0.2">
      <c r="A495" t="s">
        <v>979</v>
      </c>
      <c r="B495" t="s">
        <v>0</v>
      </c>
      <c r="D495" t="s">
        <v>2610</v>
      </c>
      <c r="E495" t="str" cm="1">
        <f t="array" ref="E495">IF(COUNTIF(A:A, "*" &amp; LEFT(D495, FIND(" ", D495 &amp; " ") - 1) &amp; "*") &gt; 0,INDEX(A:A,FuzzyVLookup(D495,A:A,0,,,2)),"Non-PDL")</f>
        <v>olanzapine</v>
      </c>
      <c r="F495" t="str">
        <f t="shared" si="7"/>
        <v>Preferred</v>
      </c>
      <c r="G495" s="1" cm="1">
        <f t="array" ref="G495">FuzzyPercent(D495,E495,2)</f>
        <v>0.62962961196899414</v>
      </c>
      <c r="H495" t="str" cm="1">
        <f t="array" ref="H495">IF(F495="Non-PDL","",IF(FuzzyPercent(D495,E495,2)&lt;0.4,"CHECK",""))</f>
        <v/>
      </c>
    </row>
    <row r="496" spans="1:8" x14ac:dyDescent="0.2">
      <c r="A496" t="s">
        <v>981</v>
      </c>
      <c r="B496" t="s">
        <v>0</v>
      </c>
      <c r="D496" t="s">
        <v>2611</v>
      </c>
      <c r="E496" t="str" cm="1">
        <f t="array" ref="E496">IF(COUNTIF(A:A, "*" &amp; LEFT(D496, FIND(" ", D496 &amp; " ") - 1) &amp; "*") &gt; 0,INDEX(A:A,FuzzyVLookup(D496,A:A,0,,,2)),"Non-PDL")</f>
        <v>clozapine tablet</v>
      </c>
      <c r="F496" t="str">
        <f t="shared" si="7"/>
        <v>Preferred</v>
      </c>
      <c r="G496" s="1" cm="1">
        <f t="array" ref="G496">FuzzyPercent(D496,E496,2)</f>
        <v>0.48571428656578064</v>
      </c>
      <c r="H496" t="str" cm="1">
        <f t="array" ref="H496">IF(F496="Non-PDL","",IF(FuzzyPercent(D496,E496,2)&lt;0.4,"CHECK",""))</f>
        <v/>
      </c>
    </row>
    <row r="497" spans="1:8" x14ac:dyDescent="0.2">
      <c r="A497" t="s">
        <v>983</v>
      </c>
      <c r="B497" t="s">
        <v>0</v>
      </c>
      <c r="D497" t="s">
        <v>2612</v>
      </c>
      <c r="E497" t="str" cm="1">
        <f t="array" ref="E497">IF(COUNTIF(A:A, "*" &amp; LEFT(D497, FIND(" ", D497 &amp; " ") - 1) &amp; "*") &gt; 0,INDEX(A:A,FuzzyVLookup(D497,A:A,0,,,2)),"Non-PDL")</f>
        <v>olanzapine</v>
      </c>
      <c r="F497" t="str">
        <f t="shared" si="7"/>
        <v>Preferred</v>
      </c>
      <c r="G497" s="1" cm="1">
        <f t="array" ref="G497">FuzzyPercent(D497,E497,2)</f>
        <v>0.56666666269302368</v>
      </c>
      <c r="H497" t="str" cm="1">
        <f t="array" ref="H497">IF(F497="Non-PDL","",IF(FuzzyPercent(D497,E497,2)&lt;0.4,"CHECK",""))</f>
        <v/>
      </c>
    </row>
    <row r="498" spans="1:8" x14ac:dyDescent="0.2">
      <c r="A498" t="s">
        <v>985</v>
      </c>
      <c r="B498" t="s">
        <v>0</v>
      </c>
      <c r="D498" t="s">
        <v>2613</v>
      </c>
      <c r="E498" t="str" cm="1">
        <f t="array" ref="E498">IF(COUNTIF(A:A, "*" &amp; LEFT(D498, FIND(" ", D498 &amp; " ") - 1) &amp; "*") &gt; 0,INDEX(A:A,FuzzyVLookup(D498,A:A,0,,,2)),"Non-PDL")</f>
        <v>olanzapine/fluoxetine</v>
      </c>
      <c r="F498" t="str">
        <f t="shared" si="7"/>
        <v>Non-Preferred</v>
      </c>
      <c r="G498" s="1" cm="1">
        <f t="array" ref="G498">FuzzyPercent(D498,E498,2)</f>
        <v>0.48387095332145691</v>
      </c>
      <c r="H498" t="str" cm="1">
        <f t="array" ref="H498">IF(F498="Non-PDL","",IF(FuzzyPercent(D498,E498,2)&lt;0.4,"CHECK",""))</f>
        <v/>
      </c>
    </row>
    <row r="499" spans="1:8" x14ac:dyDescent="0.2">
      <c r="A499" t="s">
        <v>987</v>
      </c>
      <c r="B499" t="s">
        <v>0</v>
      </c>
      <c r="D499" t="s">
        <v>2614</v>
      </c>
      <c r="E499" t="str" cm="1">
        <f t="array" ref="E499">IF(COUNTIF(A:A, "*" &amp; LEFT(D499, FIND(" ", D499 &amp; " ") - 1) &amp; "*") &gt; 0,INDEX(A:A,FuzzyVLookup(D499,A:A,0,,,2)),"Non-PDL")</f>
        <v>olmesartan</v>
      </c>
      <c r="F499" t="str">
        <f t="shared" si="7"/>
        <v>Preferred</v>
      </c>
      <c r="G499" s="1" cm="1">
        <f t="array" ref="G499">FuzzyPercent(D499,E499,2)</f>
        <v>1</v>
      </c>
      <c r="H499" t="str" cm="1">
        <f t="array" ref="H499">IF(F499="Non-PDL","",IF(FuzzyPercent(D499,E499,2)&lt;0.4,"CHECK",""))</f>
        <v/>
      </c>
    </row>
    <row r="500" spans="1:8" x14ac:dyDescent="0.2">
      <c r="A500" t="s">
        <v>989</v>
      </c>
      <c r="B500" t="s">
        <v>0</v>
      </c>
      <c r="D500" t="s">
        <v>2615</v>
      </c>
      <c r="E500" t="str" cm="1">
        <f t="array" ref="E500">IF(COUNTIF(A:A, "*" &amp; LEFT(D500, FIND(" ", D500 &amp; " ") - 1) &amp; "*") &gt; 0,INDEX(A:A,FuzzyVLookup(D500,A:A,0,,,2)),"Non-PDL")</f>
        <v>OLPRUVA (sodium phenylbutyrate)</v>
      </c>
      <c r="F500" t="str">
        <f t="shared" si="7"/>
        <v>Non-Preferred</v>
      </c>
      <c r="G500" s="1" cm="1">
        <f t="array" ref="G500">FuzzyPercent(D500,E500,2)</f>
        <v>0.19780220091342926</v>
      </c>
      <c r="H500" t="str" cm="1">
        <f t="array" ref="H500">IF(F500="Non-PDL","",IF(FuzzyPercent(D500,E500,2)&lt;0.4,"CHECK",""))</f>
        <v>CHECK</v>
      </c>
    </row>
    <row r="501" spans="1:8" x14ac:dyDescent="0.2">
      <c r="A501" t="s">
        <v>991</v>
      </c>
      <c r="B501" t="s">
        <v>0</v>
      </c>
      <c r="D501" t="s">
        <v>2616</v>
      </c>
      <c r="E501" t="str" cm="1">
        <f t="array" ref="E501">IF(COUNTIF(A:A, "*" &amp; LEFT(D501, FIND(" ", D501 &amp; " ") - 1) &amp; "*") &gt; 0,INDEX(A:A,FuzzyVLookup(D501,A:A,0,,,2)),"Non-PDL")</f>
        <v>OLUMIANT (baricitinib)</v>
      </c>
      <c r="F501" t="str">
        <f t="shared" si="7"/>
        <v>Preferred</v>
      </c>
      <c r="G501" s="1" cm="1">
        <f t="array" ref="G501">FuzzyPercent(D501,E501,2)</f>
        <v>0.375</v>
      </c>
      <c r="H501" t="str" cm="1">
        <f t="array" ref="H501">IF(F501="Non-PDL","",IF(FuzzyPercent(D501,E501,2)&lt;0.4,"CHECK",""))</f>
        <v>CHECK</v>
      </c>
    </row>
    <row r="502" spans="1:8" x14ac:dyDescent="0.2">
      <c r="A502" t="s">
        <v>993</v>
      </c>
      <c r="B502" t="s">
        <v>0</v>
      </c>
      <c r="D502" t="s">
        <v>2617</v>
      </c>
      <c r="E502" t="str" cm="1">
        <f t="array" ref="E502">IF(COUNTIF(A:A, "*" &amp; LEFT(D502, FIND(" ", D502 &amp; " ") - 1) &amp; "*") &gt; 0,INDEX(A:A,FuzzyVLookup(D502,A:A,0,,,2)),"Non-PDL")</f>
        <v>Non-PDL</v>
      </c>
      <c r="F502" t="str">
        <f t="shared" si="7"/>
        <v>Non-PDL</v>
      </c>
      <c r="G502" s="1" cm="1">
        <f t="array" ref="G502">FuzzyPercent(D502,E502,2)</f>
        <v>0</v>
      </c>
      <c r="H502" t="str" cm="1">
        <f t="array" ref="H502">IF(F502="Non-PDL","",IF(FuzzyPercent(D502,E502,2)&lt;0.4,"CHECK",""))</f>
        <v/>
      </c>
    </row>
    <row r="503" spans="1:8" x14ac:dyDescent="0.2">
      <c r="A503" t="s">
        <v>995</v>
      </c>
      <c r="B503" t="s">
        <v>0</v>
      </c>
      <c r="D503" t="s">
        <v>2618</v>
      </c>
      <c r="E503" t="str" cm="1">
        <f t="array" ref="E503">IF(COUNTIF(A:A, "*" &amp; LEFT(D503, FIND(" ", D503 &amp; " ") - 1) &amp; "*") &gt; 0,INDEX(A:A,FuzzyVLookup(D503,A:A,0,,,2)),"Non-PDL")</f>
        <v>metronidazole capsule</v>
      </c>
      <c r="F503" t="str">
        <f t="shared" si="7"/>
        <v>Non-Preferred</v>
      </c>
      <c r="G503" s="1" cm="1">
        <f t="array" ref="G503">FuzzyPercent(D503,E503,2)</f>
        <v>0.44943821430206299</v>
      </c>
      <c r="H503" t="str" cm="1">
        <f t="array" ref="H503">IF(F503="Non-PDL","",IF(FuzzyPercent(D503,E503,2)&lt;0.4,"CHECK",""))</f>
        <v/>
      </c>
    </row>
    <row r="504" spans="1:8" x14ac:dyDescent="0.2">
      <c r="A504" t="s">
        <v>997</v>
      </c>
      <c r="B504" t="s">
        <v>0</v>
      </c>
      <c r="D504" t="s">
        <v>2619</v>
      </c>
      <c r="E504" t="str" cm="1">
        <f t="array" ref="E504">IF(COUNTIF(A:A, "*" &amp; LEFT(D504, FIND(" ", D504 &amp; " ") - 1) &amp; "*") &gt; 0,INDEX(A:A,FuzzyVLookup(D504,A:A,0,,,2)),"Non-PDL")</f>
        <v>omeprazole</v>
      </c>
      <c r="F504" t="str">
        <f t="shared" si="7"/>
        <v>Preferred</v>
      </c>
      <c r="G504" s="1" cm="1">
        <f t="array" ref="G504">FuzzyPercent(D504,E504,2)</f>
        <v>0.48571428656578064</v>
      </c>
      <c r="H504" t="str" cm="1">
        <f t="array" ref="H504">IF(F504="Non-PDL","",IF(FuzzyPercent(D504,E504,2)&lt;0.4,"CHECK",""))</f>
        <v/>
      </c>
    </row>
    <row r="505" spans="1:8" x14ac:dyDescent="0.2">
      <c r="A505" t="s">
        <v>999</v>
      </c>
      <c r="B505" t="s">
        <v>0</v>
      </c>
      <c r="D505" t="s">
        <v>2620</v>
      </c>
      <c r="E505" t="str" cm="1">
        <f t="array" ref="E505">IF(COUNTIF(A:A, "*" &amp; LEFT(D505, FIND(" ", D505 &amp; " ") - 1) &amp; "*") &gt; 0,INDEX(A:A,FuzzyVLookup(D505,A:A,0,,,2)),"Non-PDL")</f>
        <v>Non-PDL</v>
      </c>
      <c r="F505" t="str">
        <f t="shared" si="7"/>
        <v>Non-PDL</v>
      </c>
      <c r="G505" s="1" cm="1">
        <f t="array" ref="G505">FuzzyPercent(D505,E505,2)</f>
        <v>0</v>
      </c>
      <c r="H505" t="str" cm="1">
        <f t="array" ref="H505">IF(F505="Non-PDL","",IF(FuzzyPercent(D505,E505,2)&lt;0.4,"CHECK",""))</f>
        <v/>
      </c>
    </row>
    <row r="506" spans="1:8" x14ac:dyDescent="0.2">
      <c r="A506" t="s">
        <v>1001</v>
      </c>
      <c r="B506" t="s">
        <v>0</v>
      </c>
      <c r="D506" t="s">
        <v>2621</v>
      </c>
      <c r="E506" t="str" cm="1">
        <f t="array" ref="E506">IF(COUNTIF(A:A, "*" &amp; LEFT(D506, FIND(" ", D506 &amp; " ") - 1) &amp; "*") &gt; 0,INDEX(A:A,FuzzyVLookup(D506,A:A,0,,,2)),"Non-PDL")</f>
        <v>OMNITROPE (somatropin)</v>
      </c>
      <c r="F506" t="str">
        <f t="shared" si="7"/>
        <v>Non-Preferred</v>
      </c>
      <c r="G506" s="1" cm="1">
        <f t="array" ref="G506">FuzzyPercent(D506,E506,2)</f>
        <v>0.42424243688583374</v>
      </c>
      <c r="H506" t="str" cm="1">
        <f t="array" ref="H506">IF(F506="Non-PDL","",IF(FuzzyPercent(D506,E506,2)&lt;0.4,"CHECK",""))</f>
        <v/>
      </c>
    </row>
    <row r="507" spans="1:8" x14ac:dyDescent="0.2">
      <c r="A507" t="s">
        <v>1003</v>
      </c>
      <c r="B507" t="s">
        <v>0</v>
      </c>
      <c r="D507" t="s">
        <v>2622</v>
      </c>
      <c r="E507" t="str" cm="1">
        <f t="array" ref="E507">IF(COUNTIF(A:A, "*" &amp; LEFT(D507, FIND(" ", D507 &amp; " ") - 1) &amp; "*") &gt; 0,INDEX(A:A,FuzzyVLookup(D507,A:A,0,,,2)),"Non-PDL")</f>
        <v>cefixime suspension</v>
      </c>
      <c r="F507" t="str">
        <f t="shared" si="7"/>
        <v>Non-Preferred</v>
      </c>
      <c r="G507" s="1" cm="1">
        <f t="array" ref="G507">FuzzyPercent(D507,E507,2)</f>
        <v>0.34782609343528748</v>
      </c>
      <c r="H507" t="str" cm="1">
        <f t="array" ref="H507">IF(F507="Non-PDL","",IF(FuzzyPercent(D507,E507,2)&lt;0.4,"CHECK",""))</f>
        <v>CHECK</v>
      </c>
    </row>
    <row r="508" spans="1:8" x14ac:dyDescent="0.2">
      <c r="A508" t="s">
        <v>1005</v>
      </c>
      <c r="B508" t="s">
        <v>0</v>
      </c>
      <c r="D508" t="s">
        <v>2623</v>
      </c>
      <c r="E508" t="str" cm="1">
        <f t="array" ref="E508">IF(COUNTIF(A:A, "*" &amp; LEFT(D508, FIND(" ", D508 &amp; " ") - 1) &amp; "*") &gt; 0,INDEX(A:A,FuzzyVLookup(D508,A:A,0,,,2)),"Non-PDL")</f>
        <v>etodolac tablet</v>
      </c>
      <c r="F508" t="str">
        <f t="shared" si="7"/>
        <v>Preferred</v>
      </c>
      <c r="G508" s="1" cm="1">
        <f t="array" ref="G508">FuzzyPercent(D508,E508,2)</f>
        <v>0.2708333432674408</v>
      </c>
      <c r="H508" t="str" cm="1">
        <f t="array" ref="H508">IF(F508="Non-PDL","",IF(FuzzyPercent(D508,E508,2)&lt;0.4,"CHECK",""))</f>
        <v>CHECK</v>
      </c>
    </row>
    <row r="509" spans="1:8" x14ac:dyDescent="0.2">
      <c r="A509" t="s">
        <v>1006</v>
      </c>
      <c r="B509" t="s">
        <v>0</v>
      </c>
      <c r="D509" t="s">
        <v>2624</v>
      </c>
      <c r="E509" t="str" cm="1">
        <f t="array" ref="E509">IF(COUNTIF(A:A, "*" &amp; LEFT(D509, FIND(" ", D509 &amp; " ") - 1) &amp; "*") &gt; 0,INDEX(A:A,FuzzyVLookup(D509,A:A,0,,,2)),"Non-PDL")</f>
        <v>Non-PDL</v>
      </c>
      <c r="F509" t="str">
        <f t="shared" si="7"/>
        <v>Non-PDL</v>
      </c>
      <c r="G509" s="1" cm="1">
        <f t="array" ref="G509">FuzzyPercent(D509,E509,2)</f>
        <v>5.8823529630899429E-2</v>
      </c>
      <c r="H509" t="str" cm="1">
        <f t="array" ref="H509">IF(F509="Non-PDL","",IF(FuzzyPercent(D509,E509,2)&lt;0.4,"CHECK",""))</f>
        <v/>
      </c>
    </row>
    <row r="510" spans="1:8" x14ac:dyDescent="0.2">
      <c r="A510" t="s">
        <v>1008</v>
      </c>
      <c r="B510" t="s">
        <v>0</v>
      </c>
      <c r="D510" t="s">
        <v>2625</v>
      </c>
      <c r="E510" t="str" cm="1">
        <f t="array" ref="E510">IF(COUNTIF(A:A, "*" &amp; LEFT(D510, FIND(" ", D510 &amp; " ") - 1) &amp; "*") &gt; 0,INDEX(A:A,FuzzyVLookup(D510,A:A,0,,,2)),"Non-PDL")</f>
        <v>Non-PDL</v>
      </c>
      <c r="F510" t="str">
        <f t="shared" si="7"/>
        <v>Non-PDL</v>
      </c>
      <c r="G510" s="1" cm="1">
        <f t="array" ref="G510">FuzzyPercent(D510,E510,2)</f>
        <v>0</v>
      </c>
      <c r="H510" t="str" cm="1">
        <f t="array" ref="H510">IF(F510="Non-PDL","",IF(FuzzyPercent(D510,E510,2)&lt;0.4,"CHECK",""))</f>
        <v/>
      </c>
    </row>
    <row r="511" spans="1:8" x14ac:dyDescent="0.2">
      <c r="A511" t="s">
        <v>1010</v>
      </c>
      <c r="B511" t="s">
        <v>0</v>
      </c>
      <c r="D511" t="s">
        <v>2626</v>
      </c>
      <c r="E511" t="str" cm="1">
        <f t="array" ref="E511">IF(COUNTIF(A:A, "*" &amp; LEFT(D511, FIND(" ", D511 &amp; " ") - 1) &amp; "*") &gt; 0,INDEX(A:A,FuzzyVLookup(D511,A:A,0,,,2)),"Non-PDL")</f>
        <v>OPSUMIT (macitentan)</v>
      </c>
      <c r="F511" t="str">
        <f t="shared" si="7"/>
        <v>Non-Preferred</v>
      </c>
      <c r="G511" s="1" cm="1">
        <f t="array" ref="G511">FuzzyPercent(D511,E511,2)</f>
        <v>0.32727271318435669</v>
      </c>
      <c r="H511" t="str" cm="1">
        <f t="array" ref="H511">IF(F511="Non-PDL","",IF(FuzzyPercent(D511,E511,2)&lt;0.4,"CHECK",""))</f>
        <v>CHECK</v>
      </c>
    </row>
    <row r="512" spans="1:8" x14ac:dyDescent="0.2">
      <c r="A512" t="s">
        <v>1012</v>
      </c>
      <c r="B512" t="s">
        <v>0</v>
      </c>
      <c r="D512" t="s">
        <v>2627</v>
      </c>
      <c r="E512" t="str" cm="1">
        <f t="array" ref="E512">IF(COUNTIF(A:A, "*" &amp; LEFT(D512, FIND(" ", D512 &amp; " ") - 1) &amp; "*") &gt; 0,INDEX(A:A,FuzzyVLookup(D512,A:A,0,,,2)),"Non-PDL")</f>
        <v>OPSYNVI (macitentan/tadalafil)</v>
      </c>
      <c r="F512" t="str">
        <f t="shared" si="7"/>
        <v>Non-Preferred</v>
      </c>
      <c r="G512" s="1" cm="1">
        <f t="array" ref="G512">FuzzyPercent(D512,E512,2)</f>
        <v>0.24074074625968933</v>
      </c>
      <c r="H512" t="str" cm="1">
        <f t="array" ref="H512">IF(F512="Non-PDL","",IF(FuzzyPercent(D512,E512,2)&lt;0.4,"CHECK",""))</f>
        <v>CHECK</v>
      </c>
    </row>
    <row r="513" spans="1:8" x14ac:dyDescent="0.2">
      <c r="A513" t="s">
        <v>1014</v>
      </c>
      <c r="B513" t="s">
        <v>0</v>
      </c>
      <c r="D513" t="s">
        <v>2628</v>
      </c>
      <c r="E513" t="str" cm="1">
        <f t="array" ref="E513">IF(COUNTIF(A:A, "*" &amp; LEFT(D513, FIND(" ", D513 &amp; " ") - 1) &amp; "*") &gt; 0,INDEX(A:A,FuzzyVLookup(D513,A:A,0,,,2)),"Non-PDL")</f>
        <v>OPVEE (nalmefene)</v>
      </c>
      <c r="F513" t="str">
        <f t="shared" si="7"/>
        <v>Preferred</v>
      </c>
      <c r="G513" s="1" cm="1">
        <f t="array" ref="G513">FuzzyPercent(D513,E513,2)</f>
        <v>1</v>
      </c>
      <c r="H513" t="str" cm="1">
        <f t="array" ref="H513">IF(F513="Non-PDL","",IF(FuzzyPercent(D513,E513,2)&lt;0.4,"CHECK",""))</f>
        <v/>
      </c>
    </row>
    <row r="514" spans="1:8" x14ac:dyDescent="0.2">
      <c r="A514" t="s">
        <v>1016</v>
      </c>
      <c r="B514" t="s">
        <v>0</v>
      </c>
      <c r="D514" t="s">
        <v>2629</v>
      </c>
      <c r="E514" t="str" cm="1">
        <f t="array" ref="E514">IF(COUNTIF(A:A, "*" &amp; LEFT(D514, FIND(" ", D514 &amp; " ") - 1) &amp; "*") &gt; 0,INDEX(A:A,FuzzyVLookup(D514,A:A,0,,,2)),"Non-PDL")</f>
        <v>ORALAIR</v>
      </c>
      <c r="F514" t="str">
        <f t="shared" si="7"/>
        <v>Non-Preferred</v>
      </c>
      <c r="G514" s="1" cm="1">
        <f t="array" ref="G514">FuzzyPercent(D514,E514,2)</f>
        <v>1</v>
      </c>
      <c r="H514" t="str" cm="1">
        <f t="array" ref="H514">IF(F514="Non-PDL","",IF(FuzzyPercent(D514,E514,2)&lt;0.4,"CHECK",""))</f>
        <v/>
      </c>
    </row>
    <row r="515" spans="1:8" x14ac:dyDescent="0.2">
      <c r="A515" t="s">
        <v>1018</v>
      </c>
      <c r="B515" t="s">
        <v>0</v>
      </c>
      <c r="D515" t="s">
        <v>2630</v>
      </c>
      <c r="E515" t="str" cm="1">
        <f t="array" ref="E515">IF(COUNTIF(A:A, "*" &amp; LEFT(D515, FIND(" ", D515 &amp; " ") - 1) &amp; "*") &gt; 0,INDEX(A:A,FuzzyVLookup(D515,A:A,0,,,2)),"Non-PDL")</f>
        <v>ORENCIA (abatacept)</v>
      </c>
      <c r="F515" t="str">
        <f t="shared" ref="F515:F578" si="8">_xlfn.IFNA(_xlfn.XLOOKUP(E515,A:A,B:B),"Non-PDL")</f>
        <v>Non-Preferred</v>
      </c>
      <c r="G515" s="1" cm="1">
        <f t="array" ref="G515">FuzzyPercent(D515,E515,2)</f>
        <v>0.375</v>
      </c>
      <c r="H515" t="str" cm="1">
        <f t="array" ref="H515">IF(F515="Non-PDL","",IF(FuzzyPercent(D515,E515,2)&lt;0.4,"CHECK",""))</f>
        <v>CHECK</v>
      </c>
    </row>
    <row r="516" spans="1:8" x14ac:dyDescent="0.2">
      <c r="A516" t="s">
        <v>1020</v>
      </c>
      <c r="B516" t="s">
        <v>0</v>
      </c>
      <c r="D516" t="s">
        <v>2631</v>
      </c>
      <c r="E516" t="str" cm="1">
        <f t="array" ref="E516">IF(COUNTIF(A:A, "*" &amp; LEFT(D516, FIND(" ", D516 &amp; " ") - 1) &amp; "*") &gt; 0,INDEX(A:A,FuzzyVLookup(D516,A:A,0,,,2)),"Non-PDL")</f>
        <v>ORENCIA (abatacept)</v>
      </c>
      <c r="F516" t="str">
        <f t="shared" si="8"/>
        <v>Non-Preferred</v>
      </c>
      <c r="G516" s="1" cm="1">
        <f t="array" ref="G516">FuzzyPercent(D516,E516,2)</f>
        <v>0.19354838132858276</v>
      </c>
      <c r="H516" t="str" cm="1">
        <f t="array" ref="H516">IF(F516="Non-PDL","",IF(FuzzyPercent(D516,E516,2)&lt;0.4,"CHECK",""))</f>
        <v>CHECK</v>
      </c>
    </row>
    <row r="517" spans="1:8" x14ac:dyDescent="0.2">
      <c r="A517" t="s">
        <v>1022</v>
      </c>
      <c r="B517" t="s">
        <v>0</v>
      </c>
      <c r="D517" t="s">
        <v>2632</v>
      </c>
      <c r="E517" t="str" cm="1">
        <f t="array" ref="E517">IF(COUNTIF(A:A, "*" &amp; LEFT(D517, FIND(" ", D517 &amp; " ") - 1) &amp; "*") &gt; 0,INDEX(A:A,FuzzyVLookup(D517,A:A,0,,,2)),"Non-PDL")</f>
        <v>ORENITRAM ER (treprostinil)</v>
      </c>
      <c r="F517" t="str">
        <f t="shared" si="8"/>
        <v>Non-Preferred</v>
      </c>
      <c r="G517" s="1" cm="1">
        <f t="array" ref="G517">FuzzyPercent(D517,E517,2)</f>
        <v>0.50549453496932983</v>
      </c>
      <c r="H517" t="str" cm="1">
        <f t="array" ref="H517">IF(F517="Non-PDL","",IF(FuzzyPercent(D517,E517,2)&lt;0.4,"CHECK",""))</f>
        <v/>
      </c>
    </row>
    <row r="518" spans="1:8" x14ac:dyDescent="0.2">
      <c r="A518" t="s">
        <v>1024</v>
      </c>
      <c r="B518" t="s">
        <v>0</v>
      </c>
      <c r="D518" t="s">
        <v>2633</v>
      </c>
      <c r="E518" t="str" cm="1">
        <f t="array" ref="E518">IF(COUNTIF(A:A, "*" &amp; LEFT(D518, FIND(" ", D518 &amp; " ") - 1) &amp; "*") &gt; 0,INDEX(A:A,FuzzyVLookup(D518,A:A,0,,,2)),"Non-PDL")</f>
        <v>Non-PDL</v>
      </c>
      <c r="F518" t="str">
        <f t="shared" si="8"/>
        <v>Non-PDL</v>
      </c>
      <c r="G518" s="1" cm="1">
        <f t="array" ref="G518">FuzzyPercent(D518,E518,2)</f>
        <v>0</v>
      </c>
      <c r="H518" t="str" cm="1">
        <f t="array" ref="H518">IF(F518="Non-PDL","",IF(FuzzyPercent(D518,E518,2)&lt;0.4,"CHECK",""))</f>
        <v/>
      </c>
    </row>
    <row r="519" spans="1:8" x14ac:dyDescent="0.2">
      <c r="A519" t="s">
        <v>1026</v>
      </c>
      <c r="B519" t="s">
        <v>0</v>
      </c>
      <c r="D519" t="s">
        <v>2634</v>
      </c>
      <c r="E519" t="str" cm="1">
        <f t="array" ref="E519">IF(COUNTIF(A:A, "*" &amp; LEFT(D519, FIND(" ", D519 &amp; " ") - 1) &amp; "*") &gt; 0,INDEX(A:A,FuzzyVLookup(D519,A:A,0,,,2)),"Non-PDL")</f>
        <v>Non-PDL</v>
      </c>
      <c r="F519" t="str">
        <f t="shared" si="8"/>
        <v>Non-PDL</v>
      </c>
      <c r="G519" s="1" cm="1">
        <f t="array" ref="G519">FuzzyPercent(D519,E519,2)</f>
        <v>0</v>
      </c>
      <c r="H519" t="str" cm="1">
        <f t="array" ref="H519">IF(F519="Non-PDL","",IF(FuzzyPercent(D519,E519,2)&lt;0.4,"CHECK",""))</f>
        <v/>
      </c>
    </row>
    <row r="520" spans="1:8" x14ac:dyDescent="0.2">
      <c r="A520" t="s">
        <v>1028</v>
      </c>
      <c r="B520" t="s">
        <v>0</v>
      </c>
      <c r="D520" t="s">
        <v>2635</v>
      </c>
      <c r="E520" t="str" cm="1">
        <f t="array" ref="E520">IF(COUNTIF(A:A, "*" &amp; LEFT(D520, FIND(" ", D520 &amp; " ") - 1) &amp; "*") &gt; 0,INDEX(A:A,FuzzyVLookup(D520,A:A,0,,,2)),"Non-PDL")</f>
        <v>ORLADEYO (berotralstat)</v>
      </c>
      <c r="F520" t="str">
        <f t="shared" si="8"/>
        <v>Non-Preferred</v>
      </c>
      <c r="G520" s="1" cm="1">
        <f t="array" ref="G520">FuzzyPercent(D520,E520,2)</f>
        <v>0.36923077702522278</v>
      </c>
      <c r="H520" t="str" cm="1">
        <f t="array" ref="H520">IF(F520="Non-PDL","",IF(FuzzyPercent(D520,E520,2)&lt;0.4,"CHECK",""))</f>
        <v>CHECK</v>
      </c>
    </row>
    <row r="521" spans="1:8" x14ac:dyDescent="0.2">
      <c r="A521" t="s">
        <v>1030</v>
      </c>
      <c r="B521" t="s">
        <v>0</v>
      </c>
      <c r="D521" t="s">
        <v>2636</v>
      </c>
      <c r="E521" t="str" cm="1">
        <f t="array" ref="E521">IF(COUNTIF(A:A, "*" &amp; LEFT(D521, FIND(" ", D521 &amp; " ") - 1) &amp; "*") &gt; 0,INDEX(A:A,FuzzyVLookup(D521,A:A,0,,,2)),"Non-PDL")</f>
        <v>orphenadrine</v>
      </c>
      <c r="F521" t="str">
        <f t="shared" si="8"/>
        <v>Non-Preferred</v>
      </c>
      <c r="G521" s="1" cm="1">
        <f t="array" ref="G521">FuzzyPercent(D521,E521,2)</f>
        <v>0.76666665077209473</v>
      </c>
      <c r="H521" t="str" cm="1">
        <f t="array" ref="H521">IF(F521="Non-PDL","",IF(FuzzyPercent(D521,E521,2)&lt;0.4,"CHECK",""))</f>
        <v/>
      </c>
    </row>
    <row r="522" spans="1:8" x14ac:dyDescent="0.2">
      <c r="A522" t="s">
        <v>1032</v>
      </c>
      <c r="B522" t="s">
        <v>0</v>
      </c>
      <c r="D522" t="s">
        <v>2637</v>
      </c>
      <c r="E522" t="str" cm="1">
        <f t="array" ref="E522">IF(COUNTIF(A:A, "*" &amp; LEFT(D522, FIND(" ", D522 &amp; " ") - 1) &amp; "*") &gt; 0,INDEX(A:A,FuzzyVLookup(D522,A:A,0,,,2)),"Non-PDL")</f>
        <v>TAMIFLU (oseltamivir)</v>
      </c>
      <c r="F522" t="str">
        <f t="shared" si="8"/>
        <v>Non-Preferred</v>
      </c>
      <c r="G522" s="1" cm="1">
        <f t="array" ref="G522">FuzzyPercent(D522,E522,2)</f>
        <v>0.44776120781898499</v>
      </c>
      <c r="H522" t="str" cm="1">
        <f t="array" ref="H522">IF(F522="Non-PDL","",IF(FuzzyPercent(D522,E522,2)&lt;0.4,"CHECK",""))</f>
        <v/>
      </c>
    </row>
    <row r="523" spans="1:8" x14ac:dyDescent="0.2">
      <c r="A523" t="s">
        <v>1034</v>
      </c>
      <c r="B523" t="s">
        <v>0</v>
      </c>
      <c r="D523" t="s">
        <v>2638</v>
      </c>
      <c r="E523" t="str" cm="1">
        <f t="array" ref="E523">IF(COUNTIF(A:A, "*" &amp; LEFT(D523, FIND(" ", D523 &amp; " ") - 1) &amp; "*") &gt; 0,INDEX(A:A,FuzzyVLookup(D523,A:A,0,,,2)),"Non-PDL")</f>
        <v>OTEZLA (apremilast)</v>
      </c>
      <c r="F523" t="str">
        <f t="shared" si="8"/>
        <v>Preferred</v>
      </c>
      <c r="G523" s="1" cm="1">
        <f t="array" ref="G523">FuzzyPercent(D523,E523,2)</f>
        <v>0.32653060555458069</v>
      </c>
      <c r="H523" t="str" cm="1">
        <f t="array" ref="H523">IF(F523="Non-PDL","",IF(FuzzyPercent(D523,E523,2)&lt;0.4,"CHECK",""))</f>
        <v>CHECK</v>
      </c>
    </row>
    <row r="524" spans="1:8" x14ac:dyDescent="0.2">
      <c r="A524" t="s">
        <v>1036</v>
      </c>
      <c r="B524" t="s">
        <v>0</v>
      </c>
      <c r="D524" t="s">
        <v>2639</v>
      </c>
      <c r="E524" t="str" cm="1">
        <f t="array" ref="E524">IF(COUNTIF(A:A, "*" &amp; LEFT(D524, FIND(" ", D524 &amp; " ") - 1) &amp; "*") &gt; 0,INDEX(A:A,FuzzyVLookup(D524,A:A,0,,,2)),"Non-PDL")</f>
        <v>Non-PDL</v>
      </c>
      <c r="F524" t="str">
        <f t="shared" si="8"/>
        <v>Non-PDL</v>
      </c>
      <c r="G524" s="1" cm="1">
        <f t="array" ref="G524">FuzzyPercent(D524,E524,2)</f>
        <v>0</v>
      </c>
      <c r="H524" t="str" cm="1">
        <f t="array" ref="H524">IF(F524="Non-PDL","",IF(FuzzyPercent(D524,E524,2)&lt;0.4,"CHECK",""))</f>
        <v/>
      </c>
    </row>
    <row r="525" spans="1:8" x14ac:dyDescent="0.2">
      <c r="A525" t="s">
        <v>1038</v>
      </c>
      <c r="B525" t="s">
        <v>0</v>
      </c>
      <c r="D525" t="s">
        <v>2640</v>
      </c>
      <c r="E525" t="str" cm="1">
        <f t="array" ref="E525">IF(COUNTIF(A:A, "*" &amp; LEFT(D525, FIND(" ", D525 &amp; " ") - 1) &amp; "*") &gt; 0,INDEX(A:A,FuzzyVLookup(D525,A:A,0,,,2)),"Non-PDL")</f>
        <v>OZEMPIC (semaglutide)</v>
      </c>
      <c r="F525" t="str">
        <f t="shared" si="8"/>
        <v>Non-Preferred</v>
      </c>
      <c r="G525" s="1" cm="1">
        <f t="array" ref="G525">FuzzyPercent(D525,E525,2)</f>
        <v>0.31034481525421143</v>
      </c>
      <c r="H525" t="str" cm="1">
        <f t="array" ref="H525">IF(F525="Non-PDL","",IF(FuzzyPercent(D525,E525,2)&lt;0.4,"CHECK",""))</f>
        <v>CHECK</v>
      </c>
    </row>
    <row r="526" spans="1:8" x14ac:dyDescent="0.2">
      <c r="A526" t="s">
        <v>1040</v>
      </c>
      <c r="B526" t="s">
        <v>0</v>
      </c>
      <c r="D526" t="s">
        <v>2641</v>
      </c>
      <c r="E526" t="str" cm="1">
        <f t="array" ref="E526">IF(COUNTIF(A:A, "*" &amp; LEFT(D526, FIND(" ", D526 &amp; " ") - 1) &amp; "*") &gt; 0,INDEX(A:A,FuzzyVLookup(D526,A:A,0,,,2)),"Non-PDL")</f>
        <v>Non-PDL</v>
      </c>
      <c r="F526" t="str">
        <f t="shared" si="8"/>
        <v>Non-PDL</v>
      </c>
      <c r="G526" s="1" cm="1">
        <f t="array" ref="G526">FuzzyPercent(D526,E526,2)</f>
        <v>0</v>
      </c>
      <c r="H526" t="str" cm="1">
        <f t="array" ref="H526">IF(F526="Non-PDL","",IF(FuzzyPercent(D526,E526,2)&lt;0.4,"CHECK",""))</f>
        <v/>
      </c>
    </row>
    <row r="527" spans="1:8" x14ac:dyDescent="0.2">
      <c r="A527" t="s">
        <v>1042</v>
      </c>
      <c r="B527" t="s">
        <v>0</v>
      </c>
      <c r="D527" t="s">
        <v>2642</v>
      </c>
      <c r="E527" t="str" cm="1">
        <f t="array" ref="E527">IF(COUNTIF(A:A, "*" &amp; LEFT(D527, FIND(" ", D527 &amp; " ") - 1) &amp; "*") &gt; 0,INDEX(A:A,FuzzyVLookup(D527,A:A,0,,,2)),"Non-PDL")</f>
        <v>Non-PDL</v>
      </c>
      <c r="F527" t="str">
        <f t="shared" si="8"/>
        <v>Non-PDL</v>
      </c>
      <c r="G527" s="1" cm="1">
        <f t="array" ref="G527">FuzzyPercent(D527,E527,2)</f>
        <v>0</v>
      </c>
      <c r="H527" t="str" cm="1">
        <f t="array" ref="H527">IF(F527="Non-PDL","",IF(FuzzyPercent(D527,E527,2)&lt;0.4,"CHECK",""))</f>
        <v/>
      </c>
    </row>
    <row r="528" spans="1:8" x14ac:dyDescent="0.2">
      <c r="A528" t="s">
        <v>1044</v>
      </c>
      <c r="B528" t="s">
        <v>0</v>
      </c>
      <c r="D528" t="s">
        <v>2643</v>
      </c>
      <c r="E528" t="str" cm="1">
        <f t="array" ref="E528">IF(COUNTIF(A:A, "*" &amp; LEFT(D528, FIND(" ", D528 &amp; " ") - 1) &amp; "*") &gt; 0,INDEX(A:A,FuzzyVLookup(D528,A:A,0,,,2)),"Non-PDL")</f>
        <v>paliperidone ER</v>
      </c>
      <c r="F528" t="str">
        <f t="shared" si="8"/>
        <v>Non-Preferred</v>
      </c>
      <c r="G528" s="1" cm="1">
        <f t="array" ref="G528">FuzzyPercent(D528,E528,2)</f>
        <v>1</v>
      </c>
      <c r="H528" t="str" cm="1">
        <f t="array" ref="H528">IF(F528="Non-PDL","",IF(FuzzyPercent(D528,E528,2)&lt;0.4,"CHECK",""))</f>
        <v/>
      </c>
    </row>
    <row r="529" spans="1:8" x14ac:dyDescent="0.2">
      <c r="A529" t="s">
        <v>1046</v>
      </c>
      <c r="B529" t="s">
        <v>0</v>
      </c>
      <c r="D529" t="s">
        <v>2644</v>
      </c>
      <c r="E529" t="str" cm="1">
        <f t="array" ref="E529">IF(COUNTIF(A:A, "*" &amp; LEFT(D529, FIND(" ", D529 &amp; " ") - 1) &amp; "*") &gt; 0,INDEX(A:A,FuzzyVLookup(D529,A:A,0,,,2)),"Non-PDL")</f>
        <v>PROTONIX (pantoprazole)</v>
      </c>
      <c r="F529" t="str">
        <f t="shared" si="8"/>
        <v>Non-Preferred</v>
      </c>
      <c r="G529" s="1" cm="1">
        <f t="array" ref="G529">FuzzyPercent(D529,E529,2)</f>
        <v>0.190476194024086</v>
      </c>
      <c r="H529" t="str" cm="1">
        <f t="array" ref="H529">IF(F529="Non-PDL","",IF(FuzzyPercent(D529,E529,2)&lt;0.4,"CHECK",""))</f>
        <v>CHECK</v>
      </c>
    </row>
    <row r="530" spans="1:8" x14ac:dyDescent="0.2">
      <c r="A530" t="s">
        <v>1048</v>
      </c>
      <c r="B530" t="s">
        <v>0</v>
      </c>
      <c r="D530" t="s">
        <v>2645</v>
      </c>
      <c r="E530" t="str" cm="1">
        <f t="array" ref="E530">IF(COUNTIF(A:A, "*" &amp; LEFT(D530, FIND(" ", D530 &amp; " ") - 1) &amp; "*") &gt; 0,INDEX(A:A,FuzzyVLookup(D530,A:A,0,,,2)),"Non-PDL")</f>
        <v>pantoprazole</v>
      </c>
      <c r="F530" t="str">
        <f t="shared" si="8"/>
        <v>Preferred</v>
      </c>
      <c r="G530" s="1" cm="1">
        <f t="array" ref="G530">FuzzyPercent(D530,E530,2)</f>
        <v>0.56097561120986938</v>
      </c>
      <c r="H530" t="str" cm="1">
        <f t="array" ref="H530">IF(F530="Non-PDL","",IF(FuzzyPercent(D530,E530,2)&lt;0.4,"CHECK",""))</f>
        <v/>
      </c>
    </row>
    <row r="531" spans="1:8" x14ac:dyDescent="0.2">
      <c r="A531" t="s">
        <v>1050</v>
      </c>
      <c r="B531" t="s">
        <v>0</v>
      </c>
      <c r="D531" t="s">
        <v>2646</v>
      </c>
      <c r="E531" t="str" cm="1">
        <f t="array" ref="E531">IF(COUNTIF(A:A, "*" &amp; LEFT(D531, FIND(" ", D531 &amp; " ") - 1) &amp; "*") &gt; 0,INDEX(A:A,FuzzyVLookup(D531,A:A,0,,,2)),"Non-PDL")</f>
        <v>Non-PDL</v>
      </c>
      <c r="F531" t="str">
        <f t="shared" si="8"/>
        <v>Non-PDL</v>
      </c>
      <c r="G531" s="1" cm="1">
        <f t="array" ref="G531">FuzzyPercent(D531,E531,2)</f>
        <v>0</v>
      </c>
      <c r="H531" t="str" cm="1">
        <f t="array" ref="H531">IF(F531="Non-PDL","",IF(FuzzyPercent(D531,E531,2)&lt;0.4,"CHECK",""))</f>
        <v/>
      </c>
    </row>
    <row r="532" spans="1:8" x14ac:dyDescent="0.2">
      <c r="A532" t="s">
        <v>382</v>
      </c>
      <c r="B532" t="s">
        <v>0</v>
      </c>
      <c r="D532" t="s">
        <v>2647</v>
      </c>
      <c r="E532" t="str" cm="1">
        <f t="array" ref="E532">IF(COUNTIF(A:A, "*" &amp; LEFT(D532, FIND(" ", D532 &amp; " ") - 1) &amp; "*") &gt; 0,INDEX(A:A,FuzzyVLookup(D532,A:A,0,,,2)),"Non-PDL")</f>
        <v>Non-PDL</v>
      </c>
      <c r="F532" t="str">
        <f t="shared" si="8"/>
        <v>Non-PDL</v>
      </c>
      <c r="G532" s="1" cm="1">
        <f t="array" ref="G532">FuzzyPercent(D532,E532,2)</f>
        <v>1.3698630034923553E-2</v>
      </c>
      <c r="H532" t="str" cm="1">
        <f t="array" ref="H532">IF(F532="Non-PDL","",IF(FuzzyPercent(D532,E532,2)&lt;0.4,"CHECK",""))</f>
        <v/>
      </c>
    </row>
    <row r="533" spans="1:8" x14ac:dyDescent="0.2">
      <c r="A533" t="s">
        <v>1053</v>
      </c>
      <c r="B533" t="s">
        <v>0</v>
      </c>
      <c r="D533" t="s">
        <v>257</v>
      </c>
      <c r="E533" t="str" cm="1">
        <f t="array" ref="E533">IF(COUNTIF(A:A, "*" &amp; LEFT(D533, FIND(" ", D533 &amp; " ") - 1) &amp; "*") &gt; 0,INDEX(A:A,FuzzyVLookup(D533,A:A,0,,,2)),"Non-PDL")</f>
        <v>Perindopril</v>
      </c>
      <c r="F533" t="str">
        <f t="shared" si="8"/>
        <v>Non-Preferred</v>
      </c>
      <c r="G533" s="1" cm="1">
        <f t="array" ref="G533">FuzzyPercent(D533,E533,2)</f>
        <v>1</v>
      </c>
      <c r="H533" t="str" cm="1">
        <f t="array" ref="H533">IF(F533="Non-PDL","",IF(FuzzyPercent(D533,E533,2)&lt;0.4,"CHECK",""))</f>
        <v/>
      </c>
    </row>
    <row r="534" spans="1:8" x14ac:dyDescent="0.2">
      <c r="A534" t="s">
        <v>1055</v>
      </c>
      <c r="B534" t="s">
        <v>0</v>
      </c>
      <c r="D534" t="s">
        <v>2648</v>
      </c>
      <c r="E534" t="str" cm="1">
        <f t="array" ref="E534">IF(COUNTIF(A:A, "*" &amp; LEFT(D534, FIND(" ", D534 &amp; " ") - 1) &amp; "*") &gt; 0,INDEX(A:A,FuzzyVLookup(D534,A:A,0,,,2)),"Non-PDL")</f>
        <v>PERSERIS (risperidone)</v>
      </c>
      <c r="F534" t="str">
        <f t="shared" si="8"/>
        <v>Preferred</v>
      </c>
      <c r="G534" s="1" cm="1">
        <f t="array" ref="G534">FuzzyPercent(D534,E534,2)</f>
        <v>0.375</v>
      </c>
      <c r="H534" t="str" cm="1">
        <f t="array" ref="H534">IF(F534="Non-PDL","",IF(FuzzyPercent(D534,E534,2)&lt;0.4,"CHECK",""))</f>
        <v>CHECK</v>
      </c>
    </row>
    <row r="535" spans="1:8" x14ac:dyDescent="0.2">
      <c r="A535" t="s">
        <v>1057</v>
      </c>
      <c r="B535" t="s">
        <v>0</v>
      </c>
      <c r="D535" t="s">
        <v>2649</v>
      </c>
      <c r="E535" t="str" cm="1">
        <f t="array" ref="E535">IF(COUNTIF(A:A, "*" &amp; LEFT(D535, FIND(" ", D535 &amp; " ") - 1) &amp; "*") &gt; 0,INDEX(A:A,FuzzyVLookup(D535,A:A,0,,,2)),"Non-PDL")</f>
        <v>PHEBURANE (sodium phenylbutyrate)</v>
      </c>
      <c r="F535" t="str">
        <f t="shared" si="8"/>
        <v>Non-Preferred</v>
      </c>
      <c r="G535" s="1" cm="1">
        <f t="array" ref="G535">FuzzyPercent(D535,E535,2)</f>
        <v>0.26923078298568726</v>
      </c>
      <c r="H535" t="str" cm="1">
        <f t="array" ref="H535">IF(F535="Non-PDL","",IF(FuzzyPercent(D535,E535,2)&lt;0.4,"CHECK",""))</f>
        <v>CHECK</v>
      </c>
    </row>
    <row r="536" spans="1:8" x14ac:dyDescent="0.2">
      <c r="A536" t="s">
        <v>1059</v>
      </c>
      <c r="B536" t="s">
        <v>0</v>
      </c>
      <c r="D536" t="s">
        <v>2650</v>
      </c>
      <c r="E536" t="str" cm="1">
        <f t="array" ref="E536">IF(COUNTIF(A:A, "*" &amp; LEFT(D536, FIND(" ", D536 &amp; " ") - 1) &amp; "*") &gt; 0,INDEX(A:A,FuzzyVLookup(D536,A:A,0,,,2)),"Non-PDL")</f>
        <v>phenytoin</v>
      </c>
      <c r="F536" t="str">
        <f t="shared" si="8"/>
        <v>Preferred</v>
      </c>
      <c r="G536" s="1" cm="1">
        <f t="array" ref="G536">FuzzyPercent(D536,E536,2)</f>
        <v>0.18181818723678589</v>
      </c>
      <c r="H536" t="str" cm="1">
        <f t="array" ref="H536">IF(F536="Non-PDL","",IF(FuzzyPercent(D536,E536,2)&lt;0.4,"CHECK",""))</f>
        <v>CHECK</v>
      </c>
    </row>
    <row r="537" spans="1:8" x14ac:dyDescent="0.2">
      <c r="A537" t="s">
        <v>1061</v>
      </c>
      <c r="B537" t="s">
        <v>0</v>
      </c>
      <c r="D537" t="s">
        <v>2651</v>
      </c>
      <c r="E537" t="str" cm="1">
        <f t="array" ref="E537">IF(COUNTIF(A:A, "*" &amp; LEFT(D537, FIND(" ", D537 &amp; " ") - 1) &amp; "*") &gt; 0,INDEX(A:A,FuzzyVLookup(D537,A:A,0,,,2)),"Non-PDL")</f>
        <v>Non-PDL</v>
      </c>
      <c r="F537" t="str">
        <f t="shared" si="8"/>
        <v>Non-PDL</v>
      </c>
      <c r="G537" s="1" cm="1">
        <f t="array" ref="G537">FuzzyPercent(D537,E537,2)</f>
        <v>0</v>
      </c>
      <c r="H537" t="str" cm="1">
        <f t="array" ref="H537">IF(F537="Non-PDL","",IF(FuzzyPercent(D537,E537,2)&lt;0.4,"CHECK",""))</f>
        <v/>
      </c>
    </row>
    <row r="538" spans="1:8" x14ac:dyDescent="0.2">
      <c r="A538" t="s">
        <v>1063</v>
      </c>
      <c r="B538" t="s">
        <v>0</v>
      </c>
      <c r="D538" t="s">
        <v>2652</v>
      </c>
      <c r="E538" t="str" cm="1">
        <f t="array" ref="E538">IF(COUNTIF(A:A, "*" &amp; LEFT(D538, FIND(" ", D538 &amp; " ") - 1) &amp; "*") &gt; 0,INDEX(A:A,FuzzyVLookup(D538,A:A,0,,,2)),"Non-PDL")</f>
        <v>Non-PDL</v>
      </c>
      <c r="F538" t="str">
        <f t="shared" si="8"/>
        <v>Non-PDL</v>
      </c>
      <c r="G538" s="1" cm="1">
        <f t="array" ref="G538">FuzzyPercent(D538,E538,2)</f>
        <v>0</v>
      </c>
      <c r="H538" t="str" cm="1">
        <f t="array" ref="H538">IF(F538="Non-PDL","",IF(FuzzyPercent(D538,E538,2)&lt;0.4,"CHECK",""))</f>
        <v/>
      </c>
    </row>
    <row r="539" spans="1:8" x14ac:dyDescent="0.2">
      <c r="A539" t="s">
        <v>610</v>
      </c>
      <c r="B539" t="s">
        <v>0</v>
      </c>
      <c r="D539" t="s">
        <v>2653</v>
      </c>
      <c r="E539" t="str" cm="1">
        <f t="array" ref="E539">IF(COUNTIF(A:A, "*" &amp; LEFT(D539, FIND(" ", D539 &amp; " ") - 1) &amp; "*") &gt; 0,INDEX(A:A,FuzzyVLookup(D539,A:A,0,,,2)),"Non-PDL")</f>
        <v>PRADAXA (dabigatran) capsule</v>
      </c>
      <c r="F539" t="str">
        <f t="shared" si="8"/>
        <v>Preferred</v>
      </c>
      <c r="G539" s="1" cm="1">
        <f t="array" ref="G539">FuzzyPercent(D539,E539,2)</f>
        <v>0.21951219439506531</v>
      </c>
      <c r="H539" t="str" cm="1">
        <f t="array" ref="H539">IF(F539="Non-PDL","",IF(FuzzyPercent(D539,E539,2)&lt;0.4,"CHECK",""))</f>
        <v>CHECK</v>
      </c>
    </row>
    <row r="540" spans="1:8" x14ac:dyDescent="0.2">
      <c r="A540" t="s">
        <v>1066</v>
      </c>
      <c r="B540" t="s">
        <v>0</v>
      </c>
      <c r="D540" t="s">
        <v>2654</v>
      </c>
      <c r="E540" t="str" cm="1">
        <f t="array" ref="E540">IF(COUNTIF(A:A, "*" &amp; LEFT(D540, FIND(" ", D540 &amp; " ") - 1) &amp; "*") &gt; 0,INDEX(A:A,FuzzyVLookup(D540,A:A,0,,,2)),"Non-PDL")</f>
        <v>PRADAXA (dabigatran) pellet pack</v>
      </c>
      <c r="F540" t="str">
        <f t="shared" si="8"/>
        <v>Non-Preferred</v>
      </c>
      <c r="G540" s="1" cm="1">
        <f t="array" ref="G540">FuzzyPercent(D540,E540,2)</f>
        <v>0.28947368264198303</v>
      </c>
      <c r="H540" t="str" cm="1">
        <f t="array" ref="H540">IF(F540="Non-PDL","",IF(FuzzyPercent(D540,E540,2)&lt;0.4,"CHECK",""))</f>
        <v>CHECK</v>
      </c>
    </row>
    <row r="541" spans="1:8" x14ac:dyDescent="0.2">
      <c r="A541" t="s">
        <v>1068</v>
      </c>
      <c r="B541" t="s">
        <v>0</v>
      </c>
      <c r="D541" t="s">
        <v>2655</v>
      </c>
      <c r="E541" t="str" cm="1">
        <f t="array" ref="E541">IF(COUNTIF(A:A, "*" &amp; LEFT(D541, FIND(" ", D541 &amp; " ") - 1) &amp; "*") &gt; 0,INDEX(A:A,FuzzyVLookup(D541,A:A,0,,,2)),"Non-PDL")</f>
        <v>PRALUENT (alirocumab)</v>
      </c>
      <c r="F541" t="str">
        <f t="shared" si="8"/>
        <v>Preferred</v>
      </c>
      <c r="G541" s="1" cm="1">
        <f t="array" ref="G541">FuzzyPercent(D541,E541,2)</f>
        <v>0.39344263076782227</v>
      </c>
      <c r="H541" t="str" cm="1">
        <f t="array" ref="H541">IF(F541="Non-PDL","",IF(FuzzyPercent(D541,E541,2)&lt;0.4,"CHECK",""))</f>
        <v>CHECK</v>
      </c>
    </row>
    <row r="542" spans="1:8" x14ac:dyDescent="0.2">
      <c r="A542" t="s">
        <v>1070</v>
      </c>
      <c r="B542" t="s">
        <v>0</v>
      </c>
      <c r="D542" t="s">
        <v>2656</v>
      </c>
      <c r="E542" t="str" cm="1">
        <f t="array" ref="E542">IF(COUNTIF(A:A, "*" &amp; LEFT(D542, FIND(" ", D542 &amp; " ") - 1) &amp; "*") &gt; 0,INDEX(A:A,FuzzyVLookup(D542,A:A,0,,,2)),"Non-PDL")</f>
        <v>PRED-G (gentamicin/prednisolone)</v>
      </c>
      <c r="F542" t="str">
        <f t="shared" si="8"/>
        <v>Preferred</v>
      </c>
      <c r="G542" s="1" cm="1">
        <f t="array" ref="G542">FuzzyPercent(D542,E542,2)</f>
        <v>0.14754098653793335</v>
      </c>
      <c r="H542" t="str" cm="1">
        <f t="array" ref="H542">IF(F542="Non-PDL","",IF(FuzzyPercent(D542,E542,2)&lt;0.4,"CHECK",""))</f>
        <v>CHECK</v>
      </c>
    </row>
    <row r="543" spans="1:8" x14ac:dyDescent="0.2">
      <c r="A543" t="s">
        <v>1072</v>
      </c>
      <c r="B543" t="s">
        <v>0</v>
      </c>
      <c r="D543" t="s">
        <v>2657</v>
      </c>
      <c r="E543" t="str" cm="1">
        <f t="array" ref="E543">IF(COUNTIF(A:A, "*" &amp; LEFT(D543, FIND(" ", D543 &amp; " ") - 1) &amp; "*") &gt; 0,INDEX(A:A,FuzzyVLookup(D543,A:A,0,,,2)),"Non-PDL")</f>
        <v>PREVACID (lansoprazole)</v>
      </c>
      <c r="F543" t="str">
        <f t="shared" si="8"/>
        <v>Non-Preferred</v>
      </c>
      <c r="G543" s="1" cm="1">
        <f t="array" ref="G543">FuzzyPercent(D543,E543,2)</f>
        <v>0.34482759237289429</v>
      </c>
      <c r="H543" t="str" cm="1">
        <f t="array" ref="H543">IF(F543="Non-PDL","",IF(FuzzyPercent(D543,E543,2)&lt;0.4,"CHECK",""))</f>
        <v>CHECK</v>
      </c>
    </row>
    <row r="544" spans="1:8" x14ac:dyDescent="0.2">
      <c r="A544" t="s">
        <v>1074</v>
      </c>
      <c r="B544" t="s">
        <v>0</v>
      </c>
      <c r="D544" t="s">
        <v>2658</v>
      </c>
      <c r="E544" t="str" cm="1">
        <f t="array" ref="E544">IF(COUNTIF(A:A, "*" &amp; LEFT(D544, FIND(" ", D544 &amp; " ") - 1) &amp; "*") &gt; 0,INDEX(A:A,FuzzyVLookup(D544,A:A,0,,,2)),"Non-PDL")</f>
        <v>PREVACID (lansoprazole)</v>
      </c>
      <c r="F544" t="str">
        <f t="shared" si="8"/>
        <v>Non-Preferred</v>
      </c>
      <c r="G544" s="1" cm="1">
        <f t="array" ref="G544">FuzzyPercent(D544,E544,2)</f>
        <v>0.3333333432674408</v>
      </c>
      <c r="H544" t="str" cm="1">
        <f t="array" ref="H544">IF(F544="Non-PDL","",IF(FuzzyPercent(D544,E544,2)&lt;0.4,"CHECK",""))</f>
        <v>CHECK</v>
      </c>
    </row>
    <row r="545" spans="1:8" x14ac:dyDescent="0.2">
      <c r="A545" t="s">
        <v>1076</v>
      </c>
      <c r="B545" t="s">
        <v>0</v>
      </c>
      <c r="D545" t="s">
        <v>2659</v>
      </c>
      <c r="E545" t="str" cm="1">
        <f t="array" ref="E545">IF(COUNTIF(A:A, "*" &amp; LEFT(D545, FIND(" ", D545 &amp; " ") - 1) &amp; "*") &gt; 0,INDEX(A:A,FuzzyVLookup(D545,A:A,0,,,2)),"Non-PDL")</f>
        <v>Non-PDL</v>
      </c>
      <c r="F545" t="str">
        <f t="shared" si="8"/>
        <v>Non-PDL</v>
      </c>
      <c r="G545" s="1" cm="1">
        <f t="array" ref="G545">FuzzyPercent(D545,E545,2)</f>
        <v>0</v>
      </c>
      <c r="H545" t="str" cm="1">
        <f t="array" ref="H545">IF(F545="Non-PDL","",IF(FuzzyPercent(D545,E545,2)&lt;0.4,"CHECK",""))</f>
        <v/>
      </c>
    </row>
    <row r="546" spans="1:8" x14ac:dyDescent="0.2">
      <c r="A546" t="s">
        <v>1078</v>
      </c>
      <c r="B546" t="s">
        <v>0</v>
      </c>
      <c r="D546" t="s">
        <v>2660</v>
      </c>
      <c r="E546" t="str" cm="1">
        <f t="array" ref="E546">IF(COUNTIF(A:A, "*" &amp; LEFT(D546, FIND(" ", D546 &amp; " ") - 1) &amp; "*") &gt; 0,INDEX(A:A,FuzzyVLookup(D546,A:A,0,,,2)),"Non-PDL")</f>
        <v>fluoxetine DR capsule</v>
      </c>
      <c r="F546" t="str">
        <f t="shared" si="8"/>
        <v>Non-Preferred</v>
      </c>
      <c r="G546" s="1" cm="1">
        <f t="array" ref="G546">FuzzyPercent(D546,E546,2)</f>
        <v>0.32222223281860352</v>
      </c>
      <c r="H546" t="str" cm="1">
        <f t="array" ref="H546">IF(F546="Non-PDL","",IF(FuzzyPercent(D546,E546,2)&lt;0.4,"CHECK",""))</f>
        <v>CHECK</v>
      </c>
    </row>
    <row r="547" spans="1:8" x14ac:dyDescent="0.2">
      <c r="A547" t="s">
        <v>1080</v>
      </c>
      <c r="B547" t="s">
        <v>0</v>
      </c>
      <c r="D547" t="s">
        <v>2661</v>
      </c>
      <c r="E547" t="str" cm="1">
        <f t="array" ref="E547">IF(COUNTIF(A:A, "*" &amp; LEFT(D547, FIND(" ", D547 &amp; " ") - 1) &amp; "*") &gt; 0,INDEX(A:A,FuzzyVLookup(D547,A:A,0,,,2)),"Non-PDL")</f>
        <v>PRILOSEC (omeprazole) packet</v>
      </c>
      <c r="F547" t="str">
        <f t="shared" si="8"/>
        <v>Non-Preferred</v>
      </c>
      <c r="G547" s="1" cm="1">
        <f t="array" ref="G547">FuzzyPercent(D547,E547,2)</f>
        <v>0.20370370149612427</v>
      </c>
      <c r="H547" t="str" cm="1">
        <f t="array" ref="H547">IF(F547="Non-PDL","",IF(FuzzyPercent(D547,E547,2)&lt;0.4,"CHECK",""))</f>
        <v>CHECK</v>
      </c>
    </row>
    <row r="548" spans="1:8" x14ac:dyDescent="0.2">
      <c r="A548" t="s">
        <v>1082</v>
      </c>
      <c r="B548" t="s">
        <v>0</v>
      </c>
      <c r="D548" t="s">
        <v>2662</v>
      </c>
      <c r="E548" t="str" cm="1">
        <f t="array" ref="E548">IF(COUNTIF(A:A, "*" &amp; LEFT(D548, FIND(" ", D548 &amp; " ") - 1) &amp; "*") &gt; 0,INDEX(A:A,FuzzyVLookup(D548,A:A,0,,,2)),"Non-PDL")</f>
        <v>PROAIR DIGIHALER (albuterol)</v>
      </c>
      <c r="F548" t="str">
        <f t="shared" si="8"/>
        <v>Non-Preferred</v>
      </c>
      <c r="G548" s="1" cm="1">
        <f t="array" ref="G548">FuzzyPercent(D548,E548,2)</f>
        <v>0.6355140209197998</v>
      </c>
      <c r="H548" t="str" cm="1">
        <f t="array" ref="H548">IF(F548="Non-PDL","",IF(FuzzyPercent(D548,E548,2)&lt;0.4,"CHECK",""))</f>
        <v/>
      </c>
    </row>
    <row r="549" spans="1:8" x14ac:dyDescent="0.2">
      <c r="A549" t="s">
        <v>1084</v>
      </c>
      <c r="B549" t="s">
        <v>0</v>
      </c>
      <c r="D549" t="s">
        <v>2663</v>
      </c>
      <c r="E549" t="str" cm="1">
        <f t="array" ref="E549">IF(COUNTIF(A:A, "*" &amp; LEFT(D549, FIND(" ", D549 &amp; " ") - 1) &amp; "*") &gt; 0,INDEX(A:A,FuzzyVLookup(D549,A:A,0,,,2)),"Non-PDL")</f>
        <v>PROAIR DIGIHALER (albuterol)</v>
      </c>
      <c r="F549" t="str">
        <f t="shared" si="8"/>
        <v>Non-Preferred</v>
      </c>
      <c r="G549" s="1" cm="1">
        <f t="array" ref="G549">FuzzyPercent(D549,E549,2)</f>
        <v>0.20000000298023224</v>
      </c>
      <c r="H549" t="str" cm="1">
        <f t="array" ref="H549">IF(F549="Non-PDL","",IF(FuzzyPercent(D549,E549,2)&lt;0.4,"CHECK",""))</f>
        <v>CHECK</v>
      </c>
    </row>
    <row r="550" spans="1:8" x14ac:dyDescent="0.2">
      <c r="A550" t="s">
        <v>1086</v>
      </c>
      <c r="B550" t="s">
        <v>0</v>
      </c>
      <c r="D550" t="s">
        <v>2664</v>
      </c>
      <c r="E550" t="str" cm="1">
        <f t="array" ref="E550">IF(COUNTIF(A:A, "*" &amp; LEFT(D550, FIND(" ", D550 &amp; " ") - 1) &amp; "*") &gt; 0,INDEX(A:A,FuzzyVLookup(D550,A:A,0,,,2)),"Non-PDL")</f>
        <v>PROAIR DIGIHALER (albuterol)</v>
      </c>
      <c r="F550" t="str">
        <f t="shared" si="8"/>
        <v>Non-Preferred</v>
      </c>
      <c r="G550" s="1" cm="1">
        <f t="array" ref="G550">FuzzyPercent(D550,E550,2)</f>
        <v>0.1666666716337204</v>
      </c>
      <c r="H550" t="str" cm="1">
        <f t="array" ref="H550">IF(F550="Non-PDL","",IF(FuzzyPercent(D550,E550,2)&lt;0.4,"CHECK",""))</f>
        <v>CHECK</v>
      </c>
    </row>
    <row r="551" spans="1:8" x14ac:dyDescent="0.2">
      <c r="A551" t="s">
        <v>1088</v>
      </c>
      <c r="B551" t="s">
        <v>0</v>
      </c>
      <c r="D551" t="s">
        <v>2665</v>
      </c>
      <c r="E551" t="str" cm="1">
        <f t="array" ref="E551">IF(COUNTIF(A:A, "*" &amp; LEFT(D551, FIND(" ", D551 &amp; " ") - 1) &amp; "*") &gt; 0,INDEX(A:A,FuzzyVLookup(D551,A:A,0,,,2)),"Non-PDL")</f>
        <v>ciprofloxacin suspension</v>
      </c>
      <c r="F551" t="str">
        <f t="shared" si="8"/>
        <v>Non-Preferred</v>
      </c>
      <c r="G551" s="1" cm="1">
        <f t="array" ref="G551">FuzzyPercent(D551,E551,2)</f>
        <v>0.28333333134651184</v>
      </c>
      <c r="H551" t="str" cm="1">
        <f t="array" ref="H551">IF(F551="Non-PDL","",IF(FuzzyPercent(D551,E551,2)&lt;0.4,"CHECK",""))</f>
        <v>CHECK</v>
      </c>
    </row>
    <row r="552" spans="1:8" x14ac:dyDescent="0.2">
      <c r="A552" t="s">
        <v>1089</v>
      </c>
      <c r="B552" t="s">
        <v>0</v>
      </c>
      <c r="D552" t="s">
        <v>2666</v>
      </c>
      <c r="E552" t="str" cm="1">
        <f t="array" ref="E552">IF(COUNTIF(A:A, "*" &amp; LEFT(D552, FIND(" ", D552 &amp; " ") - 1) &amp; "*") &gt; 0,INDEX(A:A,FuzzyVLookup(D552,A:A,0,,,2)),"Non-PDL")</f>
        <v>PROMACTA (eltrombopag) tablet</v>
      </c>
      <c r="F552" t="str">
        <f t="shared" si="8"/>
        <v>Preferred</v>
      </c>
      <c r="G552" s="1" cm="1">
        <f t="array" ref="G552">FuzzyPercent(D552,E552,2)</f>
        <v>0.38461539149284363</v>
      </c>
      <c r="H552" t="str" cm="1">
        <f t="array" ref="H552">IF(F552="Non-PDL","",IF(FuzzyPercent(D552,E552,2)&lt;0.4,"CHECK",""))</f>
        <v>CHECK</v>
      </c>
    </row>
    <row r="553" spans="1:8" x14ac:dyDescent="0.2">
      <c r="A553" t="s">
        <v>1091</v>
      </c>
      <c r="B553" t="s">
        <v>0</v>
      </c>
      <c r="D553" t="s">
        <v>2667</v>
      </c>
      <c r="E553" t="str" cm="1">
        <f t="array" ref="E553">IF(COUNTIF(A:A, "*" &amp; LEFT(D553, FIND(" ", D553 &amp; " ") - 1) &amp; "*") &gt; 0,INDEX(A:A,FuzzyVLookup(D553,A:A,0,,,2)),"Non-PDL")</f>
        <v>PROTONIX (pantoprazole)</v>
      </c>
      <c r="F553" t="str">
        <f t="shared" si="8"/>
        <v>Non-Preferred</v>
      </c>
      <c r="G553" s="1" cm="1">
        <f t="array" ref="G553">FuzzyPercent(D553,E553,2)</f>
        <v>0.17204301059246063</v>
      </c>
      <c r="H553" t="str" cm="1">
        <f t="array" ref="H553">IF(F553="Non-PDL","",IF(FuzzyPercent(D553,E553,2)&lt;0.4,"CHECK",""))</f>
        <v>CHECK</v>
      </c>
    </row>
    <row r="554" spans="1:8" x14ac:dyDescent="0.2">
      <c r="A554" t="s">
        <v>1093</v>
      </c>
      <c r="B554" t="s">
        <v>0</v>
      </c>
      <c r="D554" t="s">
        <v>2668</v>
      </c>
      <c r="E554" t="str" cm="1">
        <f t="array" ref="E554">IF(COUNTIF(A:A, "*" &amp; LEFT(D554, FIND(" ", D554 &amp; " ") - 1) &amp; "*") &gt; 0,INDEX(A:A,FuzzyVLookup(D554,A:A,0,,,2)),"Non-PDL")</f>
        <v>PROTONIX (pantoprazole)</v>
      </c>
      <c r="F554" t="str">
        <f t="shared" si="8"/>
        <v>Non-Preferred</v>
      </c>
      <c r="G554" s="1" cm="1">
        <f t="array" ref="G554">FuzzyPercent(D554,E554,2)</f>
        <v>0.31182795763015747</v>
      </c>
      <c r="H554" t="str" cm="1">
        <f t="array" ref="H554">IF(F554="Non-PDL","",IF(FuzzyPercent(D554,E554,2)&lt;0.4,"CHECK",""))</f>
        <v>CHECK</v>
      </c>
    </row>
    <row r="555" spans="1:8" x14ac:dyDescent="0.2">
      <c r="A555" t="s">
        <v>1095</v>
      </c>
      <c r="B555" t="s">
        <v>0</v>
      </c>
      <c r="D555" t="s">
        <v>2669</v>
      </c>
      <c r="E555" t="str" cm="1">
        <f t="array" ref="E555">IF(COUNTIF(A:A, "*" &amp; LEFT(D555, FIND(" ", D555 &amp; " ") - 1) &amp; "*") &gt; 0,INDEX(A:A,FuzzyVLookup(D555,A:A,0,,,2)),"Non-PDL")</f>
        <v>Non-PDL</v>
      </c>
      <c r="F555" t="str">
        <f t="shared" si="8"/>
        <v>Non-PDL</v>
      </c>
      <c r="G555" s="1" cm="1">
        <f t="array" ref="G555">FuzzyPercent(D555,E555,2)</f>
        <v>0</v>
      </c>
      <c r="H555" t="str" cm="1">
        <f t="array" ref="H555">IF(F555="Non-PDL","",IF(FuzzyPercent(D555,E555,2)&lt;0.4,"CHECK",""))</f>
        <v/>
      </c>
    </row>
    <row r="556" spans="1:8" x14ac:dyDescent="0.2">
      <c r="A556" t="s">
        <v>1097</v>
      </c>
      <c r="B556" t="s">
        <v>0</v>
      </c>
      <c r="D556" t="s">
        <v>2670</v>
      </c>
      <c r="E556" t="str" cm="1">
        <f t="array" ref="E556">IF(COUNTIF(A:A, "*" &amp; LEFT(D556, FIND(" ", D556 &amp; " ") - 1) &amp; "*") &gt; 0,INDEX(A:A,FuzzyVLookup(D556,A:A,0,,,2)),"Non-PDL")</f>
        <v>PULMICORT FLEXHALER (budesonide)</v>
      </c>
      <c r="F556" t="str">
        <f t="shared" si="8"/>
        <v>Preferred</v>
      </c>
      <c r="G556" s="1" cm="1">
        <f t="array" ref="G556">FuzzyPercent(D556,E556,2)</f>
        <v>0.640625</v>
      </c>
      <c r="H556" t="str" cm="1">
        <f t="array" ref="H556">IF(F556="Non-PDL","",IF(FuzzyPercent(D556,E556,2)&lt;0.4,"CHECK",""))</f>
        <v/>
      </c>
    </row>
    <row r="557" spans="1:8" x14ac:dyDescent="0.2">
      <c r="A557" t="s">
        <v>1099</v>
      </c>
      <c r="B557" t="s">
        <v>0</v>
      </c>
      <c r="D557" t="s">
        <v>2671</v>
      </c>
      <c r="E557" t="str" cm="1">
        <f t="array" ref="E557">IF(COUNTIF(A:A, "*" &amp; LEFT(D557, FIND(" ", D557 &amp; " ") - 1) &amp; "*") &gt; 0,INDEX(A:A,FuzzyVLookup(D557,A:A,0,,,2)),"Non-PDL")</f>
        <v>PULMICORT FLEXHALER (budesonide)</v>
      </c>
      <c r="F557" t="str">
        <f t="shared" si="8"/>
        <v>Preferred</v>
      </c>
      <c r="G557" s="1" cm="1">
        <f t="array" ref="G557">FuzzyPercent(D557,E557,2)</f>
        <v>0.26428571343421936</v>
      </c>
      <c r="H557" t="str" cm="1">
        <f t="array" ref="H557">IF(F557="Non-PDL","",IF(FuzzyPercent(D557,E557,2)&lt;0.4,"CHECK",""))</f>
        <v>CHECK</v>
      </c>
    </row>
    <row r="558" spans="1:8" x14ac:dyDescent="0.2">
      <c r="A558" t="s">
        <v>1101</v>
      </c>
      <c r="B558" t="s">
        <v>0</v>
      </c>
      <c r="D558" t="s">
        <v>2672</v>
      </c>
      <c r="E558" t="str" cm="1">
        <f t="array" ref="E558">IF(COUNTIF(A:A, "*" &amp; LEFT(D558, FIND(" ", D558 &amp; " ") - 1) &amp; "*") &gt; 0,INDEX(A:A,FuzzyVLookup(D558,A:A,0,,,2)),"Non-PDL")</f>
        <v>PULMICORT FLEXHALER (budesonide)</v>
      </c>
      <c r="F558" t="str">
        <f t="shared" si="8"/>
        <v>Preferred</v>
      </c>
      <c r="G558" s="1" cm="1">
        <f t="array" ref="G558">FuzzyPercent(D558,E558,2)</f>
        <v>0.2434210479259491</v>
      </c>
      <c r="H558" t="str" cm="1">
        <f t="array" ref="H558">IF(F558="Non-PDL","",IF(FuzzyPercent(D558,E558,2)&lt;0.4,"CHECK",""))</f>
        <v>CHECK</v>
      </c>
    </row>
    <row r="559" spans="1:8" x14ac:dyDescent="0.2">
      <c r="A559" t="s">
        <v>1103</v>
      </c>
      <c r="B559" t="s">
        <v>0</v>
      </c>
      <c r="D559" t="s">
        <v>2673</v>
      </c>
      <c r="E559" t="str" cm="1">
        <f t="array" ref="E559">IF(COUNTIF(A:A, "*" &amp; LEFT(D559, FIND(" ", D559 &amp; " ") - 1) &amp; "*") &gt; 0,INDEX(A:A,FuzzyVLookup(D559,A:A,0,,,2)),"Non-PDL")</f>
        <v>PULMICORT FLEXHALER (budesonide)</v>
      </c>
      <c r="F559" t="str">
        <f t="shared" si="8"/>
        <v>Preferred</v>
      </c>
      <c r="G559" s="1" cm="1">
        <f t="array" ref="G559">FuzzyPercent(D559,E559,2)</f>
        <v>0.24832214415073395</v>
      </c>
      <c r="H559" t="str" cm="1">
        <f t="array" ref="H559">IF(F559="Non-PDL","",IF(FuzzyPercent(D559,E559,2)&lt;0.4,"CHECK",""))</f>
        <v>CHECK</v>
      </c>
    </row>
    <row r="560" spans="1:8" x14ac:dyDescent="0.2">
      <c r="A560" t="s">
        <v>1105</v>
      </c>
      <c r="B560" t="s">
        <v>0</v>
      </c>
      <c r="D560" t="s">
        <v>2674</v>
      </c>
      <c r="E560" t="str" cm="1">
        <f t="array" ref="E560">IF(COUNTIF(A:A, "*" &amp; LEFT(D560, FIND(" ", D560 &amp; " ") - 1) &amp; "*") &gt; 0,INDEX(A:A,FuzzyVLookup(D560,A:A,0,,,2)),"Non-PDL")</f>
        <v>Non-PDL</v>
      </c>
      <c r="F560" t="str">
        <f t="shared" si="8"/>
        <v>Non-PDL</v>
      </c>
      <c r="G560" s="1" cm="1">
        <f t="array" ref="G560">FuzzyPercent(D560,E560,2)</f>
        <v>0</v>
      </c>
      <c r="H560" t="str" cm="1">
        <f t="array" ref="H560">IF(F560="Non-PDL","",IF(FuzzyPercent(D560,E560,2)&lt;0.4,"CHECK",""))</f>
        <v/>
      </c>
    </row>
    <row r="561" spans="1:8" x14ac:dyDescent="0.2">
      <c r="A561" t="s">
        <v>1107</v>
      </c>
      <c r="B561" t="s">
        <v>0</v>
      </c>
      <c r="D561" t="s">
        <v>2675</v>
      </c>
      <c r="E561" t="str" cm="1">
        <f t="array" ref="E561">IF(COUNTIF(A:A, "*" &amp; LEFT(D561, FIND(" ", D561 &amp; " ") - 1) &amp; "*") &gt; 0,INDEX(A:A,FuzzyVLookup(D561,A:A,0,,,2)),"Non-PDL")</f>
        <v>Non-PDL</v>
      </c>
      <c r="F561" t="str">
        <f t="shared" si="8"/>
        <v>Non-PDL</v>
      </c>
      <c r="G561" s="1" cm="1">
        <f t="array" ref="G561">FuzzyPercent(D561,E561,2)</f>
        <v>0</v>
      </c>
      <c r="H561" t="str" cm="1">
        <f t="array" ref="H561">IF(F561="Non-PDL","",IF(FuzzyPercent(D561,E561,2)&lt;0.4,"CHECK",""))</f>
        <v/>
      </c>
    </row>
    <row r="562" spans="1:8" x14ac:dyDescent="0.2">
      <c r="A562" t="s">
        <v>1109</v>
      </c>
      <c r="B562" t="s">
        <v>0</v>
      </c>
      <c r="D562" t="s">
        <v>2676</v>
      </c>
      <c r="E562" t="str" cm="1">
        <f t="array" ref="E562">IF(COUNTIF(A:A, "*" &amp; LEFT(D562, FIND(" ", D562 &amp; " ") - 1) &amp; "*") &gt; 0,INDEX(A:A,FuzzyVLookup(D562,A:A,0,,,2)),"Non-PDL")</f>
        <v>quetiapine</v>
      </c>
      <c r="F562" t="str">
        <f t="shared" si="8"/>
        <v>Preferred</v>
      </c>
      <c r="G562" s="1" cm="1">
        <f t="array" ref="G562">FuzzyPercent(D562,E562,2)</f>
        <v>1</v>
      </c>
      <c r="H562" t="str" cm="1">
        <f t="array" ref="H562">IF(F562="Non-PDL","",IF(FuzzyPercent(D562,E562,2)&lt;0.4,"CHECK",""))</f>
        <v/>
      </c>
    </row>
    <row r="563" spans="1:8" x14ac:dyDescent="0.2">
      <c r="A563" t="s">
        <v>1111</v>
      </c>
      <c r="B563" t="s">
        <v>0</v>
      </c>
      <c r="D563" t="s">
        <v>2677</v>
      </c>
      <c r="E563" t="str" cm="1">
        <f t="array" ref="E563">IF(COUNTIF(A:A, "*" &amp; LEFT(D563, FIND(" ", D563 &amp; " ") - 1) &amp; "*") &gt; 0,INDEX(A:A,FuzzyVLookup(D563,A:A,0,,,2)),"Non-PDL")</f>
        <v>quetiapine ER</v>
      </c>
      <c r="F563" t="str">
        <f t="shared" si="8"/>
        <v>Preferred</v>
      </c>
      <c r="G563" s="1" cm="1">
        <f t="array" ref="G563">FuzzyPercent(D563,E563,2)</f>
        <v>1</v>
      </c>
      <c r="H563" t="str" cm="1">
        <f t="array" ref="H563">IF(F563="Non-PDL","",IF(FuzzyPercent(D563,E563,2)&lt;0.4,"CHECK",""))</f>
        <v/>
      </c>
    </row>
    <row r="564" spans="1:8" x14ac:dyDescent="0.2">
      <c r="A564" t="s">
        <v>1113</v>
      </c>
      <c r="B564" t="s">
        <v>0</v>
      </c>
      <c r="D564" t="s">
        <v>2678</v>
      </c>
      <c r="E564" t="str" cm="1">
        <f t="array" ref="E564">IF(COUNTIF(A:A, "*" &amp; LEFT(D564, FIND(" ", D564 &amp; " ") - 1) &amp; "*") &gt; 0,INDEX(A:A,FuzzyVLookup(D564,A:A,0,,,2)),"Non-PDL")</f>
        <v>QUILLICHEW ER (methylphenidate)</v>
      </c>
      <c r="F564" t="str">
        <f t="shared" si="8"/>
        <v>Preferred</v>
      </c>
      <c r="G564" s="1" cm="1">
        <f t="array" ref="G564">FuzzyPercent(D564,E564,2)</f>
        <v>0.33962264657020569</v>
      </c>
      <c r="H564" t="str" cm="1">
        <f t="array" ref="H564">IF(F564="Non-PDL","",IF(FuzzyPercent(D564,E564,2)&lt;0.4,"CHECK",""))</f>
        <v>CHECK</v>
      </c>
    </row>
    <row r="565" spans="1:8" x14ac:dyDescent="0.2">
      <c r="A565" t="s">
        <v>1115</v>
      </c>
      <c r="B565" t="s">
        <v>0</v>
      </c>
      <c r="D565" t="s">
        <v>2679</v>
      </c>
      <c r="E565" t="str" cm="1">
        <f t="array" ref="E565">IF(COUNTIF(A:A, "*" &amp; LEFT(D565, FIND(" ", D565 &amp; " ") - 1) &amp; "*") &gt; 0,INDEX(A:A,FuzzyVLookup(D565,A:A,0,,,2)),"Non-PDL")</f>
        <v>QUILLIVANT XR (methylphenidate)</v>
      </c>
      <c r="F565" t="str">
        <f t="shared" si="8"/>
        <v>Preferred</v>
      </c>
      <c r="G565" s="1" cm="1">
        <f t="array" ref="G565">FuzzyPercent(D565,E565,2)</f>
        <v>0.45283019542694092</v>
      </c>
      <c r="H565" t="str" cm="1">
        <f t="array" ref="H565">IF(F565="Non-PDL","",IF(FuzzyPercent(D565,E565,2)&lt;0.4,"CHECK",""))</f>
        <v/>
      </c>
    </row>
    <row r="566" spans="1:8" x14ac:dyDescent="0.2">
      <c r="A566" t="s">
        <v>1117</v>
      </c>
      <c r="B566" t="s">
        <v>0</v>
      </c>
      <c r="D566" t="s">
        <v>2680</v>
      </c>
      <c r="E566" t="str" cm="1">
        <f t="array" ref="E566">IF(COUNTIF(A:A, "*" &amp; LEFT(D566, FIND(" ", D566 &amp; " ") - 1) &amp; "*") &gt; 0,INDEX(A:A,FuzzyVLookup(D566,A:A,0,,,2)),"Non-PDL")</f>
        <v>quinapril</v>
      </c>
      <c r="F566" t="str">
        <f t="shared" si="8"/>
        <v>Preferred</v>
      </c>
      <c r="G566" s="1" cm="1">
        <f t="array" ref="G566">FuzzyPercent(D566,E566,2)</f>
        <v>1</v>
      </c>
      <c r="H566" t="str" cm="1">
        <f t="array" ref="H566">IF(F566="Non-PDL","",IF(FuzzyPercent(D566,E566,2)&lt;0.4,"CHECK",""))</f>
        <v/>
      </c>
    </row>
    <row r="567" spans="1:8" x14ac:dyDescent="0.2">
      <c r="A567" t="s">
        <v>1119</v>
      </c>
      <c r="B567" t="s">
        <v>0</v>
      </c>
      <c r="D567" t="s">
        <v>2681</v>
      </c>
      <c r="E567" t="str" cm="1">
        <f t="array" ref="E567">IF(COUNTIF(A:A, "*" &amp; LEFT(D567, FIND(" ", D567 &amp; " ") - 1) &amp; "*") &gt; 0,INDEX(A:A,FuzzyVLookup(D567,A:A,0,,,2)),"Non-PDL")</f>
        <v>QULIPTA (atogepant)</v>
      </c>
      <c r="F567" t="str">
        <f t="shared" si="8"/>
        <v>Preferred</v>
      </c>
      <c r="G567" s="1" cm="1">
        <f t="array" ref="G567">FuzzyPercent(D567,E567,2)</f>
        <v>0.36000001430511475</v>
      </c>
      <c r="H567" t="str" cm="1">
        <f t="array" ref="H567">IF(F567="Non-PDL","",IF(FuzzyPercent(D567,E567,2)&lt;0.4,"CHECK",""))</f>
        <v>CHECK</v>
      </c>
    </row>
    <row r="568" spans="1:8" x14ac:dyDescent="0.2">
      <c r="A568" t="s">
        <v>1121</v>
      </c>
      <c r="B568" t="s">
        <v>0</v>
      </c>
      <c r="D568" t="s">
        <v>2682</v>
      </c>
      <c r="E568" t="str" cm="1">
        <f t="array" ref="E568">IF(COUNTIF(A:A, "*" &amp; LEFT(D568, FIND(" ", D568 &amp; " ") - 1) &amp; "*") &gt; 0,INDEX(A:A,FuzzyVLookup(D568,A:A,0,,,2)),"Non-PDL")</f>
        <v>HYQVIA</v>
      </c>
      <c r="F568" t="str">
        <f t="shared" si="8"/>
        <v>Preferred</v>
      </c>
      <c r="G568" s="1" cm="1">
        <f t="array" ref="G568">FuzzyPercent(D568,E568,2)</f>
        <v>0.1666666716337204</v>
      </c>
      <c r="H568" t="str" cm="1">
        <f t="array" ref="H568">IF(F568="Non-PDL","",IF(FuzzyPercent(D568,E568,2)&lt;0.4,"CHECK",""))</f>
        <v>CHECK</v>
      </c>
    </row>
    <row r="569" spans="1:8" x14ac:dyDescent="0.2">
      <c r="A569" t="s">
        <v>1123</v>
      </c>
      <c r="B569" t="s">
        <v>0</v>
      </c>
      <c r="D569" t="s">
        <v>2683</v>
      </c>
      <c r="E569" t="str" cm="1">
        <f t="array" ref="E569">IF(COUNTIF(A:A, "*" &amp; LEFT(D569, FIND(" ", D569 &amp; " ") - 1) &amp; "*") &gt; 0,INDEX(A:A,FuzzyVLookup(D569,A:A,0,,,2)),"Non-PDL")</f>
        <v>ENTRESTO (valsartan/sacubitril) sprinkle capsule</v>
      </c>
      <c r="F569" t="str">
        <f t="shared" si="8"/>
        <v>Non-Preferred</v>
      </c>
      <c r="G569" s="1" cm="1">
        <f t="array" ref="G569">FuzzyPercent(D569,E569,2)</f>
        <v>0.25112107396125793</v>
      </c>
      <c r="H569" t="str" cm="1">
        <f t="array" ref="H569">IF(F569="Non-PDL","",IF(FuzzyPercent(D569,E569,2)&lt;0.4,"CHECK",""))</f>
        <v>CHECK</v>
      </c>
    </row>
    <row r="570" spans="1:8" x14ac:dyDescent="0.2">
      <c r="A570" t="s">
        <v>1125</v>
      </c>
      <c r="B570" t="s">
        <v>0</v>
      </c>
      <c r="D570" t="s">
        <v>2684</v>
      </c>
      <c r="E570" t="str" cm="1">
        <f t="array" ref="E570">IF(COUNTIF(A:A, "*" &amp; LEFT(D570, FIND(" ", D570 &amp; " ") - 1) &amp; "*") &gt; 0,INDEX(A:A,FuzzyVLookup(D570,A:A,0,,,2)),"Non-PDL")</f>
        <v>rabeprazole</v>
      </c>
      <c r="F570" t="str">
        <f t="shared" si="8"/>
        <v>Non-Preferred</v>
      </c>
      <c r="G570" s="1" cm="1">
        <f t="array" ref="G570">FuzzyPercent(D570,E570,2)</f>
        <v>0.44999998807907104</v>
      </c>
      <c r="H570" t="str" cm="1">
        <f t="array" ref="H570">IF(F570="Non-PDL","",IF(FuzzyPercent(D570,E570,2)&lt;0.4,"CHECK",""))</f>
        <v/>
      </c>
    </row>
    <row r="571" spans="1:8" x14ac:dyDescent="0.2">
      <c r="A571" t="s">
        <v>1127</v>
      </c>
      <c r="B571" t="s">
        <v>0</v>
      </c>
      <c r="D571" t="s">
        <v>2685</v>
      </c>
      <c r="E571" t="str" cm="1">
        <f t="array" ref="E571">IF(COUNTIF(A:A, "*" &amp; LEFT(D571, FIND(" ", D571 &amp; " ") - 1) &amp; "*") &gt; 0,INDEX(A:A,FuzzyVLookup(D571,A:A,0,,,2)),"Non-PDL")</f>
        <v>RAGWITEK</v>
      </c>
      <c r="F571" t="str">
        <f t="shared" si="8"/>
        <v>Preferred</v>
      </c>
      <c r="G571" s="1" cm="1">
        <f t="array" ref="G571">FuzzyPercent(D571,E571,2)</f>
        <v>1</v>
      </c>
      <c r="H571" t="str" cm="1">
        <f t="array" ref="H571">IF(F571="Non-PDL","",IF(FuzzyPercent(D571,E571,2)&lt;0.4,"CHECK",""))</f>
        <v/>
      </c>
    </row>
    <row r="572" spans="1:8" x14ac:dyDescent="0.2">
      <c r="A572" t="s">
        <v>1129</v>
      </c>
      <c r="B572" t="s">
        <v>0</v>
      </c>
      <c r="D572" t="s">
        <v>2686</v>
      </c>
      <c r="E572" t="str" cm="1">
        <f t="array" ref="E572">IF(COUNTIF(A:A, "*" &amp; LEFT(D572, FIND(" ", D572 &amp; " ") - 1) &amp; "*") &gt; 0,INDEX(A:A,FuzzyVLookup(D572,A:A,0,,,2)),"Non-PDL")</f>
        <v>ramipril</v>
      </c>
      <c r="F572" t="str">
        <f t="shared" si="8"/>
        <v>Preferred</v>
      </c>
      <c r="G572" s="1" cm="1">
        <f t="array" ref="G572">FuzzyPercent(D572,E572,2)</f>
        <v>1</v>
      </c>
      <c r="H572" t="str" cm="1">
        <f t="array" ref="H572">IF(F572="Non-PDL","",IF(FuzzyPercent(D572,E572,2)&lt;0.4,"CHECK",""))</f>
        <v/>
      </c>
    </row>
    <row r="573" spans="1:8" x14ac:dyDescent="0.2">
      <c r="A573" t="s">
        <v>1131</v>
      </c>
      <c r="B573" t="s">
        <v>0</v>
      </c>
      <c r="D573" t="s">
        <v>2687</v>
      </c>
      <c r="E573" t="str" cm="1">
        <f t="array" ref="E573">IF(COUNTIF(A:A, "*" &amp; LEFT(D573, FIND(" ", D573 &amp; " ") - 1) &amp; "*") &gt; 0,INDEX(A:A,FuzzyVLookup(D573,A:A,0,,,2)),"Non-PDL")</f>
        <v>Non-PDL</v>
      </c>
      <c r="F573" t="str">
        <f t="shared" si="8"/>
        <v>Non-PDL</v>
      </c>
      <c r="G573" s="1" cm="1">
        <f t="array" ref="G573">FuzzyPercent(D573,E573,2)</f>
        <v>0</v>
      </c>
      <c r="H573" t="str" cm="1">
        <f t="array" ref="H573">IF(F573="Non-PDL","",IF(FuzzyPercent(D573,E573,2)&lt;0.4,"CHECK",""))</f>
        <v/>
      </c>
    </row>
    <row r="574" spans="1:8" x14ac:dyDescent="0.2">
      <c r="A574" t="s">
        <v>1133</v>
      </c>
      <c r="B574" t="s">
        <v>0</v>
      </c>
      <c r="D574" t="s">
        <v>2688</v>
      </c>
      <c r="E574" t="str" cm="1">
        <f t="array" ref="E574">IF(COUNTIF(A:A, "*" &amp; LEFT(D574, FIND(" ", D574 &amp; " ") - 1) &amp; "*") &gt; 0,INDEX(A:A,FuzzyVLookup(D574,A:A,0,,,2)),"Non-PDL")</f>
        <v>maraviroc</v>
      </c>
      <c r="F574" t="str">
        <f t="shared" si="8"/>
        <v>Preferred</v>
      </c>
      <c r="G574" s="1" cm="1">
        <f t="array" ref="G574">FuzzyPercent(D574,E574,2)</f>
        <v>0.30434781312942505</v>
      </c>
      <c r="H574" t="str" cm="1">
        <f t="array" ref="H574">IF(F574="Non-PDL","",IF(FuzzyPercent(D574,E574,2)&lt;0.4,"CHECK",""))</f>
        <v>CHECK</v>
      </c>
    </row>
    <row r="575" spans="1:8" x14ac:dyDescent="0.2">
      <c r="A575" t="s">
        <v>1135</v>
      </c>
      <c r="B575" t="s">
        <v>0</v>
      </c>
      <c r="D575" t="s">
        <v>2689</v>
      </c>
      <c r="E575" t="str" cm="1">
        <f t="array" ref="E575">IF(COUNTIF(A:A, "*" &amp; LEFT(D575, FIND(" ", D575 &amp; " ") - 1) &amp; "*") &gt; 0,INDEX(A:A,FuzzyVLookup(D575,A:A,0,,,2)),"Non-PDL")</f>
        <v>REBIF (interferon beta-1b)</v>
      </c>
      <c r="F575" t="str">
        <f t="shared" si="8"/>
        <v>Preferred</v>
      </c>
      <c r="G575" s="1" cm="1">
        <f t="array" ref="G575">FuzzyPercent(D575,E575,2)</f>
        <v>0.45454546809196472</v>
      </c>
      <c r="H575" t="str" cm="1">
        <f t="array" ref="H575">IF(F575="Non-PDL","",IF(FuzzyPercent(D575,E575,2)&lt;0.4,"CHECK",""))</f>
        <v/>
      </c>
    </row>
    <row r="576" spans="1:8" x14ac:dyDescent="0.2">
      <c r="A576" t="s">
        <v>1137</v>
      </c>
      <c r="B576" t="s">
        <v>0</v>
      </c>
      <c r="D576" t="s">
        <v>2690</v>
      </c>
      <c r="E576" t="str" cm="1">
        <f t="array" ref="E576">IF(COUNTIF(A:A, "*" &amp; LEFT(D576, FIND(" ", D576 &amp; " ") - 1) &amp; "*") &gt; 0,INDEX(A:A,FuzzyVLookup(D576,A:A,0,,,2)),"Non-PDL")</f>
        <v>REBINYN</v>
      </c>
      <c r="F576" t="str">
        <f t="shared" si="8"/>
        <v>Non-Preferred</v>
      </c>
      <c r="G576" s="1" cm="1">
        <f t="array" ref="G576">FuzzyPercent(D576,E576,2)</f>
        <v>1</v>
      </c>
      <c r="H576" t="str" cm="1">
        <f t="array" ref="H576">IF(F576="Non-PDL","",IF(FuzzyPercent(D576,E576,2)&lt;0.4,"CHECK",""))</f>
        <v/>
      </c>
    </row>
    <row r="577" spans="1:8" x14ac:dyDescent="0.2">
      <c r="A577" t="s">
        <v>1139</v>
      </c>
      <c r="B577" t="s">
        <v>0</v>
      </c>
      <c r="D577" t="s">
        <v>2691</v>
      </c>
      <c r="E577" t="str" cm="1">
        <f t="array" ref="E577">IF(COUNTIF(A:A, "*" &amp; LEFT(D577, FIND(" ", D577 &amp; " ") - 1) &amp; "*") &gt; 0,INDEX(A:A,FuzzyVLookup(D577,A:A,0,,,2)),"Non-PDL")</f>
        <v>Non-PDL</v>
      </c>
      <c r="F577" t="str">
        <f t="shared" si="8"/>
        <v>Non-PDL</v>
      </c>
      <c r="G577" s="1" cm="1">
        <f t="array" ref="G577">FuzzyPercent(D577,E577,2)</f>
        <v>0</v>
      </c>
      <c r="H577" t="str" cm="1">
        <f t="array" ref="H577">IF(F577="Non-PDL","",IF(FuzzyPercent(D577,E577,2)&lt;0.4,"CHECK",""))</f>
        <v/>
      </c>
    </row>
    <row r="578" spans="1:8" x14ac:dyDescent="0.2">
      <c r="A578" t="s">
        <v>1141</v>
      </c>
      <c r="B578" t="s">
        <v>0</v>
      </c>
      <c r="D578" t="s">
        <v>2692</v>
      </c>
      <c r="E578" t="str" cm="1">
        <f t="array" ref="E578">IF(COUNTIF(A:A, "*" &amp; LEFT(D578, FIND(" ", D578 &amp; " ") - 1) &amp; "*") &gt; 0,INDEX(A:A,FuzzyVLookup(D578,A:A,0,,,2)),"Non-PDL")</f>
        <v>REBINYN</v>
      </c>
      <c r="F578" t="str">
        <f t="shared" si="8"/>
        <v>Non-Preferred</v>
      </c>
      <c r="G578" s="1" cm="1">
        <f t="array" ref="G578">FuzzyPercent(D578,E578,2)</f>
        <v>0.2222222238779068</v>
      </c>
      <c r="H578" t="str" cm="1">
        <f t="array" ref="H578">IF(F578="Non-PDL","",IF(FuzzyPercent(D578,E578,2)&lt;0.4,"CHECK",""))</f>
        <v>CHECK</v>
      </c>
    </row>
    <row r="579" spans="1:8" x14ac:dyDescent="0.2">
      <c r="A579" t="s">
        <v>1143</v>
      </c>
      <c r="B579" t="s">
        <v>0</v>
      </c>
      <c r="D579" t="s">
        <v>2693</v>
      </c>
      <c r="E579" t="str" cm="1">
        <f t="array" ref="E579">IF(COUNTIF(A:A, "*" &amp; LEFT(D579, FIND(" ", D579 &amp; " ") - 1) &amp; "*") &gt; 0,INDEX(A:A,FuzzyVLookup(D579,A:A,0,,,2)),"Non-PDL")</f>
        <v>Non-PDL</v>
      </c>
      <c r="F579" t="str">
        <f t="shared" ref="F579:F642" si="9">_xlfn.IFNA(_xlfn.XLOOKUP(E579,A:A,B:B),"Non-PDL")</f>
        <v>Non-PDL</v>
      </c>
      <c r="G579" s="1" cm="1">
        <f t="array" ref="G579">FuzzyPercent(D579,E579,2)</f>
        <v>0</v>
      </c>
      <c r="H579" t="str" cm="1">
        <f t="array" ref="H579">IF(F579="Non-PDL","",IF(FuzzyPercent(D579,E579,2)&lt;0.4,"CHECK",""))</f>
        <v/>
      </c>
    </row>
    <row r="580" spans="1:8" x14ac:dyDescent="0.2">
      <c r="A580" t="s">
        <v>1145</v>
      </c>
      <c r="B580" t="s">
        <v>0</v>
      </c>
      <c r="D580" t="s">
        <v>2694</v>
      </c>
      <c r="E580" t="str" cm="1">
        <f t="array" ref="E580">IF(COUNTIF(A:A, "*" &amp; LEFT(D580, FIND(" ", D580 &amp; " ") - 1) &amp; "*") &gt; 0,INDEX(A:A,FuzzyVLookup(D580,A:A,0,,,2)),"Non-PDL")</f>
        <v>Non-PDL</v>
      </c>
      <c r="F580" t="str">
        <f t="shared" si="9"/>
        <v>Non-PDL</v>
      </c>
      <c r="G580" s="1" cm="1">
        <f t="array" ref="G580">FuzzyPercent(D580,E580,2)</f>
        <v>0</v>
      </c>
      <c r="H580" t="str" cm="1">
        <f t="array" ref="H580">IF(F580="Non-PDL","",IF(FuzzyPercent(D580,E580,2)&lt;0.4,"CHECK",""))</f>
        <v/>
      </c>
    </row>
    <row r="581" spans="1:8" x14ac:dyDescent="0.2">
      <c r="A581" t="s">
        <v>1147</v>
      </c>
      <c r="B581" t="s">
        <v>0</v>
      </c>
      <c r="D581" t="s">
        <v>2695</v>
      </c>
      <c r="E581" t="str" cm="1">
        <f t="array" ref="E581">IF(COUNTIF(A:A, "*" &amp; LEFT(D581, FIND(" ", D581 &amp; " ") - 1) &amp; "*") &gt; 0,INDEX(A:A,FuzzyVLookup(D581,A:A,0,,,2)),"Non-PDL")</f>
        <v>RENVELA (sevelamer)</v>
      </c>
      <c r="F581" t="str">
        <f t="shared" si="9"/>
        <v>Non-Preferred</v>
      </c>
      <c r="G581" s="1" cm="1">
        <f t="array" ref="G581">FuzzyPercent(D581,E581,2)</f>
        <v>0.36000001430511475</v>
      </c>
      <c r="H581" t="str" cm="1">
        <f t="array" ref="H581">IF(F581="Non-PDL","",IF(FuzzyPercent(D581,E581,2)&lt;0.4,"CHECK",""))</f>
        <v>CHECK</v>
      </c>
    </row>
    <row r="582" spans="1:8" x14ac:dyDescent="0.2">
      <c r="A582" t="s">
        <v>1149</v>
      </c>
      <c r="B582" t="s">
        <v>0</v>
      </c>
      <c r="D582" t="s">
        <v>2696</v>
      </c>
      <c r="E582" t="str" cm="1">
        <f t="array" ref="E582">IF(COUNTIF(A:A, "*" &amp; LEFT(D582, FIND(" ", D582 &amp; " ") - 1) &amp; "*") &gt; 0,INDEX(A:A,FuzzyVLookup(D582,A:A,0,,,2)),"Non-PDL")</f>
        <v>Non-PDL</v>
      </c>
      <c r="F582" t="str">
        <f t="shared" si="9"/>
        <v>Non-PDL</v>
      </c>
      <c r="G582" s="1" cm="1">
        <f t="array" ref="G582">FuzzyPercent(D582,E582,2)</f>
        <v>0</v>
      </c>
      <c r="H582" t="str" cm="1">
        <f t="array" ref="H582">IF(F582="Non-PDL","",IF(FuzzyPercent(D582,E582,2)&lt;0.4,"CHECK",""))</f>
        <v/>
      </c>
    </row>
    <row r="583" spans="1:8" x14ac:dyDescent="0.2">
      <c r="A583" t="s">
        <v>1151</v>
      </c>
      <c r="B583" t="s">
        <v>0</v>
      </c>
      <c r="D583" t="s">
        <v>2697</v>
      </c>
      <c r="E583" t="str" cm="1">
        <f t="array" ref="E583">IF(COUNTIF(A:A, "*" &amp; LEFT(D583, FIND(" ", D583 &amp; " ") - 1) &amp; "*") &gt; 0,INDEX(A:A,FuzzyVLookup(D583,A:A,0,,,2)),"Non-PDL")</f>
        <v>RESTASIS MULTIDOSE (cyclosporine)</v>
      </c>
      <c r="F583" t="str">
        <f t="shared" si="9"/>
        <v>Non-Preferred</v>
      </c>
      <c r="G583" s="1" cm="1">
        <f t="array" ref="G583">FuzzyPercent(D583,E583,2)</f>
        <v>0.23529411852359772</v>
      </c>
      <c r="H583" t="str" cm="1">
        <f t="array" ref="H583">IF(F583="Non-PDL","",IF(FuzzyPercent(D583,E583,2)&lt;0.4,"CHECK",""))</f>
        <v>CHECK</v>
      </c>
    </row>
    <row r="584" spans="1:8" x14ac:dyDescent="0.2">
      <c r="A584" t="s">
        <v>1153</v>
      </c>
      <c r="B584" t="s">
        <v>0</v>
      </c>
      <c r="D584" t="s">
        <v>2698</v>
      </c>
      <c r="E584" t="str" cm="1">
        <f t="array" ref="E584">IF(COUNTIF(A:A, "*" &amp; LEFT(D584, FIND(" ", D584 &amp; " ") - 1) &amp; "*") &gt; 0,INDEX(A:A,FuzzyVLookup(D584,A:A,0,,,2)),"Non-PDL")</f>
        <v>RETEVMO (selpercatinib)</v>
      </c>
      <c r="F584" t="str">
        <f t="shared" si="9"/>
        <v>Non-Preferred</v>
      </c>
      <c r="G584" s="1" cm="1">
        <f t="array" ref="G584">FuzzyPercent(D584,E584,2)</f>
        <v>0.29032257199287415</v>
      </c>
      <c r="H584" t="str" cm="1">
        <f t="array" ref="H584">IF(F584="Non-PDL","",IF(FuzzyPercent(D584,E584,2)&lt;0.4,"CHECK",""))</f>
        <v>CHECK</v>
      </c>
    </row>
    <row r="585" spans="1:8" x14ac:dyDescent="0.2">
      <c r="A585" t="s">
        <v>1155</v>
      </c>
      <c r="B585" t="s">
        <v>0</v>
      </c>
      <c r="D585" t="s">
        <v>2699</v>
      </c>
      <c r="E585" t="str" cm="1">
        <f t="array" ref="E585">IF(COUNTIF(A:A, "*" &amp; LEFT(D585, FIND(" ", D585 &amp; " ") - 1) &amp; "*") &gt; 0,INDEX(A:A,FuzzyVLookup(D585,A:A,0,,,2)),"Non-PDL")</f>
        <v>cefaclor suspension</v>
      </c>
      <c r="F585" t="str">
        <f t="shared" si="9"/>
        <v>Non-Preferred</v>
      </c>
      <c r="G585" s="1" cm="1">
        <f t="array" ref="G585">FuzzyPercent(D585,E585,2)</f>
        <v>0.2641509473323822</v>
      </c>
      <c r="H585" t="str" cm="1">
        <f t="array" ref="H585">IF(F585="Non-PDL","",IF(FuzzyPercent(D585,E585,2)&lt;0.4,"CHECK",""))</f>
        <v>CHECK</v>
      </c>
    </row>
    <row r="586" spans="1:8" x14ac:dyDescent="0.2">
      <c r="A586" t="s">
        <v>1157</v>
      </c>
      <c r="B586" t="s">
        <v>0</v>
      </c>
      <c r="D586" t="s">
        <v>2700</v>
      </c>
      <c r="E586" t="str" cm="1">
        <f t="array" ref="E586">IF(COUNTIF(A:A, "*" &amp; LEFT(D586, FIND(" ", D586 &amp; " ") - 1) &amp; "*") &gt; 0,INDEX(A:A,FuzzyVLookup(D586,A:A,0,,,2)),"Non-PDL")</f>
        <v>REVATIO (sildenafil)</v>
      </c>
      <c r="F586" t="str">
        <f t="shared" si="9"/>
        <v>Non-Preferred</v>
      </c>
      <c r="G586" s="1" cm="1">
        <f t="array" ref="G586">FuzzyPercent(D586,E586,2)</f>
        <v>0.32876712083816528</v>
      </c>
      <c r="H586" t="str" cm="1">
        <f t="array" ref="H586">IF(F586="Non-PDL","",IF(FuzzyPercent(D586,E586,2)&lt;0.4,"CHECK",""))</f>
        <v>CHECK</v>
      </c>
    </row>
    <row r="587" spans="1:8" x14ac:dyDescent="0.2">
      <c r="A587" t="s">
        <v>1159</v>
      </c>
      <c r="B587" t="s">
        <v>0</v>
      </c>
      <c r="D587" t="s">
        <v>2701</v>
      </c>
      <c r="E587" t="str" cm="1">
        <f t="array" ref="E587">IF(COUNTIF(A:A, "*" &amp; LEFT(D587, FIND(" ", D587 &amp; " ") - 1) &amp; "*") &gt; 0,INDEX(A:A,FuzzyVLookup(D587,A:A,0,,,2)),"Non-PDL")</f>
        <v>REXULTI (brexpiprazole)</v>
      </c>
      <c r="F587" t="str">
        <f t="shared" si="9"/>
        <v>Non-Preferred</v>
      </c>
      <c r="G587" s="1" cm="1">
        <f t="array" ref="G587">FuzzyPercent(D587,E587,2)</f>
        <v>0.29032257199287415</v>
      </c>
      <c r="H587" t="str" cm="1">
        <f t="array" ref="H587">IF(F587="Non-PDL","",IF(FuzzyPercent(D587,E587,2)&lt;0.4,"CHECK",""))</f>
        <v>CHECK</v>
      </c>
    </row>
    <row r="588" spans="1:8" x14ac:dyDescent="0.2">
      <c r="A588" t="s">
        <v>1161</v>
      </c>
      <c r="B588" t="s">
        <v>0</v>
      </c>
      <c r="D588" t="s">
        <v>2702</v>
      </c>
      <c r="E588" t="str" cm="1">
        <f t="array" ref="E588">IF(COUNTIF(A:A, "*" &amp; LEFT(D588, FIND(" ", D588 &amp; " ") - 1) &amp; "*") &gt; 0,INDEX(A:A,FuzzyVLookup(D588,A:A,0,,,2)),"Non-PDL")</f>
        <v>REYVOW (lasmiditan)</v>
      </c>
      <c r="F588" t="str">
        <f t="shared" si="9"/>
        <v>Non-Preferred</v>
      </c>
      <c r="G588" s="1" cm="1">
        <f t="array" ref="G588">FuzzyPercent(D588,E588,2)</f>
        <v>0.32653060555458069</v>
      </c>
      <c r="H588" t="str" cm="1">
        <f t="array" ref="H588">IF(F588="Non-PDL","",IF(FuzzyPercent(D588,E588,2)&lt;0.4,"CHECK",""))</f>
        <v>CHECK</v>
      </c>
    </row>
    <row r="589" spans="1:8" x14ac:dyDescent="0.2">
      <c r="A589" t="s">
        <v>1163</v>
      </c>
      <c r="B589" t="s">
        <v>0</v>
      </c>
      <c r="D589" t="s">
        <v>2703</v>
      </c>
      <c r="E589" t="str" cm="1">
        <f t="array" ref="E589">IF(COUNTIF(A:A, "*" &amp; LEFT(D589, FIND(" ", D589 &amp; " ") - 1) &amp; "*") &gt; 0,INDEX(A:A,FuzzyVLookup(D589,A:A,0,,,2)),"Non-PDL")</f>
        <v>Non-PDL</v>
      </c>
      <c r="F589" t="str">
        <f t="shared" si="9"/>
        <v>Non-PDL</v>
      </c>
      <c r="G589" s="1" cm="1">
        <f t="array" ref="G589">FuzzyPercent(D589,E589,2)</f>
        <v>0</v>
      </c>
      <c r="H589" t="str" cm="1">
        <f t="array" ref="H589">IF(F589="Non-PDL","",IF(FuzzyPercent(D589,E589,2)&lt;0.4,"CHECK",""))</f>
        <v/>
      </c>
    </row>
    <row r="590" spans="1:8" x14ac:dyDescent="0.2">
      <c r="A590" t="s">
        <v>1165</v>
      </c>
      <c r="B590" t="s">
        <v>0</v>
      </c>
      <c r="D590" t="s">
        <v>2704</v>
      </c>
      <c r="E590" t="str" cm="1">
        <f t="array" ref="E590">IF(COUNTIF(A:A, "*" &amp; LEFT(D590, FIND(" ", D590 &amp; " ") - 1) &amp; "*") &gt; 0,INDEX(A:A,FuzzyVLookup(D590,A:A,0,,,2)),"Non-PDL")</f>
        <v>REZUROCK (belumosudil)</v>
      </c>
      <c r="F590" t="str">
        <f t="shared" si="9"/>
        <v>Non-Preferred</v>
      </c>
      <c r="G590" s="1" cm="1">
        <f t="array" ref="G590">FuzzyPercent(D590,E590,2)</f>
        <v>0.375</v>
      </c>
      <c r="H590" t="str" cm="1">
        <f t="array" ref="H590">IF(F590="Non-PDL","",IF(FuzzyPercent(D590,E590,2)&lt;0.4,"CHECK",""))</f>
        <v>CHECK</v>
      </c>
    </row>
    <row r="591" spans="1:8" x14ac:dyDescent="0.2">
      <c r="A591" t="s">
        <v>1167</v>
      </c>
      <c r="B591" t="s">
        <v>0</v>
      </c>
      <c r="D591" t="s">
        <v>2705</v>
      </c>
      <c r="E591" t="str" cm="1">
        <f t="array" ref="E591">IF(COUNTIF(A:A, "*" &amp; LEFT(D591, FIND(" ", D591 &amp; " ") - 1) &amp; "*") &gt; 0,INDEX(A:A,FuzzyVLookup(D591,A:A,0,,,2)),"Non-PDL")</f>
        <v>Non-PDL</v>
      </c>
      <c r="F591" t="str">
        <f t="shared" si="9"/>
        <v>Non-PDL</v>
      </c>
      <c r="G591" s="1" cm="1">
        <f t="array" ref="G591">FuzzyPercent(D591,E591,2)</f>
        <v>0</v>
      </c>
      <c r="H591" t="str" cm="1">
        <f t="array" ref="H591">IF(F591="Non-PDL","",IF(FuzzyPercent(D591,E591,2)&lt;0.4,"CHECK",""))</f>
        <v/>
      </c>
    </row>
    <row r="592" spans="1:8" x14ac:dyDescent="0.2">
      <c r="A592" t="s">
        <v>1169</v>
      </c>
      <c r="B592" t="s">
        <v>0</v>
      </c>
      <c r="D592" t="s">
        <v>2706</v>
      </c>
      <c r="E592" t="str" cm="1">
        <f t="array" ref="E592">IF(COUNTIF(A:A, "*" &amp; LEFT(D592, FIND(" ", D592 &amp; " ") - 1) &amp; "*") &gt; 0,INDEX(A:A,FuzzyVLookup(D592,A:A,0,,,2)),"Non-PDL")</f>
        <v>RINVOQ (upadacitinib)</v>
      </c>
      <c r="F592" t="str">
        <f t="shared" si="9"/>
        <v>Preferred</v>
      </c>
      <c r="G592" s="1" cm="1">
        <f t="array" ref="G592">FuzzyPercent(D592,E592,2)</f>
        <v>0.28070175647735596</v>
      </c>
      <c r="H592" t="str" cm="1">
        <f t="array" ref="H592">IF(F592="Non-PDL","",IF(FuzzyPercent(D592,E592,2)&lt;0.4,"CHECK",""))</f>
        <v>CHECK</v>
      </c>
    </row>
    <row r="593" spans="1:8" x14ac:dyDescent="0.2">
      <c r="A593" t="s">
        <v>1171</v>
      </c>
      <c r="B593" t="s">
        <v>0</v>
      </c>
      <c r="D593" t="s">
        <v>2707</v>
      </c>
      <c r="E593" t="str" cm="1">
        <f t="array" ref="E593">IF(COUNTIF(A:A, "*" &amp; LEFT(D593, FIND(" ", D593 &amp; " ") - 1) &amp; "*") &gt; 0,INDEX(A:A,FuzzyVLookup(D593,A:A,0,,,2)),"Non-PDL")</f>
        <v>vancomycin oral solution</v>
      </c>
      <c r="F593" t="str">
        <f t="shared" si="9"/>
        <v>Preferred</v>
      </c>
      <c r="G593" s="1" cm="1">
        <f t="array" ref="G593">FuzzyPercent(D593,E593,2)</f>
        <v>0.36283186078071594</v>
      </c>
      <c r="H593" t="str" cm="1">
        <f t="array" ref="H593">IF(F593="Non-PDL","",IF(FuzzyPercent(D593,E593,2)&lt;0.4,"CHECK",""))</f>
        <v>CHECK</v>
      </c>
    </row>
    <row r="594" spans="1:8" x14ac:dyDescent="0.2">
      <c r="A594" t="s">
        <v>1173</v>
      </c>
      <c r="B594" t="s">
        <v>0</v>
      </c>
      <c r="D594" t="s">
        <v>2708</v>
      </c>
      <c r="E594" t="str" cm="1">
        <f t="array" ref="E594">IF(COUNTIF(A:A, "*" &amp; LEFT(D594, FIND(" ", D594 &amp; " ") - 1) &amp; "*") &gt; 0,INDEX(A:A,FuzzyVLookup(D594,A:A,0,,,2)),"Non-PDL")</f>
        <v>RISPERDAL (risperidone)</v>
      </c>
      <c r="F594" t="str">
        <f t="shared" si="9"/>
        <v>Non-Preferred</v>
      </c>
      <c r="G594" s="1" cm="1">
        <f t="array" ref="G594">FuzzyPercent(D594,E594,2)</f>
        <v>0.39080458879470825</v>
      </c>
      <c r="H594" t="str" cm="1">
        <f t="array" ref="H594">IF(F594="Non-PDL","",IF(FuzzyPercent(D594,E594,2)&lt;0.4,"CHECK",""))</f>
        <v>CHECK</v>
      </c>
    </row>
    <row r="595" spans="1:8" x14ac:dyDescent="0.2">
      <c r="A595" t="s">
        <v>1175</v>
      </c>
      <c r="B595" t="s">
        <v>0</v>
      </c>
      <c r="D595" t="s">
        <v>2709</v>
      </c>
      <c r="E595" t="str" cm="1">
        <f t="array" ref="E595">IF(COUNTIF(A:A, "*" &amp; LEFT(D595, FIND(" ", D595 &amp; " ") - 1) &amp; "*") &gt; 0,INDEX(A:A,FuzzyVLookup(D595,A:A,0,,,2)),"Non-PDL")</f>
        <v>RISPERDAL (risperidone)</v>
      </c>
      <c r="F595" t="str">
        <f t="shared" si="9"/>
        <v>Non-Preferred</v>
      </c>
      <c r="G595" s="1" cm="1">
        <f t="array" ref="G595">FuzzyPercent(D595,E595,2)</f>
        <v>0.39080458879470825</v>
      </c>
      <c r="H595" t="str" cm="1">
        <f t="array" ref="H595">IF(F595="Non-PDL","",IF(FuzzyPercent(D595,E595,2)&lt;0.4,"CHECK",""))</f>
        <v>CHECK</v>
      </c>
    </row>
    <row r="596" spans="1:8" x14ac:dyDescent="0.2">
      <c r="A596" t="s">
        <v>1177</v>
      </c>
      <c r="B596" t="s">
        <v>0</v>
      </c>
      <c r="D596" t="s">
        <v>2710</v>
      </c>
      <c r="E596" t="str" cm="1">
        <f t="array" ref="E596">IF(COUNTIF(A:A, "*" &amp; LEFT(D596, FIND(" ", D596 &amp; " ") - 1) &amp; "*") &gt; 0,INDEX(A:A,FuzzyVLookup(D596,A:A,0,,,2)),"Non-PDL")</f>
        <v>risperidone ER</v>
      </c>
      <c r="F596" t="str">
        <f t="shared" si="9"/>
        <v>Non-Preferred</v>
      </c>
      <c r="G596" s="1" cm="1">
        <f t="array" ref="G596">FuzzyPercent(D596,E596,2)</f>
        <v>0.76666665077209473</v>
      </c>
      <c r="H596" t="str" cm="1">
        <f t="array" ref="H596">IF(F596="Non-PDL","",IF(FuzzyPercent(D596,E596,2)&lt;0.4,"CHECK",""))</f>
        <v/>
      </c>
    </row>
    <row r="597" spans="1:8" x14ac:dyDescent="0.2">
      <c r="A597" t="s">
        <v>1179</v>
      </c>
      <c r="B597" t="s">
        <v>0</v>
      </c>
      <c r="D597" t="s">
        <v>2711</v>
      </c>
      <c r="E597" t="str" cm="1">
        <f t="array" ref="E597">IF(COUNTIF(A:A, "*" &amp; LEFT(D597, FIND(" ", D597 &amp; " ") - 1) &amp; "*") &gt; 0,INDEX(A:A,FuzzyVLookup(D597,A:A,0,,,2)),"Non-PDL")</f>
        <v>risperidone ER</v>
      </c>
      <c r="F597" t="str">
        <f t="shared" si="9"/>
        <v>Non-Preferred</v>
      </c>
      <c r="G597" s="1" cm="1">
        <f t="array" ref="G597">FuzzyPercent(D597,E597,2)</f>
        <v>0.37096774578094482</v>
      </c>
      <c r="H597" t="str" cm="1">
        <f t="array" ref="H597">IF(F597="Non-PDL","",IF(FuzzyPercent(D597,E597,2)&lt;0.4,"CHECK",""))</f>
        <v>CHECK</v>
      </c>
    </row>
    <row r="598" spans="1:8" x14ac:dyDescent="0.2">
      <c r="A598" t="s">
        <v>1181</v>
      </c>
      <c r="B598" t="s">
        <v>0</v>
      </c>
      <c r="D598" t="s">
        <v>2712</v>
      </c>
      <c r="E598" t="str" cm="1">
        <f t="array" ref="E598">IF(COUNTIF(A:A, "*" &amp; LEFT(D598, FIND(" ", D598 &amp; " ") - 1) &amp; "*") &gt; 0,INDEX(A:A,FuzzyVLookup(D598,A:A,0,,,2)),"Non-PDL")</f>
        <v>risperidone ER</v>
      </c>
      <c r="F598" t="str">
        <f t="shared" si="9"/>
        <v>Non-Preferred</v>
      </c>
      <c r="G598" s="1" cm="1">
        <f t="array" ref="G598">FuzzyPercent(D598,E598,2)</f>
        <v>0.57499998807907104</v>
      </c>
      <c r="H598" t="str" cm="1">
        <f t="array" ref="H598">IF(F598="Non-PDL","",IF(FuzzyPercent(D598,E598,2)&lt;0.4,"CHECK",""))</f>
        <v/>
      </c>
    </row>
    <row r="599" spans="1:8" x14ac:dyDescent="0.2">
      <c r="A599" t="s">
        <v>1183</v>
      </c>
      <c r="B599" t="s">
        <v>0</v>
      </c>
      <c r="D599" t="s">
        <v>2713</v>
      </c>
      <c r="E599" t="str" cm="1">
        <f t="array" ref="E599">IF(COUNTIF(A:A, "*" &amp; LEFT(D599, FIND(" ", D599 &amp; " ") - 1) &amp; "*") &gt; 0,INDEX(A:A,FuzzyVLookup(D599,A:A,0,,,2)),"Non-PDL")</f>
        <v>Non-PDL</v>
      </c>
      <c r="F599" t="str">
        <f t="shared" si="9"/>
        <v>Non-PDL</v>
      </c>
      <c r="G599" s="1" cm="1">
        <f t="array" ref="G599">FuzzyPercent(D599,E599,2)</f>
        <v>0</v>
      </c>
      <c r="H599" t="str" cm="1">
        <f t="array" ref="H599">IF(F599="Non-PDL","",IF(FuzzyPercent(D599,E599,2)&lt;0.4,"CHECK",""))</f>
        <v/>
      </c>
    </row>
    <row r="600" spans="1:8" x14ac:dyDescent="0.2">
      <c r="A600" t="s">
        <v>1185</v>
      </c>
      <c r="B600" t="s">
        <v>0</v>
      </c>
      <c r="D600" t="s">
        <v>2714</v>
      </c>
      <c r="E600" t="str" cm="1">
        <f t="array" ref="E600">IF(COUNTIF(A:A, "*" &amp; LEFT(D600, FIND(" ", D600 &amp; " ") - 1) &amp; "*") &gt; 0,INDEX(A:A,FuzzyVLookup(D600,A:A,0,,,2)),"Non-PDL")</f>
        <v>Non-PDL</v>
      </c>
      <c r="F600" t="str">
        <f t="shared" si="9"/>
        <v>Non-PDL</v>
      </c>
      <c r="G600" s="1" cm="1">
        <f t="array" ref="G600">FuzzyPercent(D600,E600,2)</f>
        <v>0</v>
      </c>
      <c r="H600" t="str" cm="1">
        <f t="array" ref="H600">IF(F600="Non-PDL","",IF(FuzzyPercent(D600,E600,2)&lt;0.4,"CHECK",""))</f>
        <v/>
      </c>
    </row>
    <row r="601" spans="1:8" x14ac:dyDescent="0.2">
      <c r="A601" t="s">
        <v>1187</v>
      </c>
      <c r="B601" t="s">
        <v>0</v>
      </c>
      <c r="D601" t="s">
        <v>2715</v>
      </c>
      <c r="E601" t="str" cm="1">
        <f t="array" ref="E601">IF(COUNTIF(A:A, "*" &amp; LEFT(D601, FIND(" ", D601 &amp; " ") - 1) &amp; "*") &gt; 0,INDEX(A:A,FuzzyVLookup(D601,A:A,0,,,2)),"Non-PDL")</f>
        <v>rivastigmine</v>
      </c>
      <c r="F601" t="str">
        <f t="shared" si="9"/>
        <v>Preferred</v>
      </c>
      <c r="G601" s="1" cm="1">
        <f t="array" ref="G601">FuzzyPercent(D601,E601,2)</f>
        <v>0.5</v>
      </c>
      <c r="H601" t="str" cm="1">
        <f t="array" ref="H601">IF(F601="Non-PDL","",IF(FuzzyPercent(D601,E601,2)&lt;0.4,"CHECK",""))</f>
        <v/>
      </c>
    </row>
    <row r="602" spans="1:8" x14ac:dyDescent="0.2">
      <c r="A602" t="s">
        <v>1189</v>
      </c>
      <c r="B602" t="s">
        <v>0</v>
      </c>
      <c r="D602" t="s">
        <v>2716</v>
      </c>
      <c r="E602" t="str" cm="1">
        <f t="array" ref="E602">IF(COUNTIF(A:A, "*" &amp; LEFT(D602, FIND(" ", D602 &amp; " ") - 1) &amp; "*") &gt; 0,INDEX(A:A,FuzzyVLookup(D602,A:A,0,,,2)),"Non-PDL")</f>
        <v>rivastigmine</v>
      </c>
      <c r="F602" t="str">
        <f t="shared" si="9"/>
        <v>Preferred</v>
      </c>
      <c r="G602" s="1" cm="1">
        <f t="array" ref="G602">FuzzyPercent(D602,E602,2)</f>
        <v>0.57499998807907104</v>
      </c>
      <c r="H602" t="str" cm="1">
        <f t="array" ref="H602">IF(F602="Non-PDL","",IF(FuzzyPercent(D602,E602,2)&lt;0.4,"CHECK",""))</f>
        <v/>
      </c>
    </row>
    <row r="603" spans="1:8" x14ac:dyDescent="0.2">
      <c r="A603" t="s">
        <v>1191</v>
      </c>
      <c r="B603" t="s">
        <v>0</v>
      </c>
      <c r="D603" t="s">
        <v>2717</v>
      </c>
      <c r="E603" t="str" cm="1">
        <f t="array" ref="E603">IF(COUNTIF(A:A, "*" &amp; LEFT(D603, FIND(" ", D603 &amp; " ") - 1) &amp; "*") &gt; 0,INDEX(A:A,FuzzyVLookup(D603,A:A,0,,,2)),"Non-PDL")</f>
        <v>EXELON (rivastigmine)</v>
      </c>
      <c r="F603" t="str">
        <f t="shared" si="9"/>
        <v>Non-Preferred</v>
      </c>
      <c r="G603" s="1" cm="1">
        <f t="array" ref="G603">FuzzyPercent(D603,E603,2)</f>
        <v>0.36923077702522278</v>
      </c>
      <c r="H603" t="str" cm="1">
        <f t="array" ref="H603">IF(F603="Non-PDL","",IF(FuzzyPercent(D603,E603,2)&lt;0.4,"CHECK",""))</f>
        <v>CHECK</v>
      </c>
    </row>
    <row r="604" spans="1:8" x14ac:dyDescent="0.2">
      <c r="A604" t="s">
        <v>1193</v>
      </c>
      <c r="B604" t="s">
        <v>0</v>
      </c>
      <c r="D604" t="s">
        <v>2718</v>
      </c>
      <c r="E604" t="str" cm="1">
        <f t="array" ref="E604">IF(COUNTIF(A:A, "*" &amp; LEFT(D604, FIND(" ", D604 &amp; " ") - 1) &amp; "*") &gt; 0,INDEX(A:A,FuzzyVLookup(D604,A:A,0,,,2)),"Non-PDL")</f>
        <v>Non-PDL</v>
      </c>
      <c r="F604" t="str">
        <f t="shared" si="9"/>
        <v>Non-PDL</v>
      </c>
      <c r="G604" s="1" cm="1">
        <f t="array" ref="G604">FuzzyPercent(D604,E604,2)</f>
        <v>0</v>
      </c>
      <c r="H604" t="str" cm="1">
        <f t="array" ref="H604">IF(F604="Non-PDL","",IF(FuzzyPercent(D604,E604,2)&lt;0.4,"CHECK",""))</f>
        <v/>
      </c>
    </row>
    <row r="605" spans="1:8" x14ac:dyDescent="0.2">
      <c r="A605" t="s">
        <v>1195</v>
      </c>
      <c r="B605" t="s">
        <v>0</v>
      </c>
      <c r="D605" t="s">
        <v>2719</v>
      </c>
      <c r="E605" t="str" cm="1">
        <f t="array" ref="E605">IF(COUNTIF(A:A, "*" &amp; LEFT(D605, FIND(" ", D605 &amp; " ") - 1) &amp; "*") &gt; 0,INDEX(A:A,FuzzyVLookup(D605,A:A,0,,,2)),"Non-PDL")</f>
        <v>ROLVEDON (eflapegrastim-xnst)</v>
      </c>
      <c r="F605" t="str">
        <f t="shared" si="9"/>
        <v>Non-Preferred</v>
      </c>
      <c r="G605" s="1" cm="1">
        <f t="array" ref="G605">FuzzyPercent(D605,E605,2)</f>
        <v>0.20863309502601624</v>
      </c>
      <c r="H605" t="str" cm="1">
        <f t="array" ref="H605">IF(F605="Non-PDL","",IF(FuzzyPercent(D605,E605,2)&lt;0.4,"CHECK",""))</f>
        <v>CHECK</v>
      </c>
    </row>
    <row r="606" spans="1:8" x14ac:dyDescent="0.2">
      <c r="A606" t="s">
        <v>1197</v>
      </c>
      <c r="B606" t="s">
        <v>0</v>
      </c>
      <c r="D606" t="s">
        <v>2720</v>
      </c>
      <c r="E606" t="str" cm="1">
        <f t="array" ref="E606">IF(COUNTIF(A:A, "*" &amp; LEFT(D606, FIND(" ", D606 &amp; " ") - 1) &amp; "*") &gt; 0,INDEX(A:A,FuzzyVLookup(D606,A:A,0,,,2)),"Non-PDL")</f>
        <v>ROZLYTREK (entrectinib)</v>
      </c>
      <c r="F606" t="str">
        <f t="shared" si="9"/>
        <v>Preferred</v>
      </c>
      <c r="G606" s="1" cm="1">
        <f t="array" ref="G606">FuzzyPercent(D606,E606,2)</f>
        <v>0.64634144306182861</v>
      </c>
      <c r="H606" t="str" cm="1">
        <f t="array" ref="H606">IF(F606="Non-PDL","",IF(FuzzyPercent(D606,E606,2)&lt;0.4,"CHECK",""))</f>
        <v/>
      </c>
    </row>
    <row r="607" spans="1:8" x14ac:dyDescent="0.2">
      <c r="A607" t="s">
        <v>1199</v>
      </c>
      <c r="B607" t="s">
        <v>0</v>
      </c>
      <c r="D607" t="s">
        <v>2721</v>
      </c>
      <c r="E607" t="str" cm="1">
        <f t="array" ref="E607">IF(COUNTIF(A:A, "*" &amp; LEFT(D607, FIND(" ", D607 &amp; " ") - 1) &amp; "*") &gt; 0,INDEX(A:A,FuzzyVLookup(D607,A:A,0,,,2)),"Non-PDL")</f>
        <v>ROZLYTREK (entrectinib)</v>
      </c>
      <c r="F607" t="str">
        <f t="shared" si="9"/>
        <v>Preferred</v>
      </c>
      <c r="G607" s="1" cm="1">
        <f t="array" ref="G607">FuzzyPercent(D607,E607,2)</f>
        <v>0.50476193428039551</v>
      </c>
      <c r="H607" t="str" cm="1">
        <f t="array" ref="H607">IF(F607="Non-PDL","",IF(FuzzyPercent(D607,E607,2)&lt;0.4,"CHECK",""))</f>
        <v/>
      </c>
    </row>
    <row r="608" spans="1:8" x14ac:dyDescent="0.2">
      <c r="A608" t="s">
        <v>1201</v>
      </c>
      <c r="B608" t="s">
        <v>0</v>
      </c>
      <c r="D608" t="s">
        <v>2722</v>
      </c>
      <c r="E608" t="str" cm="1">
        <f t="array" ref="E608">IF(COUNTIF(A:A, "*" &amp; LEFT(D608, FIND(" ", D608 &amp; " ") - 1) &amp; "*") &gt; 0,INDEX(A:A,FuzzyVLookup(D608,A:A,0,,,2)),"Non-PDL")</f>
        <v>RUBRACA (rucaparib)</v>
      </c>
      <c r="F608" t="str">
        <f t="shared" si="9"/>
        <v>Non-Preferred</v>
      </c>
      <c r="G608" s="1" cm="1">
        <f t="array" ref="G608">FuzzyPercent(D608,E608,2)</f>
        <v>0.36000001430511475</v>
      </c>
      <c r="H608" t="str" cm="1">
        <f t="array" ref="H608">IF(F608="Non-PDL","",IF(FuzzyPercent(D608,E608,2)&lt;0.4,"CHECK",""))</f>
        <v>CHECK</v>
      </c>
    </row>
    <row r="609" spans="1:8" x14ac:dyDescent="0.2">
      <c r="A609" t="s">
        <v>1203</v>
      </c>
      <c r="B609" t="s">
        <v>0</v>
      </c>
      <c r="D609" t="s">
        <v>2723</v>
      </c>
      <c r="E609" t="str" cm="1">
        <f t="array" ref="E609">IF(COUNTIF(A:A, "*" &amp; LEFT(D609, FIND(" ", D609 &amp; " ") - 1) &amp; "*") &gt; 0,INDEX(A:A,FuzzyVLookup(D609,A:A,0,,,2)),"Non-PDL")</f>
        <v>RUCONEST (C1 esterase inhibitor)</v>
      </c>
      <c r="F609" t="str">
        <f t="shared" si="9"/>
        <v>Non-Preferred</v>
      </c>
      <c r="G609" s="1" cm="1">
        <f t="array" ref="G609">FuzzyPercent(D609,E609,2)</f>
        <v>0.24242424964904785</v>
      </c>
      <c r="H609" t="str" cm="1">
        <f t="array" ref="H609">IF(F609="Non-PDL","",IF(FuzzyPercent(D609,E609,2)&lt;0.4,"CHECK",""))</f>
        <v>CHECK</v>
      </c>
    </row>
    <row r="610" spans="1:8" x14ac:dyDescent="0.2">
      <c r="A610" t="s">
        <v>1205</v>
      </c>
      <c r="B610" t="s">
        <v>0</v>
      </c>
      <c r="D610" t="s">
        <v>2724</v>
      </c>
      <c r="E610" t="str" cm="1">
        <f t="array" ref="E610">IF(COUNTIF(A:A, "*" &amp; LEFT(D610, FIND(" ", D610 &amp; " ") - 1) &amp; "*") &gt; 0,INDEX(A:A,FuzzyVLookup(D610,A:A,0,,,2)),"Non-PDL")</f>
        <v>Non-PDL</v>
      </c>
      <c r="F610" t="str">
        <f t="shared" si="9"/>
        <v>Non-PDL</v>
      </c>
      <c r="G610" s="1" cm="1">
        <f t="array" ref="G610">FuzzyPercent(D610,E610,2)</f>
        <v>0</v>
      </c>
      <c r="H610" t="str" cm="1">
        <f t="array" ref="H610">IF(F610="Non-PDL","",IF(FuzzyPercent(D610,E610,2)&lt;0.4,"CHECK",""))</f>
        <v/>
      </c>
    </row>
    <row r="611" spans="1:8" x14ac:dyDescent="0.2">
      <c r="A611" t="s">
        <v>1207</v>
      </c>
      <c r="B611" t="s">
        <v>0</v>
      </c>
      <c r="D611" t="s">
        <v>2725</v>
      </c>
      <c r="E611" t="str" cm="1">
        <f t="array" ref="E611">IF(COUNTIF(A:A, "*" &amp; LEFT(D611, FIND(" ", D611 &amp; " ") - 1) &amp; "*") &gt; 0,INDEX(A:A,FuzzyVLookup(D611,A:A,0,,,2)),"Non-PDL")</f>
        <v>RYBELSUS (semaglutide)</v>
      </c>
      <c r="F611" t="str">
        <f t="shared" si="9"/>
        <v>Non-Preferred</v>
      </c>
      <c r="G611" s="1" cm="1">
        <f t="array" ref="G611">FuzzyPercent(D611,E611,2)</f>
        <v>0.375</v>
      </c>
      <c r="H611" t="str" cm="1">
        <f t="array" ref="H611">IF(F611="Non-PDL","",IF(FuzzyPercent(D611,E611,2)&lt;0.4,"CHECK",""))</f>
        <v>CHECK</v>
      </c>
    </row>
    <row r="612" spans="1:8" x14ac:dyDescent="0.2">
      <c r="A612" t="s">
        <v>170</v>
      </c>
      <c r="B612" t="s">
        <v>0</v>
      </c>
      <c r="D612" t="s">
        <v>2726</v>
      </c>
      <c r="E612" t="str" cm="1">
        <f t="array" ref="E612">IF(COUNTIF(A:A, "*" &amp; LEFT(D612, FIND(" ", D612 &amp; " ") - 1) &amp; "*") &gt; 0,INDEX(A:A,FuzzyVLookup(D612,A:A,0,,,2)),"Non-PDL")</f>
        <v>RYDAPT (midostaurin)</v>
      </c>
      <c r="F612" t="str">
        <f t="shared" si="9"/>
        <v>Non-Preferred</v>
      </c>
      <c r="G612" s="1" cm="1">
        <f t="array" ref="G612">FuzzyPercent(D612,E612,2)</f>
        <v>0.29629629850387573</v>
      </c>
      <c r="H612" t="str" cm="1">
        <f t="array" ref="H612">IF(F612="Non-PDL","",IF(FuzzyPercent(D612,E612,2)&lt;0.4,"CHECK",""))</f>
        <v>CHECK</v>
      </c>
    </row>
    <row r="613" spans="1:8" x14ac:dyDescent="0.2">
      <c r="A613" t="s">
        <v>1210</v>
      </c>
      <c r="B613" t="s">
        <v>0</v>
      </c>
      <c r="D613" t="s">
        <v>2727</v>
      </c>
      <c r="E613" t="str" cm="1">
        <f t="array" ref="E613">IF(COUNTIF(A:A, "*" &amp; LEFT(D613, FIND(" ", D613 &amp; " ") - 1) &amp; "*") &gt; 0,INDEX(A:A,FuzzyVLookup(D613,A:A,0,,,2)),"Non-PDL")</f>
        <v>RYKINDO (risperidone)</v>
      </c>
      <c r="F613" t="str">
        <f t="shared" si="9"/>
        <v>Non-Preferred</v>
      </c>
      <c r="G613" s="1" cm="1">
        <f t="array" ref="G613">FuzzyPercent(D613,E613,2)</f>
        <v>0.31034481525421143</v>
      </c>
      <c r="H613" t="str" cm="1">
        <f t="array" ref="H613">IF(F613="Non-PDL","",IF(FuzzyPercent(D613,E613,2)&lt;0.4,"CHECK",""))</f>
        <v>CHECK</v>
      </c>
    </row>
    <row r="614" spans="1:8" x14ac:dyDescent="0.2">
      <c r="A614" t="s">
        <v>1212</v>
      </c>
      <c r="B614" t="s">
        <v>0</v>
      </c>
      <c r="D614" t="s">
        <v>2728</v>
      </c>
      <c r="E614" t="str" cm="1">
        <f t="array" ref="E614">IF(COUNTIF(A:A, "*" &amp; LEFT(D614, FIND(" ", D614 &amp; " ") - 1) &amp; "*") &gt; 0,INDEX(A:A,FuzzyVLookup(D614,A:A,0,,,2)),"Non-PDL")</f>
        <v>Non-PDL</v>
      </c>
      <c r="F614" t="str">
        <f t="shared" si="9"/>
        <v>Non-PDL</v>
      </c>
      <c r="G614" s="1" cm="1">
        <f t="array" ref="G614">FuzzyPercent(D614,E614,2)</f>
        <v>0</v>
      </c>
      <c r="H614" t="str" cm="1">
        <f t="array" ref="H614">IF(F614="Non-PDL","",IF(FuzzyPercent(D614,E614,2)&lt;0.4,"CHECK",""))</f>
        <v/>
      </c>
    </row>
    <row r="615" spans="1:8" x14ac:dyDescent="0.2">
      <c r="A615" t="s">
        <v>1214</v>
      </c>
      <c r="B615" t="s">
        <v>0</v>
      </c>
      <c r="D615" t="s">
        <v>2729</v>
      </c>
      <c r="E615" t="str" cm="1">
        <f t="array" ref="E615">IF(COUNTIF(A:A, "*" &amp; LEFT(D615, FIND(" ", D615 &amp; " ") - 1) &amp; "*") &gt; 0,INDEX(A:A,FuzzyVLookup(D615,A:A,0,,,2)),"Non-PDL")</f>
        <v>Non-PDL</v>
      </c>
      <c r="F615" t="str">
        <f t="shared" si="9"/>
        <v>Non-PDL</v>
      </c>
      <c r="G615" s="1" cm="1">
        <f t="array" ref="G615">FuzzyPercent(D615,E615,2)</f>
        <v>0</v>
      </c>
      <c r="H615" t="str" cm="1">
        <f t="array" ref="H615">IF(F615="Non-PDL","",IF(FuzzyPercent(D615,E615,2)&lt;0.4,"CHECK",""))</f>
        <v/>
      </c>
    </row>
    <row r="616" spans="1:8" x14ac:dyDescent="0.2">
      <c r="A616" t="s">
        <v>1216</v>
      </c>
      <c r="B616" t="s">
        <v>0</v>
      </c>
      <c r="D616" t="s">
        <v>2730</v>
      </c>
      <c r="E616" t="str" cm="1">
        <f t="array" ref="E616">IF(COUNTIF(A:A, "*" &amp; LEFT(D616, FIND(" ", D616 &amp; " ") - 1) &amp; "*") &gt; 0,INDEX(A:A,FuzzyVLookup(D616,A:A,0,,,2)),"Non-PDL")</f>
        <v>Non-PDL</v>
      </c>
      <c r="F616" t="str">
        <f t="shared" si="9"/>
        <v>Non-PDL</v>
      </c>
      <c r="G616" s="1" cm="1">
        <f t="array" ref="G616">FuzzyPercent(D616,E616,2)</f>
        <v>0</v>
      </c>
      <c r="H616" t="str" cm="1">
        <f t="array" ref="H616">IF(F616="Non-PDL","",IF(FuzzyPercent(D616,E616,2)&lt;0.4,"CHECK",""))</f>
        <v/>
      </c>
    </row>
    <row r="617" spans="1:8" x14ac:dyDescent="0.2">
      <c r="A617" t="s">
        <v>1218</v>
      </c>
      <c r="B617" t="s">
        <v>0</v>
      </c>
      <c r="D617" t="s">
        <v>2731</v>
      </c>
      <c r="E617" t="str" cm="1">
        <f t="array" ref="E617">IF(COUNTIF(A:A, "*" &amp; LEFT(D617, FIND(" ", D617 &amp; " ") - 1) &amp; "*") &gt; 0,INDEX(A:A,FuzzyVLookup(D617,A:A,0,,,2)),"Non-PDL")</f>
        <v>vancomycin oral solution</v>
      </c>
      <c r="F617" t="str">
        <f t="shared" si="9"/>
        <v>Preferred</v>
      </c>
      <c r="G617" s="1" cm="1">
        <f t="array" ref="G617">FuzzyPercent(D617,E617,2)</f>
        <v>0.23170731961727142</v>
      </c>
      <c r="H617" t="str" cm="1">
        <f t="array" ref="H617">IF(F617="Non-PDL","",IF(FuzzyPercent(D617,E617,2)&lt;0.4,"CHECK",""))</f>
        <v>CHECK</v>
      </c>
    </row>
    <row r="618" spans="1:8" x14ac:dyDescent="0.2">
      <c r="A618" t="s">
        <v>1220</v>
      </c>
      <c r="B618" t="s">
        <v>0</v>
      </c>
      <c r="D618" t="s">
        <v>2732</v>
      </c>
      <c r="E618" t="str" cm="1">
        <f t="array" ref="E618">IF(COUNTIF(A:A, "*" &amp; LEFT(D618, FIND(" ", D618 &amp; " ") - 1) &amp; "*") &gt; 0,INDEX(A:A,FuzzyVLookup(D618,A:A,0,,,2)),"Non-PDL")</f>
        <v>SABRIL (vigabatrin)</v>
      </c>
      <c r="F618" t="str">
        <f t="shared" si="9"/>
        <v>Non-Preferred</v>
      </c>
      <c r="G618" s="1" cm="1">
        <f t="array" ref="G618">FuzzyPercent(D618,E618,2)</f>
        <v>0.29230770468711853</v>
      </c>
      <c r="H618" t="str" cm="1">
        <f t="array" ref="H618">IF(F618="Non-PDL","",IF(FuzzyPercent(D618,E618,2)&lt;0.4,"CHECK",""))</f>
        <v>CHECK</v>
      </c>
    </row>
    <row r="619" spans="1:8" x14ac:dyDescent="0.2">
      <c r="A619" t="s">
        <v>1222</v>
      </c>
      <c r="B619" t="s">
        <v>0</v>
      </c>
      <c r="D619" t="s">
        <v>2733</v>
      </c>
      <c r="E619" t="str" cm="1">
        <f t="array" ref="E619">IF(COUNTIF(A:A, "*" &amp; LEFT(D619, FIND(" ", D619 &amp; " ") - 1) &amp; "*") &gt; 0,INDEX(A:A,FuzzyVLookup(D619,A:A,0,,,2)),"Non-PDL")</f>
        <v>Non-PDL</v>
      </c>
      <c r="F619" t="str">
        <f t="shared" si="9"/>
        <v>Non-PDL</v>
      </c>
      <c r="G619" s="1" cm="1">
        <f t="array" ref="G619">FuzzyPercent(D619,E619,2)</f>
        <v>0</v>
      </c>
      <c r="H619" t="str" cm="1">
        <f t="array" ref="H619">IF(F619="Non-PDL","",IF(FuzzyPercent(D619,E619,2)&lt;0.4,"CHECK",""))</f>
        <v/>
      </c>
    </row>
    <row r="620" spans="1:8" x14ac:dyDescent="0.2">
      <c r="A620" t="s">
        <v>1224</v>
      </c>
      <c r="B620" t="s">
        <v>0</v>
      </c>
      <c r="D620" t="s">
        <v>2734</v>
      </c>
      <c r="E620" t="str" cm="1">
        <f t="array" ref="E620">IF(COUNTIF(A:A, "*" &amp; LEFT(D620, FIND(" ", D620 &amp; " ") - 1) &amp; "*") &gt; 0,INDEX(A:A,FuzzyVLookup(D620,A:A,0,,,2)),"Non-PDL")</f>
        <v>Non-PDL</v>
      </c>
      <c r="F620" t="str">
        <f t="shared" si="9"/>
        <v>Non-PDL</v>
      </c>
      <c r="G620" s="1" cm="1">
        <f t="array" ref="G620">FuzzyPercent(D620,E620,2)</f>
        <v>0</v>
      </c>
      <c r="H620" t="str" cm="1">
        <f t="array" ref="H620">IF(F620="Non-PDL","",IF(FuzzyPercent(D620,E620,2)&lt;0.4,"CHECK",""))</f>
        <v/>
      </c>
    </row>
    <row r="621" spans="1:8" x14ac:dyDescent="0.2">
      <c r="A621" t="s">
        <v>1226</v>
      </c>
      <c r="B621" t="s">
        <v>0</v>
      </c>
      <c r="D621" t="s">
        <v>2735</v>
      </c>
      <c r="E621" t="str" cm="1">
        <f t="array" ref="E621">IF(COUNTIF(A:A, "*" &amp; LEFT(D621, FIND(" ", D621 &amp; " ") - 1) &amp; "*") &gt; 0,INDEX(A:A,FuzzyVLookup(D621,A:A,0,,,2)),"Non-PDL")</f>
        <v>SAPHRIS (asenapine)</v>
      </c>
      <c r="F621" t="str">
        <f t="shared" si="9"/>
        <v>Non-Preferred</v>
      </c>
      <c r="G621" s="1" cm="1">
        <f t="array" ref="G621">FuzzyPercent(D621,E621,2)</f>
        <v>0.36000001430511475</v>
      </c>
      <c r="H621" t="str" cm="1">
        <f t="array" ref="H621">IF(F621="Non-PDL","",IF(FuzzyPercent(D621,E621,2)&lt;0.4,"CHECK",""))</f>
        <v>CHECK</v>
      </c>
    </row>
    <row r="622" spans="1:8" x14ac:dyDescent="0.2">
      <c r="A622" t="s">
        <v>1228</v>
      </c>
      <c r="B622" t="s">
        <v>0</v>
      </c>
      <c r="D622" t="s">
        <v>2736</v>
      </c>
      <c r="E622" t="str" cm="1">
        <f t="array" ref="E622">IF(COUNTIF(A:A, "*" &amp; LEFT(D622, FIND(" ", D622 &amp; " ") - 1) &amp; "*") &gt; 0,INDEX(A:A,FuzzyVLookup(D622,A:A,0,,,2)),"Non-PDL")</f>
        <v>Non-PDL</v>
      </c>
      <c r="F622" t="str">
        <f t="shared" si="9"/>
        <v>Non-PDL</v>
      </c>
      <c r="G622" s="1" cm="1">
        <f t="array" ref="G622">FuzzyPercent(D622,E622,2)</f>
        <v>0</v>
      </c>
      <c r="H622" t="str" cm="1">
        <f t="array" ref="H622">IF(F622="Non-PDL","",IF(FuzzyPercent(D622,E622,2)&lt;0.4,"CHECK",""))</f>
        <v/>
      </c>
    </row>
    <row r="623" spans="1:8" x14ac:dyDescent="0.2">
      <c r="A623" t="s">
        <v>1230</v>
      </c>
      <c r="B623" t="s">
        <v>0</v>
      </c>
      <c r="D623" t="s">
        <v>2737</v>
      </c>
      <c r="E623" t="str" cm="1">
        <f t="array" ref="E623">IF(COUNTIF(A:A, "*" &amp; LEFT(D623, FIND(" ", D623 &amp; " ") - 1) &amp; "*") &gt; 0,INDEX(A:A,FuzzyVLookup(D623,A:A,0,,,2)),"Non-PDL")</f>
        <v>Non-PDL</v>
      </c>
      <c r="F623" t="str">
        <f t="shared" si="9"/>
        <v>Non-PDL</v>
      </c>
      <c r="G623" s="1" cm="1">
        <f t="array" ref="G623">FuzzyPercent(D623,E623,2)</f>
        <v>0</v>
      </c>
      <c r="H623" t="str" cm="1">
        <f t="array" ref="H623">IF(F623="Non-PDL","",IF(FuzzyPercent(D623,E623,2)&lt;0.4,"CHECK",""))</f>
        <v/>
      </c>
    </row>
    <row r="624" spans="1:8" x14ac:dyDescent="0.2">
      <c r="A624" t="s">
        <v>1232</v>
      </c>
      <c r="B624" t="s">
        <v>0</v>
      </c>
      <c r="D624" t="s">
        <v>2738</v>
      </c>
      <c r="E624" t="str" cm="1">
        <f t="array" ref="E624">IF(COUNTIF(A:A, "*" &amp; LEFT(D624, FIND(" ", D624 &amp; " ") - 1) &amp; "*") &gt; 0,INDEX(A:A,FuzzyVLookup(D624,A:A,0,,,2)),"Non-PDL")</f>
        <v>SECUADO (asenapine)</v>
      </c>
      <c r="F624" t="str">
        <f t="shared" si="9"/>
        <v>Non-Preferred</v>
      </c>
      <c r="G624" s="1" cm="1">
        <f t="array" ref="G624">FuzzyPercent(D624,E624,2)</f>
        <v>0.36000001430511475</v>
      </c>
      <c r="H624" t="str" cm="1">
        <f t="array" ref="H624">IF(F624="Non-PDL","",IF(FuzzyPercent(D624,E624,2)&lt;0.4,"CHECK",""))</f>
        <v>CHECK</v>
      </c>
    </row>
    <row r="625" spans="1:8" x14ac:dyDescent="0.2">
      <c r="A625" t="s">
        <v>1234</v>
      </c>
      <c r="B625" t="s">
        <v>0</v>
      </c>
      <c r="D625" t="s">
        <v>2739</v>
      </c>
      <c r="E625" t="str" cm="1">
        <f t="array" ref="E625">IF(COUNTIF(A:A, "*" &amp; LEFT(D625, FIND(" ", D625 &amp; " ") - 1) &amp; "*") &gt; 0,INDEX(A:A,FuzzyVLookup(D625,A:A,0,,,2)),"Non-PDL")</f>
        <v>SEGLUROMET (ertugliflozin/metformin)</v>
      </c>
      <c r="F625" t="str">
        <f t="shared" si="9"/>
        <v>Non-Preferred</v>
      </c>
      <c r="G625" s="1" cm="1">
        <f t="array" ref="G625">FuzzyPercent(D625,E625,2)</f>
        <v>0.28099173307418823</v>
      </c>
      <c r="H625" t="str" cm="1">
        <f t="array" ref="H625">IF(F625="Non-PDL","",IF(FuzzyPercent(D625,E625,2)&lt;0.4,"CHECK",""))</f>
        <v>CHECK</v>
      </c>
    </row>
    <row r="626" spans="1:8" x14ac:dyDescent="0.2">
      <c r="A626" t="s">
        <v>1236</v>
      </c>
      <c r="B626" t="s">
        <v>0</v>
      </c>
      <c r="D626" t="s">
        <v>2740</v>
      </c>
      <c r="E626" t="str" cm="1">
        <f t="array" ref="E626">IF(COUNTIF(A:A, "*" &amp; LEFT(D626, FIND(" ", D626 &amp; " ") - 1) &amp; "*") &gt; 0,INDEX(A:A,FuzzyVLookup(D626,A:A,0,,,2)),"Non-PDL")</f>
        <v>Non-PDL</v>
      </c>
      <c r="F626" t="str">
        <f t="shared" si="9"/>
        <v>Non-PDL</v>
      </c>
      <c r="G626" s="1" cm="1">
        <f t="array" ref="G626">FuzzyPercent(D626,E626,2)</f>
        <v>0</v>
      </c>
      <c r="H626" t="str" cm="1">
        <f t="array" ref="H626">IF(F626="Non-PDL","",IF(FuzzyPercent(D626,E626,2)&lt;0.4,"CHECK",""))</f>
        <v/>
      </c>
    </row>
    <row r="627" spans="1:8" x14ac:dyDescent="0.2">
      <c r="A627" t="s">
        <v>1238</v>
      </c>
      <c r="B627" t="s">
        <v>0</v>
      </c>
      <c r="D627" t="s">
        <v>2741</v>
      </c>
      <c r="E627" t="str" cm="1">
        <f t="array" ref="E627">IF(COUNTIF(A:A, "*" &amp; LEFT(D627, FIND(" ", D627 &amp; " ") - 1) &amp; "*") &gt; 0,INDEX(A:A,FuzzyVLookup(D627,A:A,0,,,2)),"Non-PDL")</f>
        <v>Non-PDL</v>
      </c>
      <c r="F627" t="str">
        <f t="shared" si="9"/>
        <v>Non-PDL</v>
      </c>
      <c r="G627" s="1" cm="1">
        <f t="array" ref="G627">FuzzyPercent(D627,E627,2)</f>
        <v>0</v>
      </c>
      <c r="H627" t="str" cm="1">
        <f t="array" ref="H627">IF(F627="Non-PDL","",IF(FuzzyPercent(D627,E627,2)&lt;0.4,"CHECK",""))</f>
        <v/>
      </c>
    </row>
    <row r="628" spans="1:8" x14ac:dyDescent="0.2">
      <c r="A628" t="s">
        <v>1240</v>
      </c>
      <c r="B628" t="s">
        <v>0</v>
      </c>
      <c r="D628" t="s">
        <v>2742</v>
      </c>
      <c r="E628" t="str" cm="1">
        <f t="array" ref="E628">IF(COUNTIF(A:A, "*" &amp; LEFT(D628, FIND(" ", D628 &amp; " ") - 1) &amp; "*") &gt; 0,INDEX(A:A,FuzzyVLookup(D628,A:A,0,,,2)),"Non-PDL")</f>
        <v>SEMGLEE (YFGN) (insulin glargine-yfgn)</v>
      </c>
      <c r="F628" t="str">
        <f t="shared" si="9"/>
        <v>Non-Preferred</v>
      </c>
      <c r="G628" s="1" cm="1">
        <f t="array" ref="G628">FuzzyPercent(D628,E628,2)</f>
        <v>0.15384615957736969</v>
      </c>
      <c r="H628" t="str" cm="1">
        <f t="array" ref="H628">IF(F628="Non-PDL","",IF(FuzzyPercent(D628,E628,2)&lt;0.4,"CHECK",""))</f>
        <v>CHECK</v>
      </c>
    </row>
    <row r="629" spans="1:8" x14ac:dyDescent="0.2">
      <c r="A629" t="s">
        <v>1187</v>
      </c>
      <c r="B629" t="s">
        <v>0</v>
      </c>
      <c r="D629" t="s">
        <v>2743</v>
      </c>
      <c r="E629" t="str" cm="1">
        <f t="array" ref="E629">IF(COUNTIF(A:A, "*" &amp; LEFT(D629, FIND(" ", D629 &amp; " ") - 1) &amp; "*") &gt; 0,INDEX(A:A,FuzzyVLookup(D629,A:A,0,,,2)),"Non-PDL")</f>
        <v>SEROQUEL (quetiapine)</v>
      </c>
      <c r="F629" t="str">
        <f t="shared" si="9"/>
        <v>Non-Preferred</v>
      </c>
      <c r="G629" s="1" cm="1">
        <f t="array" ref="G629">FuzzyPercent(D629,E629,2)</f>
        <v>0.39344263076782227</v>
      </c>
      <c r="H629" t="str" cm="1">
        <f t="array" ref="H629">IF(F629="Non-PDL","",IF(FuzzyPercent(D629,E629,2)&lt;0.4,"CHECK",""))</f>
        <v>CHECK</v>
      </c>
    </row>
    <row r="630" spans="1:8" x14ac:dyDescent="0.2">
      <c r="A630" t="s">
        <v>1243</v>
      </c>
      <c r="B630" t="s">
        <v>0</v>
      </c>
      <c r="D630" t="s">
        <v>2744</v>
      </c>
      <c r="E630" t="str" cm="1">
        <f t="array" ref="E630">IF(COUNTIF(A:A, "*" &amp; LEFT(D630, FIND(" ", D630 &amp; " ") - 1) &amp; "*") &gt; 0,INDEX(A:A,FuzzyVLookup(D630,A:A,0,,,2)),"Non-PDL")</f>
        <v>SEROQUEL XR (quetiapine)</v>
      </c>
      <c r="F630" t="str">
        <f t="shared" si="9"/>
        <v>Non-Preferred</v>
      </c>
      <c r="G630" s="1" cm="1">
        <f t="array" ref="G630">FuzzyPercent(D630,E630,2)</f>
        <v>0.46153846383094788</v>
      </c>
      <c r="H630" t="str" cm="1">
        <f t="array" ref="H630">IF(F630="Non-PDL","",IF(FuzzyPercent(D630,E630,2)&lt;0.4,"CHECK",""))</f>
        <v/>
      </c>
    </row>
    <row r="631" spans="1:8" x14ac:dyDescent="0.2">
      <c r="A631" t="s">
        <v>1195</v>
      </c>
      <c r="B631" t="s">
        <v>0</v>
      </c>
      <c r="D631" t="s">
        <v>2745</v>
      </c>
      <c r="E631" t="str" cm="1">
        <f t="array" ref="E631">IF(COUNTIF(A:A, "*" &amp; LEFT(D631, FIND(" ", D631 &amp; " ") - 1) &amp; "*") &gt; 0,INDEX(A:A,FuzzyVLookup(D631,A:A,0,,,2)),"Non-PDL")</f>
        <v>sevelamer carbonate tablet</v>
      </c>
      <c r="F631" t="str">
        <f t="shared" si="9"/>
        <v>Preferred</v>
      </c>
      <c r="G631" s="1" cm="1">
        <f t="array" ref="G631">FuzzyPercent(D631,E631,2)</f>
        <v>0.95588237047195435</v>
      </c>
      <c r="H631" t="str" cm="1">
        <f t="array" ref="H631">IF(F631="Non-PDL","",IF(FuzzyPercent(D631,E631,2)&lt;0.4,"CHECK",""))</f>
        <v/>
      </c>
    </row>
    <row r="632" spans="1:8" x14ac:dyDescent="0.2">
      <c r="A632" t="s">
        <v>1246</v>
      </c>
      <c r="B632" t="s">
        <v>0</v>
      </c>
      <c r="D632" t="s">
        <v>2746</v>
      </c>
      <c r="E632" t="str" cm="1">
        <f t="array" ref="E632">IF(COUNTIF(A:A, "*" &amp; LEFT(D632, FIND(" ", D632 &amp; " ") - 1) &amp; "*") &gt; 0,INDEX(A:A,FuzzyVLookup(D632,A:A,0,,,2)),"Non-PDL")</f>
        <v>sevelamer carbonate tablet</v>
      </c>
      <c r="F632" t="str">
        <f t="shared" si="9"/>
        <v>Preferred</v>
      </c>
      <c r="G632" s="1" cm="1">
        <f t="array" ref="G632">FuzzyPercent(D632,E632,2)</f>
        <v>0.31707316637039185</v>
      </c>
      <c r="H632" t="str" cm="1">
        <f t="array" ref="H632">IF(F632="Non-PDL","",IF(FuzzyPercent(D632,E632,2)&lt;0.4,"CHECK",""))</f>
        <v>CHECK</v>
      </c>
    </row>
    <row r="633" spans="1:8" x14ac:dyDescent="0.2">
      <c r="A633" t="s">
        <v>1248</v>
      </c>
      <c r="B633" t="s">
        <v>0</v>
      </c>
      <c r="D633" t="s">
        <v>2747</v>
      </c>
      <c r="E633" t="str" cm="1">
        <f t="array" ref="E633">IF(COUNTIF(A:A, "*" &amp; LEFT(D633, FIND(" ", D633 &amp; " ") - 1) &amp; "*") &gt; 0,INDEX(A:A,FuzzyVLookup(D633,A:A,0,,,2)),"Non-PDL")</f>
        <v>SEVENFACT (factor VII)</v>
      </c>
      <c r="F633" t="str">
        <f t="shared" si="9"/>
        <v>Non-Preferred</v>
      </c>
      <c r="G633" s="1" cm="1">
        <f t="array" ref="G633">FuzzyPercent(D633,E633,2)</f>
        <v>0.42424243688583374</v>
      </c>
      <c r="H633" t="str" cm="1">
        <f t="array" ref="H633">IF(F633="Non-PDL","",IF(FuzzyPercent(D633,E633,2)&lt;0.4,"CHECK",""))</f>
        <v/>
      </c>
    </row>
    <row r="634" spans="1:8" x14ac:dyDescent="0.2">
      <c r="A634" t="s">
        <v>1250</v>
      </c>
      <c r="B634" t="s">
        <v>0</v>
      </c>
      <c r="D634" t="s">
        <v>2748</v>
      </c>
      <c r="E634" t="str" cm="1">
        <f t="array" ref="E634">IF(COUNTIF(A:A, "*" &amp; LEFT(D634, FIND(" ", D634 &amp; " ") - 1) &amp; "*") &gt; 0,INDEX(A:A,FuzzyVLookup(D634,A:A,0,,,2)),"Non-PDL")</f>
        <v>LIQREV (sildenafil)</v>
      </c>
      <c r="F634" t="str">
        <f t="shared" si="9"/>
        <v>Non-Preferred</v>
      </c>
      <c r="G634" s="1" cm="1">
        <f t="array" ref="G634">FuzzyPercent(D634,E634,2)</f>
        <v>0.41333332657814026</v>
      </c>
      <c r="H634" t="str" cm="1">
        <f t="array" ref="H634">IF(F634="Non-PDL","",IF(FuzzyPercent(D634,E634,2)&lt;0.4,"CHECK",""))</f>
        <v/>
      </c>
    </row>
    <row r="635" spans="1:8" x14ac:dyDescent="0.2">
      <c r="A635" t="s">
        <v>1252</v>
      </c>
      <c r="B635" t="s">
        <v>0</v>
      </c>
      <c r="D635" t="s">
        <v>2749</v>
      </c>
      <c r="E635" t="str" cm="1">
        <f t="array" ref="E635">IF(COUNTIF(A:A, "*" &amp; LEFT(D635, FIND(" ", D635 &amp; " ") - 1) &amp; "*") &gt; 0,INDEX(A:A,FuzzyVLookup(D635,A:A,0,,,2)),"Non-PDL")</f>
        <v>LIQREV (sildenafil)</v>
      </c>
      <c r="F635" t="str">
        <f t="shared" si="9"/>
        <v>Non-Preferred</v>
      </c>
      <c r="G635" s="1" cm="1">
        <f t="array" ref="G635">FuzzyPercent(D635,E635,2)</f>
        <v>0.26153847575187683</v>
      </c>
      <c r="H635" t="str" cm="1">
        <f t="array" ref="H635">IF(F635="Non-PDL","",IF(FuzzyPercent(D635,E635,2)&lt;0.4,"CHECK",""))</f>
        <v>CHECK</v>
      </c>
    </row>
    <row r="636" spans="1:8" x14ac:dyDescent="0.2">
      <c r="A636" t="s">
        <v>1254</v>
      </c>
      <c r="B636" t="s">
        <v>0</v>
      </c>
      <c r="D636" t="s">
        <v>2750</v>
      </c>
      <c r="E636" t="str" cm="1">
        <f t="array" ref="E636">IF(COUNTIF(A:A, "*" &amp; LEFT(D636, FIND(" ", D636 &amp; " ") - 1) &amp; "*") &gt; 0,INDEX(A:A,FuzzyVLookup(D636,A:A,0,,,2)),"Non-PDL")</f>
        <v>SIMLANDI (adalimumab-ryvk)</v>
      </c>
      <c r="F636" t="str">
        <f t="shared" si="9"/>
        <v>Non-Preferred</v>
      </c>
      <c r="G636" s="1" cm="1">
        <f t="array" ref="G636">FuzzyPercent(D636,E636,2)</f>
        <v>0.23931623995304108</v>
      </c>
      <c r="H636" t="str" cm="1">
        <f t="array" ref="H636">IF(F636="Non-PDL","",IF(FuzzyPercent(D636,E636,2)&lt;0.4,"CHECK",""))</f>
        <v>CHECK</v>
      </c>
    </row>
    <row r="637" spans="1:8" x14ac:dyDescent="0.2">
      <c r="A637" t="s">
        <v>1256</v>
      </c>
      <c r="B637" t="s">
        <v>0</v>
      </c>
      <c r="D637" t="s">
        <v>2751</v>
      </c>
      <c r="E637" t="str" cm="1">
        <f t="array" ref="E637">IF(COUNTIF(A:A, "*" &amp; LEFT(D637, FIND(" ", D637 &amp; " ") - 1) &amp; "*") &gt; 0,INDEX(A:A,FuzzyVLookup(D637,A:A,0,,,2)),"Non-PDL")</f>
        <v>SIMPONI (golimumab)</v>
      </c>
      <c r="F637" t="str">
        <f t="shared" si="9"/>
        <v>Preferred</v>
      </c>
      <c r="G637" s="1" cm="1">
        <f t="array" ref="G637">FuzzyPercent(D637,E637,2)</f>
        <v>0.36000001430511475</v>
      </c>
      <c r="H637" t="str" cm="1">
        <f t="array" ref="H637">IF(F637="Non-PDL","",IF(FuzzyPercent(D637,E637,2)&lt;0.4,"CHECK",""))</f>
        <v>CHECK</v>
      </c>
    </row>
    <row r="638" spans="1:8" x14ac:dyDescent="0.2">
      <c r="A638" t="s">
        <v>1258</v>
      </c>
      <c r="B638" t="s">
        <v>0</v>
      </c>
      <c r="D638" t="s">
        <v>2752</v>
      </c>
      <c r="E638" t="str" cm="1">
        <f t="array" ref="E638">IF(COUNTIF(A:A, "*" &amp; LEFT(D638, FIND(" ", D638 &amp; " ") - 1) &amp; "*") &gt; 0,INDEX(A:A,FuzzyVLookup(D638,A:A,0,,,2)),"Non-PDL")</f>
        <v>Non-PDL</v>
      </c>
      <c r="F638" t="str">
        <f t="shared" si="9"/>
        <v>Non-PDL</v>
      </c>
      <c r="G638" s="1" cm="1">
        <f t="array" ref="G638">FuzzyPercent(D638,E638,2)</f>
        <v>0</v>
      </c>
      <c r="H638" t="str" cm="1">
        <f t="array" ref="H638">IF(F638="Non-PDL","",IF(FuzzyPercent(D638,E638,2)&lt;0.4,"CHECK",""))</f>
        <v/>
      </c>
    </row>
    <row r="639" spans="1:8" x14ac:dyDescent="0.2">
      <c r="A639" t="s">
        <v>1260</v>
      </c>
      <c r="B639" t="s">
        <v>0</v>
      </c>
      <c r="D639" t="s">
        <v>2753</v>
      </c>
      <c r="E639" t="str" cm="1">
        <f t="array" ref="E639">IF(COUNTIF(A:A, "*" &amp; LEFT(D639, FIND(" ", D639 &amp; " ") - 1) &amp; "*") &gt; 0,INDEX(A:A,FuzzyVLookup(D639,A:A,0,,,2)),"Non-PDL")</f>
        <v>Non-PDL</v>
      </c>
      <c r="F639" t="str">
        <f t="shared" si="9"/>
        <v>Non-PDL</v>
      </c>
      <c r="G639" s="1" cm="1">
        <f t="array" ref="G639">FuzzyPercent(D639,E639,2)</f>
        <v>0</v>
      </c>
      <c r="H639" t="str" cm="1">
        <f t="array" ref="H639">IF(F639="Non-PDL","",IF(FuzzyPercent(D639,E639,2)&lt;0.4,"CHECK",""))</f>
        <v/>
      </c>
    </row>
    <row r="640" spans="1:8" x14ac:dyDescent="0.2">
      <c r="A640" t="s">
        <v>1262</v>
      </c>
      <c r="B640" t="s">
        <v>0</v>
      </c>
      <c r="D640" t="s">
        <v>2754</v>
      </c>
      <c r="E640" t="str" cm="1">
        <f t="array" ref="E640">IF(COUNTIF(A:A, "*" &amp; LEFT(D640, FIND(" ", D640 &amp; " ") - 1) &amp; "*") &gt; 0,INDEX(A:A,FuzzyVLookup(D640,A:A,0,,,2)),"Non-PDL")</f>
        <v>Non-PDL</v>
      </c>
      <c r="F640" t="str">
        <f t="shared" si="9"/>
        <v>Non-PDL</v>
      </c>
      <c r="G640" s="1" cm="1">
        <f t="array" ref="G640">FuzzyPercent(D640,E640,2)</f>
        <v>0</v>
      </c>
      <c r="H640" t="str" cm="1">
        <f t="array" ref="H640">IF(F640="Non-PDL","",IF(FuzzyPercent(D640,E640,2)&lt;0.4,"CHECK",""))</f>
        <v/>
      </c>
    </row>
    <row r="641" spans="1:8" x14ac:dyDescent="0.2">
      <c r="A641" t="s">
        <v>1264</v>
      </c>
      <c r="B641" t="s">
        <v>0</v>
      </c>
      <c r="D641" t="s">
        <v>2755</v>
      </c>
      <c r="E641" t="str" cm="1">
        <f t="array" ref="E641">IF(COUNTIF(A:A, "*" &amp; LEFT(D641, FIND(" ", D641 &amp; " ") - 1) &amp; "*") &gt; 0,INDEX(A:A,FuzzyVLookup(D641,A:A,0,,,2)),"Non-PDL")</f>
        <v>SKYRIZI (risankizumab-rzaa)</v>
      </c>
      <c r="F641" t="str">
        <f t="shared" si="9"/>
        <v>Non-Preferred</v>
      </c>
      <c r="G641" s="1" cm="1">
        <f t="array" ref="G641">FuzzyPercent(D641,E641,2)</f>
        <v>0.23376622796058655</v>
      </c>
      <c r="H641" t="str" cm="1">
        <f t="array" ref="H641">IF(F641="Non-PDL","",IF(FuzzyPercent(D641,E641,2)&lt;0.4,"CHECK",""))</f>
        <v>CHECK</v>
      </c>
    </row>
    <row r="642" spans="1:8" x14ac:dyDescent="0.2">
      <c r="A642" t="s">
        <v>1266</v>
      </c>
      <c r="B642" t="s">
        <v>0</v>
      </c>
      <c r="D642" t="s">
        <v>2756</v>
      </c>
      <c r="E642" t="str" cm="1">
        <f t="array" ref="E642">IF(COUNTIF(A:A, "*" &amp; LEFT(D642, FIND(" ", D642 &amp; " ") - 1) &amp; "*") &gt; 0,INDEX(A:A,FuzzyVLookup(D642,A:A,0,,,2)),"Non-PDL")</f>
        <v>SKYTROFA (lonapegsomatropin-tcgd)</v>
      </c>
      <c r="F642" t="str">
        <f t="shared" si="9"/>
        <v>Preferred</v>
      </c>
      <c r="G642" s="1" cm="1">
        <f t="array" ref="G642">FuzzyPercent(D642,E642,2)</f>
        <v>0.23529411852359772</v>
      </c>
      <c r="H642" t="str" cm="1">
        <f t="array" ref="H642">IF(F642="Non-PDL","",IF(FuzzyPercent(D642,E642,2)&lt;0.4,"CHECK",""))</f>
        <v>CHECK</v>
      </c>
    </row>
    <row r="643" spans="1:8" x14ac:dyDescent="0.2">
      <c r="A643" t="s">
        <v>1268</v>
      </c>
      <c r="B643" t="s">
        <v>0</v>
      </c>
      <c r="D643" t="s">
        <v>2757</v>
      </c>
      <c r="E643" t="str" cm="1">
        <f t="array" ref="E643">IF(COUNTIF(A:A, "*" &amp; LEFT(D643, FIND(" ", D643 &amp; " ") - 1) &amp; "*") &gt; 0,INDEX(A:A,FuzzyVLookup(D643,A:A,0,,,2)),"Non-PDL")</f>
        <v>Non-PDL</v>
      </c>
      <c r="F643" t="str">
        <f t="shared" ref="F643:F706" si="10">_xlfn.IFNA(_xlfn.XLOOKUP(E643,A:A,B:B),"Non-PDL")</f>
        <v>Non-PDL</v>
      </c>
      <c r="G643" s="1" cm="1">
        <f t="array" ref="G643">FuzzyPercent(D643,E643,2)</f>
        <v>0</v>
      </c>
      <c r="H643" t="str" cm="1">
        <f t="array" ref="H643">IF(F643="Non-PDL","",IF(FuzzyPercent(D643,E643,2)&lt;0.4,"CHECK",""))</f>
        <v/>
      </c>
    </row>
    <row r="644" spans="1:8" x14ac:dyDescent="0.2">
      <c r="A644" t="s">
        <v>1270</v>
      </c>
      <c r="B644" t="s">
        <v>0</v>
      </c>
      <c r="D644" t="s">
        <v>2758</v>
      </c>
      <c r="E644" t="str" cm="1">
        <f t="array" ref="E644">IF(COUNTIF(A:A, "*" &amp; LEFT(D644, FIND(" ", D644 &amp; " ") - 1) &amp; "*") &gt; 0,INDEX(A:A,FuzzyVLookup(D644,A:A,0,,,2)),"Non-PDL")</f>
        <v>OLPRUVA (sodium phenylbutyrate)</v>
      </c>
      <c r="F644" t="str">
        <f t="shared" si="10"/>
        <v>Non-Preferred</v>
      </c>
      <c r="G644" s="1" cm="1">
        <f t="array" ref="G644">FuzzyPercent(D644,E644,2)</f>
        <v>0.57419353723526001</v>
      </c>
      <c r="H644" t="str" cm="1">
        <f t="array" ref="H644">IF(F644="Non-PDL","",IF(FuzzyPercent(D644,E644,2)&lt;0.4,"CHECK",""))</f>
        <v/>
      </c>
    </row>
    <row r="645" spans="1:8" x14ac:dyDescent="0.2">
      <c r="A645" t="s">
        <v>1272</v>
      </c>
      <c r="B645" t="s">
        <v>0</v>
      </c>
      <c r="D645" t="s">
        <v>2759</v>
      </c>
      <c r="E645" t="str" cm="1">
        <f t="array" ref="E645">IF(COUNTIF(A:A, "*" &amp; LEFT(D645, FIND(" ", D645 &amp; " ") - 1) &amp; "*") &gt; 0,INDEX(A:A,FuzzyVLookup(D645,A:A,0,,,2)),"Non-PDL")</f>
        <v>OLPRUVA (sodium phenylbutyrate)</v>
      </c>
      <c r="F645" t="str">
        <f t="shared" si="10"/>
        <v>Non-Preferred</v>
      </c>
      <c r="G645" s="1" cm="1">
        <f t="array" ref="G645">FuzzyPercent(D645,E645,2)</f>
        <v>0.57419353723526001</v>
      </c>
      <c r="H645" t="str" cm="1">
        <f t="array" ref="H645">IF(F645="Non-PDL","",IF(FuzzyPercent(D645,E645,2)&lt;0.4,"CHECK",""))</f>
        <v/>
      </c>
    </row>
    <row r="646" spans="1:8" x14ac:dyDescent="0.2">
      <c r="A646" t="s">
        <v>1274</v>
      </c>
      <c r="B646" t="s">
        <v>0</v>
      </c>
      <c r="D646" t="s">
        <v>2760</v>
      </c>
      <c r="E646" t="str" cm="1">
        <f t="array" ref="E646">IF(COUNTIF(A:A, "*" &amp; LEFT(D646, FIND(" ", D646 &amp; " ") - 1) &amp; "*") &gt; 0,INDEX(A:A,FuzzyVLookup(D646,A:A,0,,,2)),"Non-PDL")</f>
        <v>sodium polystyrene sulfonate</v>
      </c>
      <c r="F646" t="str">
        <f t="shared" si="10"/>
        <v>Non-Preferred</v>
      </c>
      <c r="G646" s="1" cm="1">
        <f t="array" ref="G646">FuzzyPercent(D646,E646,2)</f>
        <v>1</v>
      </c>
      <c r="H646" t="str" cm="1">
        <f t="array" ref="H646">IF(F646="Non-PDL","",IF(FuzzyPercent(D646,E646,2)&lt;0.4,"CHECK",""))</f>
        <v/>
      </c>
    </row>
    <row r="647" spans="1:8" x14ac:dyDescent="0.2">
      <c r="A647" t="s">
        <v>1276</v>
      </c>
      <c r="B647" t="s">
        <v>0</v>
      </c>
      <c r="D647" t="s">
        <v>2761</v>
      </c>
      <c r="E647" t="str" cm="1">
        <f t="array" ref="E647">IF(COUNTIF(A:A, "*" &amp; LEFT(D647, FIND(" ", D647 &amp; " ") - 1) &amp; "*") &gt; 0,INDEX(A:A,FuzzyVLookup(D647,A:A,0,,,2)),"Non-PDL")</f>
        <v>sofosbuvir/velpatasvir</v>
      </c>
      <c r="F647" t="str">
        <f t="shared" si="10"/>
        <v>Preferred</v>
      </c>
      <c r="G647" s="1" cm="1">
        <f t="array" ref="G647">FuzzyPercent(D647,E647,2)</f>
        <v>0.51666665077209473</v>
      </c>
      <c r="H647" t="str" cm="1">
        <f t="array" ref="H647">IF(F647="Non-PDL","",IF(FuzzyPercent(D647,E647,2)&lt;0.4,"CHECK",""))</f>
        <v/>
      </c>
    </row>
    <row r="648" spans="1:8" x14ac:dyDescent="0.2">
      <c r="A648" t="s">
        <v>1278</v>
      </c>
      <c r="B648" t="s">
        <v>0</v>
      </c>
      <c r="D648" t="s">
        <v>2762</v>
      </c>
      <c r="E648" t="str" cm="1">
        <f t="array" ref="E648">IF(COUNTIF(A:A, "*" &amp; LEFT(D648, FIND(" ", D648 &amp; " ") - 1) &amp; "*") &gt; 0,INDEX(A:A,FuzzyVLookup(D648,A:A,0,,,2)),"Non-PDL")</f>
        <v>SOGROYA (somapacitan-beco)</v>
      </c>
      <c r="F648" t="str">
        <f t="shared" si="10"/>
        <v>Non-Preferred</v>
      </c>
      <c r="G648" s="1" cm="1">
        <f t="array" ref="G648">FuzzyPercent(D648,E648,2)</f>
        <v>0.24324324727058411</v>
      </c>
      <c r="H648" t="str" cm="1">
        <f t="array" ref="H648">IF(F648="Non-PDL","",IF(FuzzyPercent(D648,E648,2)&lt;0.4,"CHECK",""))</f>
        <v>CHECK</v>
      </c>
    </row>
    <row r="649" spans="1:8" x14ac:dyDescent="0.2">
      <c r="A649" t="s">
        <v>1280</v>
      </c>
      <c r="B649" t="s">
        <v>0</v>
      </c>
      <c r="D649" t="s">
        <v>2763</v>
      </c>
      <c r="E649" t="str" cm="1">
        <f t="array" ref="E649">IF(COUNTIF(A:A, "*" &amp; LEFT(D649, FIND(" ", D649 &amp; " ") - 1) &amp; "*") &gt; 0,INDEX(A:A,FuzzyVLookup(D649,A:A,0,,,2)),"Non-PDL")</f>
        <v>Non-PDL</v>
      </c>
      <c r="F649" t="str">
        <f t="shared" si="10"/>
        <v>Non-PDL</v>
      </c>
      <c r="G649" s="1" cm="1">
        <f t="array" ref="G649">FuzzyPercent(D649,E649,2)</f>
        <v>0.1111111119389534</v>
      </c>
      <c r="H649" t="str" cm="1">
        <f t="array" ref="H649">IF(F649="Non-PDL","",IF(FuzzyPercent(D649,E649,2)&lt;0.4,"CHECK",""))</f>
        <v/>
      </c>
    </row>
    <row r="650" spans="1:8" x14ac:dyDescent="0.2">
      <c r="A650" t="s">
        <v>1282</v>
      </c>
      <c r="B650" t="s">
        <v>0</v>
      </c>
      <c r="D650" t="s">
        <v>2764</v>
      </c>
      <c r="E650" t="str" cm="1">
        <f t="array" ref="E650">IF(COUNTIF(A:A, "*" &amp; LEFT(D650, FIND(" ", D650 &amp; " ") - 1) &amp; "*") &gt; 0,INDEX(A:A,FuzzyVLookup(D650,A:A,0,,,2)),"Non-PDL")</f>
        <v>solifenacin</v>
      </c>
      <c r="F650" t="str">
        <f t="shared" si="10"/>
        <v>Preferred</v>
      </c>
      <c r="G650" s="1" cm="1">
        <f t="array" ref="G650">FuzzyPercent(D650,E650,2)</f>
        <v>0.29629629850387573</v>
      </c>
      <c r="H650" t="str" cm="1">
        <f t="array" ref="H650">IF(F650="Non-PDL","",IF(FuzzyPercent(D650,E650,2)&lt;0.4,"CHECK",""))</f>
        <v>CHECK</v>
      </c>
    </row>
    <row r="651" spans="1:8" x14ac:dyDescent="0.2">
      <c r="A651" t="s">
        <v>1284</v>
      </c>
      <c r="B651" t="s">
        <v>0</v>
      </c>
      <c r="D651" t="s">
        <v>2765</v>
      </c>
      <c r="E651" t="str" cm="1">
        <f t="array" ref="E651">IF(COUNTIF(A:A, "*" &amp; LEFT(D651, FIND(" ", D651 &amp; " ") - 1) &amp; "*") &gt; 0,INDEX(A:A,FuzzyVLookup(D651,A:A,0,,,2)),"Non-PDL")</f>
        <v>Non-PDL</v>
      </c>
      <c r="F651" t="str">
        <f t="shared" si="10"/>
        <v>Non-PDL</v>
      </c>
      <c r="G651" s="1" cm="1">
        <f t="array" ref="G651">FuzzyPercent(D651,E651,2)</f>
        <v>0</v>
      </c>
      <c r="H651" t="str" cm="1">
        <f t="array" ref="H651">IF(F651="Non-PDL","",IF(FuzzyPercent(D651,E651,2)&lt;0.4,"CHECK",""))</f>
        <v/>
      </c>
    </row>
    <row r="652" spans="1:8" x14ac:dyDescent="0.2">
      <c r="A652" t="s">
        <v>1286</v>
      </c>
      <c r="B652" t="s">
        <v>0</v>
      </c>
      <c r="D652" t="s">
        <v>2766</v>
      </c>
      <c r="E652" t="str" cm="1">
        <f t="array" ref="E652">IF(COUNTIF(A:A, "*" &amp; LEFT(D652, FIND(" ", D652 &amp; " ") - 1) &amp; "*") &gt; 0,INDEX(A:A,FuzzyVLookup(D652,A:A,0,,,2)),"Non-PDL")</f>
        <v>SOLOSEC (secnidazole)</v>
      </c>
      <c r="F652" t="str">
        <f t="shared" si="10"/>
        <v>Non-Preferred</v>
      </c>
      <c r="G652" s="1" cm="1">
        <f t="array" ref="G652">FuzzyPercent(D652,E652,2)</f>
        <v>0.31034481525421143</v>
      </c>
      <c r="H652" t="str" cm="1">
        <f t="array" ref="H652">IF(F652="Non-PDL","",IF(FuzzyPercent(D652,E652,2)&lt;0.4,"CHECK",""))</f>
        <v>CHECK</v>
      </c>
    </row>
    <row r="653" spans="1:8" x14ac:dyDescent="0.2">
      <c r="A653" t="s">
        <v>1288</v>
      </c>
      <c r="B653" t="s">
        <v>0</v>
      </c>
      <c r="D653" t="s">
        <v>2767</v>
      </c>
      <c r="E653" t="str" cm="1">
        <f t="array" ref="E653">IF(COUNTIF(A:A, "*" &amp; LEFT(D653, FIND(" ", D653 &amp; " ") - 1) &amp; "*") &gt; 0,INDEX(A:A,FuzzyVLookup(D653,A:A,0,,,2)),"Non-PDL")</f>
        <v>SOMA (carisoprodol)</v>
      </c>
      <c r="F653" t="str">
        <f t="shared" si="10"/>
        <v>Non-Preferred</v>
      </c>
      <c r="G653" s="1" cm="1">
        <f t="array" ref="G653">FuzzyPercent(D653,E653,2)</f>
        <v>0.17777778208255768</v>
      </c>
      <c r="H653" t="str" cm="1">
        <f t="array" ref="H653">IF(F653="Non-PDL","",IF(FuzzyPercent(D653,E653,2)&lt;0.4,"CHECK",""))</f>
        <v>CHECK</v>
      </c>
    </row>
    <row r="654" spans="1:8" x14ac:dyDescent="0.2">
      <c r="A654" t="s">
        <v>1068</v>
      </c>
      <c r="B654" t="s">
        <v>0</v>
      </c>
      <c r="D654" t="s">
        <v>2768</v>
      </c>
      <c r="E654" t="str" cm="1">
        <f t="array" ref="E654">IF(COUNTIF(A:A, "*" &amp; LEFT(D654, FIND(" ", D654 &amp; " ") - 1) &amp; "*") &gt; 0,INDEX(A:A,FuzzyVLookup(D654,A:A,0,,,2)),"Non-PDL")</f>
        <v>sorafenib</v>
      </c>
      <c r="F654" t="str">
        <f t="shared" si="10"/>
        <v>Non-Preferred</v>
      </c>
      <c r="G654" s="1" cm="1">
        <f t="array" ref="G654">FuzzyPercent(D654,E654,2)</f>
        <v>1</v>
      </c>
      <c r="H654" t="str" cm="1">
        <f t="array" ref="H654">IF(F654="Non-PDL","",IF(FuzzyPercent(D654,E654,2)&lt;0.4,"CHECK",""))</f>
        <v/>
      </c>
    </row>
    <row r="655" spans="1:8" x14ac:dyDescent="0.2">
      <c r="A655" t="s">
        <v>1291</v>
      </c>
      <c r="B655" t="s">
        <v>0</v>
      </c>
      <c r="D655" t="s">
        <v>2769</v>
      </c>
      <c r="E655" t="str" cm="1">
        <f t="array" ref="E655">IF(COUNTIF(A:A, "*" &amp; LEFT(D655, FIND(" ", D655 &amp; " ") - 1) &amp; "*") &gt; 0,INDEX(A:A,FuzzyVLookup(D655,A:A,0,,,2)),"Non-PDL")</f>
        <v>SORINE (sotalol)</v>
      </c>
      <c r="F655" t="str">
        <f t="shared" si="10"/>
        <v>Preferred</v>
      </c>
      <c r="G655" s="1" cm="1">
        <f t="array" ref="G655">FuzzyPercent(D655,E655,2)</f>
        <v>0.380952388048172</v>
      </c>
      <c r="H655" t="str" cm="1">
        <f t="array" ref="H655">IF(F655="Non-PDL","",IF(FuzzyPercent(D655,E655,2)&lt;0.4,"CHECK",""))</f>
        <v>CHECK</v>
      </c>
    </row>
    <row r="656" spans="1:8" x14ac:dyDescent="0.2">
      <c r="A656" t="s">
        <v>1293</v>
      </c>
      <c r="B656" t="s">
        <v>0</v>
      </c>
      <c r="D656" t="s">
        <v>2770</v>
      </c>
      <c r="E656" t="str" cm="1">
        <f t="array" ref="E656">IF(COUNTIF(A:A, "*" &amp; LEFT(D656, FIND(" ", D656 &amp; " ") - 1) &amp; "*") &gt; 0,INDEX(A:A,FuzzyVLookup(D656,A:A,0,,,2)),"Non-PDL")</f>
        <v>SOTYKTU (deucravacitinib)</v>
      </c>
      <c r="F656" t="str">
        <f t="shared" si="10"/>
        <v>Non-Preferred</v>
      </c>
      <c r="G656" s="1" cm="1">
        <f t="array" ref="G656">FuzzyPercent(D656,E656,2)</f>
        <v>0.26966291666030884</v>
      </c>
      <c r="H656" t="str" cm="1">
        <f t="array" ref="H656">IF(F656="Non-PDL","",IF(FuzzyPercent(D656,E656,2)&lt;0.4,"CHECK",""))</f>
        <v>CHECK</v>
      </c>
    </row>
    <row r="657" spans="1:8" x14ac:dyDescent="0.2">
      <c r="A657" t="s">
        <v>1295</v>
      </c>
      <c r="B657" t="s">
        <v>0</v>
      </c>
      <c r="D657" t="s">
        <v>2771</v>
      </c>
      <c r="E657" t="str" cm="1">
        <f t="array" ref="E657">IF(COUNTIF(A:A, "*" &amp; LEFT(D657, FIND(" ", D657 &amp; " ") - 1) &amp; "*") &gt; 0,INDEX(A:A,FuzzyVLookup(D657,A:A,0,,,2)),"Non-PDL")</f>
        <v>SOVALDI (sofosbuvir) ‚àû</v>
      </c>
      <c r="F657" t="str">
        <f t="shared" si="10"/>
        <v>Non-Preferred</v>
      </c>
      <c r="G657" s="1" cm="1">
        <f t="array" ref="G657">FuzzyPercent(D657,E657,2)</f>
        <v>0.26086956262588501</v>
      </c>
      <c r="H657" t="str" cm="1">
        <f t="array" ref="H657">IF(F657="Non-PDL","",IF(FuzzyPercent(D657,E657,2)&lt;0.4,"CHECK",""))</f>
        <v>CHECK</v>
      </c>
    </row>
    <row r="658" spans="1:8" x14ac:dyDescent="0.2">
      <c r="A658" t="s">
        <v>1297</v>
      </c>
      <c r="B658" t="s">
        <v>0</v>
      </c>
      <c r="D658" t="s">
        <v>2772</v>
      </c>
      <c r="E658" t="str" cm="1">
        <f t="array" ref="E658">IF(COUNTIF(A:A, "*" &amp; LEFT(D658, FIND(" ", D658 &amp; " ") - 1) &amp; "*") &gt; 0,INDEX(A:A,FuzzyVLookup(D658,A:A,0,,,2)),"Non-PDL")</f>
        <v>Non-PDL</v>
      </c>
      <c r="F658" t="str">
        <f t="shared" si="10"/>
        <v>Non-PDL</v>
      </c>
      <c r="G658" s="1" cm="1">
        <f t="array" ref="G658">FuzzyPercent(D658,E658,2)</f>
        <v>0</v>
      </c>
      <c r="H658" t="str" cm="1">
        <f t="array" ref="H658">IF(F658="Non-PDL","",IF(FuzzyPercent(D658,E658,2)&lt;0.4,"CHECK",""))</f>
        <v/>
      </c>
    </row>
    <row r="659" spans="1:8" x14ac:dyDescent="0.2">
      <c r="A659" t="s">
        <v>1299</v>
      </c>
      <c r="B659" t="s">
        <v>0</v>
      </c>
      <c r="D659" t="s">
        <v>2773</v>
      </c>
      <c r="E659" t="str" cm="1">
        <f t="array" ref="E659">IF(COUNTIF(A:A, "*" &amp; LEFT(D659, FIND(" ", D659 &amp; " ") - 1) &amp; "*") &gt; 0,INDEX(A:A,FuzzyVLookup(D659,A:A,0,,,2)),"Non-PDL")</f>
        <v>SPIRIVA HANDIHALER (tiotropium)</v>
      </c>
      <c r="F659" t="str">
        <f t="shared" si="10"/>
        <v>Preferred</v>
      </c>
      <c r="G659" s="1" cm="1">
        <f t="array" ref="G659">FuzzyPercent(D659,E659,2)</f>
        <v>0.4285714328289032</v>
      </c>
      <c r="H659" t="str" cm="1">
        <f t="array" ref="H659">IF(F659="Non-PDL","",IF(FuzzyPercent(D659,E659,2)&lt;0.4,"CHECK",""))</f>
        <v/>
      </c>
    </row>
    <row r="660" spans="1:8" x14ac:dyDescent="0.2">
      <c r="A660" t="s">
        <v>1301</v>
      </c>
      <c r="B660" t="s">
        <v>0</v>
      </c>
      <c r="D660" t="s">
        <v>2774</v>
      </c>
      <c r="E660" t="str" cm="1">
        <f t="array" ref="E660">IF(COUNTIF(A:A, "*" &amp; LEFT(D660, FIND(" ", D660 &amp; " ") - 1) &amp; "*") &gt; 0,INDEX(A:A,FuzzyVLookup(D660,A:A,0,,,2)),"Non-PDL")</f>
        <v>SPIRIVA RESPIMAT (tiotropium) DUR+</v>
      </c>
      <c r="F660" t="str">
        <f t="shared" si="10"/>
        <v>Non-Preferred</v>
      </c>
      <c r="G660" s="1" cm="1">
        <f t="array" ref="G660">FuzzyPercent(D660,E660,2)</f>
        <v>0.33789953589439392</v>
      </c>
      <c r="H660" t="str" cm="1">
        <f t="array" ref="H660">IF(F660="Non-PDL","",IF(FuzzyPercent(D660,E660,2)&lt;0.4,"CHECK",""))</f>
        <v>CHECK</v>
      </c>
    </row>
    <row r="661" spans="1:8" x14ac:dyDescent="0.2">
      <c r="A661" t="s">
        <v>1303</v>
      </c>
      <c r="B661" t="s">
        <v>0</v>
      </c>
      <c r="D661" t="s">
        <v>2775</v>
      </c>
      <c r="E661" t="str" cm="1">
        <f t="array" ref="E661">IF(COUNTIF(A:A, "*" &amp; LEFT(D661, FIND(" ", D661 &amp; " ") - 1) &amp; "*") &gt; 0,INDEX(A:A,FuzzyVLookup(D661,A:A,0,,,2)),"Non-PDL")</f>
        <v>Non-PDL</v>
      </c>
      <c r="F661" t="str">
        <f t="shared" si="10"/>
        <v>Non-PDL</v>
      </c>
      <c r="G661" s="1" cm="1">
        <f t="array" ref="G661">FuzzyPercent(D661,E661,2)</f>
        <v>0</v>
      </c>
      <c r="H661" t="str" cm="1">
        <f t="array" ref="H661">IF(F661="Non-PDL","",IF(FuzzyPercent(D661,E661,2)&lt;0.4,"CHECK",""))</f>
        <v/>
      </c>
    </row>
    <row r="662" spans="1:8" x14ac:dyDescent="0.2">
      <c r="A662" t="s">
        <v>1305</v>
      </c>
      <c r="B662" t="s">
        <v>0</v>
      </c>
      <c r="D662" t="s">
        <v>2776</v>
      </c>
      <c r="E662" t="str" cm="1">
        <f t="array" ref="E662">IF(COUNTIF(A:A, "*" &amp; LEFT(D662, FIND(" ", D662 &amp; " ") - 1) &amp; "*") &gt; 0,INDEX(A:A,FuzzyVLookup(D662,A:A,0,,,2)),"Non-PDL")</f>
        <v>cefaclor suspension</v>
      </c>
      <c r="F662" t="str">
        <f t="shared" si="10"/>
        <v>Non-Preferred</v>
      </c>
      <c r="G662" s="1" cm="1">
        <f t="array" ref="G662">FuzzyPercent(D662,E662,2)</f>
        <v>0.34146341681480408</v>
      </c>
      <c r="H662" t="str" cm="1">
        <f t="array" ref="H662">IF(F662="Non-PDL","",IF(FuzzyPercent(D662,E662,2)&lt;0.4,"CHECK",""))</f>
        <v>CHECK</v>
      </c>
    </row>
    <row r="663" spans="1:8" x14ac:dyDescent="0.2">
      <c r="A663" t="s">
        <v>1307</v>
      </c>
      <c r="B663" t="s">
        <v>0</v>
      </c>
      <c r="D663" t="s">
        <v>2777</v>
      </c>
      <c r="E663" t="str" cm="1">
        <f t="array" ref="E663">IF(COUNTIF(A:A, "*" &amp; LEFT(D663, FIND(" ", D663 &amp; " ") - 1) &amp; "*") &gt; 0,INDEX(A:A,FuzzyVLookup(D663,A:A,0,,,2)),"Non-PDL")</f>
        <v>mesalamine enema</v>
      </c>
      <c r="F663" t="str">
        <f t="shared" si="10"/>
        <v>Non-Preferred</v>
      </c>
      <c r="G663" s="1" cm="1">
        <f t="array" ref="G663">FuzzyPercent(D663,E663,2)</f>
        <v>0.2291666716337204</v>
      </c>
      <c r="H663" t="str" cm="1">
        <f t="array" ref="H663">IF(F663="Non-PDL","",IF(FuzzyPercent(D663,E663,2)&lt;0.4,"CHECK",""))</f>
        <v>CHECK</v>
      </c>
    </row>
    <row r="664" spans="1:8" x14ac:dyDescent="0.2">
      <c r="A664" t="s">
        <v>1309</v>
      </c>
      <c r="B664" t="s">
        <v>0</v>
      </c>
      <c r="D664" t="s">
        <v>2778</v>
      </c>
      <c r="E664" t="str" cm="1">
        <f t="array" ref="E664">IF(COUNTIF(A:A, "*" &amp; LEFT(D664, FIND(" ", D664 &amp; " ") - 1) &amp; "*") &gt; 0,INDEX(A:A,FuzzyVLookup(D664,A:A,0,,,2)),"Non-PDL")</f>
        <v>STEGLATRO (ertugliflozin)</v>
      </c>
      <c r="F664" t="str">
        <f t="shared" si="10"/>
        <v>Non-Preferred</v>
      </c>
      <c r="G664" s="1" cm="1">
        <f t="array" ref="G664">FuzzyPercent(D664,E664,2)</f>
        <v>0.3684210479259491</v>
      </c>
      <c r="H664" t="str" cm="1">
        <f t="array" ref="H664">IF(F664="Non-PDL","",IF(FuzzyPercent(D664,E664,2)&lt;0.4,"CHECK",""))</f>
        <v>CHECK</v>
      </c>
    </row>
    <row r="665" spans="1:8" x14ac:dyDescent="0.2">
      <c r="A665" t="s">
        <v>1311</v>
      </c>
      <c r="B665" t="s">
        <v>0</v>
      </c>
      <c r="D665" t="s">
        <v>2779</v>
      </c>
      <c r="E665" t="str" cm="1">
        <f t="array" ref="E665">IF(COUNTIF(A:A, "*" &amp; LEFT(D665, FIND(" ", D665 &amp; " ") - 1) &amp; "*") &gt; 0,INDEX(A:A,FuzzyVLookup(D665,A:A,0,,,2)),"Non-PDL")</f>
        <v>STEGLUJAN (ertugliflozin/sitagliptin)</v>
      </c>
      <c r="F665" t="str">
        <f t="shared" si="10"/>
        <v>Non-Preferred</v>
      </c>
      <c r="G665" s="1" cm="1">
        <f t="array" ref="G665">FuzzyPercent(D665,E665,2)</f>
        <v>0.23529411852359772</v>
      </c>
      <c r="H665" t="str" cm="1">
        <f t="array" ref="H665">IF(F665="Non-PDL","",IF(FuzzyPercent(D665,E665,2)&lt;0.4,"CHECK",""))</f>
        <v>CHECK</v>
      </c>
    </row>
    <row r="666" spans="1:8" x14ac:dyDescent="0.2">
      <c r="A666" t="s">
        <v>1313</v>
      </c>
      <c r="B666" t="s">
        <v>0</v>
      </c>
      <c r="D666" t="s">
        <v>2780</v>
      </c>
      <c r="E666" t="str" cm="1">
        <f t="array" ref="E666">IF(COUNTIF(A:A, "*" &amp; LEFT(D666, FIND(" ", D666 &amp; " ") - 1) &amp; "*") &gt; 0,INDEX(A:A,FuzzyVLookup(D666,A:A,0,,,2)),"Non-PDL")</f>
        <v>STELARA (ustekinumab)</v>
      </c>
      <c r="F666" t="str">
        <f t="shared" si="10"/>
        <v>Non-Preferred</v>
      </c>
      <c r="G666" s="1" cm="1">
        <f t="array" ref="G666">FuzzyPercent(D666,E666,2)</f>
        <v>0.31034481525421143</v>
      </c>
      <c r="H666" t="str" cm="1">
        <f t="array" ref="H666">IF(F666="Non-PDL","",IF(FuzzyPercent(D666,E666,2)&lt;0.4,"CHECK",""))</f>
        <v>CHECK</v>
      </c>
    </row>
    <row r="667" spans="1:8" x14ac:dyDescent="0.2">
      <c r="A667" t="s">
        <v>1315</v>
      </c>
      <c r="B667" t="s">
        <v>0</v>
      </c>
      <c r="D667" t="s">
        <v>2781</v>
      </c>
      <c r="E667" t="str" cm="1">
        <f t="array" ref="E667">IF(COUNTIF(A:A, "*" &amp; LEFT(D667, FIND(" ", D667 &amp; " ") - 1) &amp; "*") &gt; 0,INDEX(A:A,FuzzyVLookup(D667,A:A,0,,,2)),"Non-PDL")</f>
        <v>STIMUFEND (pegfilgrastim-fpgk)</v>
      </c>
      <c r="F667" t="str">
        <f t="shared" si="10"/>
        <v>Non-Preferred</v>
      </c>
      <c r="G667" s="1" cm="1">
        <f t="array" ref="G667">FuzzyPercent(D667,E667,2)</f>
        <v>0.24161073565483093</v>
      </c>
      <c r="H667" t="str" cm="1">
        <f t="array" ref="H667">IF(F667="Non-PDL","",IF(FuzzyPercent(D667,E667,2)&lt;0.4,"CHECK",""))</f>
        <v>CHECK</v>
      </c>
    </row>
    <row r="668" spans="1:8" x14ac:dyDescent="0.2">
      <c r="A668" t="s">
        <v>1317</v>
      </c>
      <c r="B668" t="s">
        <v>0</v>
      </c>
      <c r="D668" t="s">
        <v>2782</v>
      </c>
      <c r="E668" t="str" cm="1">
        <f t="array" ref="E668">IF(COUNTIF(A:A, "*" &amp; LEFT(D668, FIND(" ", D668 &amp; " ") - 1) &amp; "*") &gt; 0,INDEX(A:A,FuzzyVLookup(D668,A:A,0,,,2)),"Non-PDL")</f>
        <v>STIOLTO RESPIMAT (tiotropium/olodaterol)</v>
      </c>
      <c r="F668" t="str">
        <f t="shared" si="10"/>
        <v>Preferred</v>
      </c>
      <c r="G668" s="1" cm="1">
        <f t="array" ref="G668">FuzzyPercent(D668,E668,2)</f>
        <v>0.44736841320991516</v>
      </c>
      <c r="H668" t="str" cm="1">
        <f t="array" ref="H668">IF(F668="Non-PDL","",IF(FuzzyPercent(D668,E668,2)&lt;0.4,"CHECK",""))</f>
        <v/>
      </c>
    </row>
    <row r="669" spans="1:8" x14ac:dyDescent="0.2">
      <c r="A669" t="s">
        <v>1319</v>
      </c>
      <c r="B669" t="s">
        <v>0</v>
      </c>
      <c r="D669" t="s">
        <v>2783</v>
      </c>
      <c r="E669" t="str" cm="1">
        <f t="array" ref="E669">IF(COUNTIF(A:A, "*" &amp; LEFT(D669, FIND(" ", D669 &amp; " ") - 1) &amp; "*") &gt; 0,INDEX(A:A,FuzzyVLookup(D669,A:A,0,,,2)),"Non-PDL")</f>
        <v>STIVARGA (regorafenib)</v>
      </c>
      <c r="F669" t="str">
        <f t="shared" si="10"/>
        <v>Preferred</v>
      </c>
      <c r="G669" s="1" cm="1">
        <f t="array" ref="G669">FuzzyPercent(D669,E669,2)</f>
        <v>0.375</v>
      </c>
      <c r="H669" t="str" cm="1">
        <f t="array" ref="H669">IF(F669="Non-PDL","",IF(FuzzyPercent(D669,E669,2)&lt;0.4,"CHECK",""))</f>
        <v>CHECK</v>
      </c>
    </row>
    <row r="670" spans="1:8" x14ac:dyDescent="0.2">
      <c r="A670" t="s">
        <v>1321</v>
      </c>
      <c r="B670" t="s">
        <v>0</v>
      </c>
      <c r="D670" t="s">
        <v>2784</v>
      </c>
      <c r="E670" t="str" cm="1">
        <f t="array" ref="E670">IF(COUNTIF(A:A, "*" &amp; LEFT(D670, FIND(" ", D670 &amp; " ") - 1) &amp; "*") &gt; 0,INDEX(A:A,FuzzyVLookup(D670,A:A,0,,,2)),"Non-PDL")</f>
        <v>anastrozole</v>
      </c>
      <c r="F670" t="str">
        <f t="shared" si="10"/>
        <v>Preferred</v>
      </c>
      <c r="G670" s="1" cm="1">
        <f t="array" ref="G670">FuzzyPercent(D670,E670,2)</f>
        <v>0.13333334028720856</v>
      </c>
      <c r="H670" t="str" cm="1">
        <f t="array" ref="H670">IF(F670="Non-PDL","",IF(FuzzyPercent(D670,E670,2)&lt;0.4,"CHECK",""))</f>
        <v>CHECK</v>
      </c>
    </row>
    <row r="671" spans="1:8" x14ac:dyDescent="0.2">
      <c r="A671" t="s">
        <v>1323</v>
      </c>
      <c r="B671" t="s">
        <v>0</v>
      </c>
      <c r="D671" t="s">
        <v>2785</v>
      </c>
      <c r="E671" t="str" cm="1">
        <f t="array" ref="E671">IF(COUNTIF(A:A, "*" &amp; LEFT(D671, FIND(" ", D671 &amp; " ") - 1) &amp; "*") &gt; 0,INDEX(A:A,FuzzyVLookup(D671,A:A,0,,,2)),"Non-PDL")</f>
        <v>STUART ONE</v>
      </c>
      <c r="F671" t="str">
        <f t="shared" si="10"/>
        <v>Preferred</v>
      </c>
      <c r="G671" s="1" cm="1">
        <f t="array" ref="G671">FuzzyPercent(D671,E671,2)</f>
        <v>0.62962961196899414</v>
      </c>
      <c r="H671" t="str" cm="1">
        <f t="array" ref="H671">IF(F671="Non-PDL","",IF(FuzzyPercent(D671,E671,2)&lt;0.4,"CHECK",""))</f>
        <v/>
      </c>
    </row>
    <row r="672" spans="1:8" x14ac:dyDescent="0.2">
      <c r="A672" t="s">
        <v>1325</v>
      </c>
      <c r="B672" t="s">
        <v>0</v>
      </c>
      <c r="D672" t="s">
        <v>2786</v>
      </c>
      <c r="E672" t="str" cm="1">
        <f t="array" ref="E672">IF(COUNTIF(A:A, "*" &amp; LEFT(D672, FIND(" ", D672 &amp; " ") - 1) &amp; "*") &gt; 0,INDEX(A:A,FuzzyVLookup(D672,A:A,0,,,2)),"Non-PDL")</f>
        <v>SUBLOCADE (buprenorphine)</v>
      </c>
      <c r="F672" t="str">
        <f t="shared" si="10"/>
        <v>Non-Preferred</v>
      </c>
      <c r="G672" s="1" cm="1">
        <f t="array" ref="G672">FuzzyPercent(D672,E672,2)</f>
        <v>0.3684210479259491</v>
      </c>
      <c r="H672" t="str" cm="1">
        <f t="array" ref="H672">IF(F672="Non-PDL","",IF(FuzzyPercent(D672,E672,2)&lt;0.4,"CHECK",""))</f>
        <v>CHECK</v>
      </c>
    </row>
    <row r="673" spans="1:8" x14ac:dyDescent="0.2">
      <c r="A673" t="s">
        <v>1327</v>
      </c>
      <c r="B673" t="s">
        <v>0</v>
      </c>
      <c r="D673" t="s">
        <v>2787</v>
      </c>
      <c r="E673" t="str" cm="1">
        <f t="array" ref="E673">IF(COUNTIF(A:A, "*" &amp; LEFT(D673, FIND(" ", D673 &amp; " ") - 1) &amp; "*") &gt; 0,INDEX(A:A,FuzzyVLookup(D673,A:A,0,,,2)),"Non-PDL")</f>
        <v>naloxone</v>
      </c>
      <c r="F673" t="str">
        <f t="shared" si="10"/>
        <v>Preferred</v>
      </c>
      <c r="G673" s="1" cm="1">
        <f t="array" ref="G673">FuzzyPercent(D673,E673,2)</f>
        <v>0.3333333432674408</v>
      </c>
      <c r="H673" t="str" cm="1">
        <f t="array" ref="H673">IF(F673="Non-PDL","",IF(FuzzyPercent(D673,E673,2)&lt;0.4,"CHECK",""))</f>
        <v>CHECK</v>
      </c>
    </row>
    <row r="674" spans="1:8" x14ac:dyDescent="0.2">
      <c r="A674" t="s">
        <v>1329</v>
      </c>
      <c r="B674" t="s">
        <v>0</v>
      </c>
      <c r="D674" t="s">
        <v>2788</v>
      </c>
      <c r="E674" t="str" cm="1">
        <f t="array" ref="E674">IF(COUNTIF(A:A, "*" &amp; LEFT(D674, FIND(" ", D674 &amp; " ") - 1) &amp; "*") &gt; 0,INDEX(A:A,FuzzyVLookup(D674,A:A,0,,,2)),"Non-PDL")</f>
        <v>SUNOSI (solriamfetol)</v>
      </c>
      <c r="F674" t="str">
        <f t="shared" si="10"/>
        <v>Preferred</v>
      </c>
      <c r="G674" s="1" cm="1">
        <f t="array" ref="G674">FuzzyPercent(D674,E674,2)</f>
        <v>0.28070175647735596</v>
      </c>
      <c r="H674" t="str" cm="1">
        <f t="array" ref="H674">IF(F674="Non-PDL","",IF(FuzzyPercent(D674,E674,2)&lt;0.4,"CHECK",""))</f>
        <v>CHECK</v>
      </c>
    </row>
    <row r="675" spans="1:8" x14ac:dyDescent="0.2">
      <c r="A675" t="s">
        <v>1331</v>
      </c>
      <c r="B675" t="s">
        <v>0</v>
      </c>
      <c r="D675" t="s">
        <v>2789</v>
      </c>
      <c r="E675" t="str" cm="1">
        <f t="array" ref="E675">IF(COUNTIF(A:A, "*" &amp; LEFT(D675, FIND(" ", D675 &amp; " ") - 1) &amp; "*") &gt; 0,INDEX(A:A,FuzzyVLookup(D675,A:A,0,,,2)),"Non-PDL")</f>
        <v>Non-PDL</v>
      </c>
      <c r="F675" t="str">
        <f t="shared" si="10"/>
        <v>Non-PDL</v>
      </c>
      <c r="G675" s="1" cm="1">
        <f t="array" ref="G675">FuzzyPercent(D675,E675,2)</f>
        <v>0</v>
      </c>
      <c r="H675" t="str" cm="1">
        <f t="array" ref="H675">IF(F675="Non-PDL","",IF(FuzzyPercent(D675,E675,2)&lt;0.4,"CHECK",""))</f>
        <v/>
      </c>
    </row>
    <row r="676" spans="1:8" x14ac:dyDescent="0.2">
      <c r="A676" t="s">
        <v>1333</v>
      </c>
      <c r="B676" t="s">
        <v>0</v>
      </c>
      <c r="D676" t="s">
        <v>2790</v>
      </c>
      <c r="E676" t="str" cm="1">
        <f t="array" ref="E676">IF(COUNTIF(A:A, "*" &amp; LEFT(D676, FIND(" ", D676 &amp; " ") - 1) &amp; "*") &gt; 0,INDEX(A:A,FuzzyVLookup(D676,A:A,0,,,2)),"Non-PDL")</f>
        <v>Non-PDL</v>
      </c>
      <c r="F676" t="str">
        <f t="shared" si="10"/>
        <v>Non-PDL</v>
      </c>
      <c r="G676" s="1" cm="1">
        <f t="array" ref="G676">FuzzyPercent(D676,E676,2)</f>
        <v>0</v>
      </c>
      <c r="H676" t="str" cm="1">
        <f t="array" ref="H676">IF(F676="Non-PDL","",IF(FuzzyPercent(D676,E676,2)&lt;0.4,"CHECK",""))</f>
        <v/>
      </c>
    </row>
    <row r="677" spans="1:8" x14ac:dyDescent="0.2">
      <c r="A677" t="s">
        <v>1335</v>
      </c>
      <c r="B677" t="s">
        <v>0</v>
      </c>
      <c r="D677" t="s">
        <v>2791</v>
      </c>
      <c r="E677" t="str" cm="1">
        <f t="array" ref="E677">IF(COUNTIF(A:A, "*" &amp; LEFT(D677, FIND(" ", D677 &amp; " ") - 1) &amp; "*") &gt; 0,INDEX(A:A,FuzzyVLookup(D677,A:A,0,,,2)),"Non-PDL")</f>
        <v>Non-PDL</v>
      </c>
      <c r="F677" t="str">
        <f t="shared" si="10"/>
        <v>Non-PDL</v>
      </c>
      <c r="G677" s="1" cm="1">
        <f t="array" ref="G677">FuzzyPercent(D677,E677,2)</f>
        <v>0</v>
      </c>
      <c r="H677" t="str" cm="1">
        <f t="array" ref="H677">IF(F677="Non-PDL","",IF(FuzzyPercent(D677,E677,2)&lt;0.4,"CHECK",""))</f>
        <v/>
      </c>
    </row>
    <row r="678" spans="1:8" x14ac:dyDescent="0.2">
      <c r="A678" t="s">
        <v>1337</v>
      </c>
      <c r="B678" t="s">
        <v>0</v>
      </c>
      <c r="D678" t="s">
        <v>2792</v>
      </c>
      <c r="E678" t="str" cm="1">
        <f t="array" ref="E678">IF(COUNTIF(A:A, "*" &amp; LEFT(D678, FIND(" ", D678 &amp; " ") - 1) &amp; "*") &gt; 0,INDEX(A:A,FuzzyVLookup(D678,A:A,0,,,2)),"Non-PDL")</f>
        <v>Non-PDL</v>
      </c>
      <c r="F678" t="str">
        <f t="shared" si="10"/>
        <v>Non-PDL</v>
      </c>
      <c r="G678" s="1" cm="1">
        <f t="array" ref="G678">FuzzyPercent(D678,E678,2)</f>
        <v>0</v>
      </c>
      <c r="H678" t="str" cm="1">
        <f t="array" ref="H678">IF(F678="Non-PDL","",IF(FuzzyPercent(D678,E678,2)&lt;0.4,"CHECK",""))</f>
        <v/>
      </c>
    </row>
    <row r="679" spans="1:8" x14ac:dyDescent="0.2">
      <c r="A679" t="s">
        <v>1339</v>
      </c>
      <c r="B679" t="s">
        <v>0</v>
      </c>
      <c r="D679" t="s">
        <v>2793</v>
      </c>
      <c r="E679" t="str" cm="1">
        <f t="array" ref="E679">IF(COUNTIF(A:A, "*" &amp; LEFT(D679, FIND(" ", D679 &amp; " ") - 1) &amp; "*") &gt; 0,INDEX(A:A,FuzzyVLookup(D679,A:A,0,,,2)),"Non-PDL")</f>
        <v>SYMBYAX (olanzapine/fluoxetine)</v>
      </c>
      <c r="F679" t="str">
        <f t="shared" si="10"/>
        <v>Non-Preferred</v>
      </c>
      <c r="G679" s="1" cm="1">
        <f t="array" ref="G679">FuzzyPercent(D679,E679,2)</f>
        <v>0.19780220091342926</v>
      </c>
      <c r="H679" t="str" cm="1">
        <f t="array" ref="H679">IF(F679="Non-PDL","",IF(FuzzyPercent(D679,E679,2)&lt;0.4,"CHECK",""))</f>
        <v>CHECK</v>
      </c>
    </row>
    <row r="680" spans="1:8" x14ac:dyDescent="0.2">
      <c r="A680" t="s">
        <v>1341</v>
      </c>
      <c r="B680" t="s">
        <v>0</v>
      </c>
      <c r="D680" t="s">
        <v>2794</v>
      </c>
      <c r="E680" t="str" cm="1">
        <f t="array" ref="E680">IF(COUNTIF(A:A, "*" &amp; LEFT(D680, FIND(" ", D680 &amp; " ") - 1) &amp; "*") &gt; 0,INDEX(A:A,FuzzyVLookup(D680,A:A,0,,,2)),"Non-PDL")</f>
        <v>Non-PDL</v>
      </c>
      <c r="F680" t="str">
        <f t="shared" si="10"/>
        <v>Non-PDL</v>
      </c>
      <c r="G680" s="1" cm="1">
        <f t="array" ref="G680">FuzzyPercent(D680,E680,2)</f>
        <v>0</v>
      </c>
      <c r="H680" t="str" cm="1">
        <f t="array" ref="H680">IF(F680="Non-PDL","",IF(FuzzyPercent(D680,E680,2)&lt;0.4,"CHECK",""))</f>
        <v/>
      </c>
    </row>
    <row r="681" spans="1:8" x14ac:dyDescent="0.2">
      <c r="A681" t="s">
        <v>1343</v>
      </c>
      <c r="B681" t="s">
        <v>0</v>
      </c>
      <c r="D681" t="s">
        <v>2795</v>
      </c>
      <c r="E681" t="str" cm="1">
        <f t="array" ref="E681">IF(COUNTIF(A:A, "*" &amp; LEFT(D681, FIND(" ", D681 &amp; " ") - 1) &amp; "*") &gt; 0,INDEX(A:A,FuzzyVLookup(D681,A:A,0,,,2)),"Non-PDL")</f>
        <v>Non-PDL</v>
      </c>
      <c r="F681" t="str">
        <f t="shared" si="10"/>
        <v>Non-PDL</v>
      </c>
      <c r="G681" s="1" cm="1">
        <f t="array" ref="G681">FuzzyPercent(D681,E681,2)</f>
        <v>0</v>
      </c>
      <c r="H681" t="str" cm="1">
        <f t="array" ref="H681">IF(F681="Non-PDL","",IF(FuzzyPercent(D681,E681,2)&lt;0.4,"CHECK",""))</f>
        <v/>
      </c>
    </row>
    <row r="682" spans="1:8" x14ac:dyDescent="0.2">
      <c r="A682" t="s">
        <v>1345</v>
      </c>
      <c r="B682" t="s">
        <v>0</v>
      </c>
      <c r="D682" t="s">
        <v>2796</v>
      </c>
      <c r="E682" t="str" cm="1">
        <f t="array" ref="E682">IF(COUNTIF(A:A, "*" &amp; LEFT(D682, FIND(" ", D682 &amp; " ") - 1) &amp; "*") &gt; 0,INDEX(A:A,FuzzyVLookup(D682,A:A,0,,,2)),"Non-PDL")</f>
        <v>SYMPAZAN (clobazam)</v>
      </c>
      <c r="F682" t="str">
        <f t="shared" si="10"/>
        <v>Preferred</v>
      </c>
      <c r="G682" s="1" cm="1">
        <f t="array" ref="G682">FuzzyPercent(D682,E682,2)</f>
        <v>0.34567901492118835</v>
      </c>
      <c r="H682" t="str" cm="1">
        <f t="array" ref="H682">IF(F682="Non-PDL","",IF(FuzzyPercent(D682,E682,2)&lt;0.4,"CHECK",""))</f>
        <v>CHECK</v>
      </c>
    </row>
    <row r="683" spans="1:8" x14ac:dyDescent="0.2">
      <c r="A683" t="s">
        <v>1347</v>
      </c>
      <c r="B683" t="s">
        <v>0</v>
      </c>
      <c r="D683" t="s">
        <v>2797</v>
      </c>
      <c r="E683" t="str" cm="1">
        <f t="array" ref="E683">IF(COUNTIF(A:A, "*" &amp; LEFT(D683, FIND(" ", D683 &amp; " ") - 1) &amp; "*") &gt; 0,INDEX(A:A,FuzzyVLookup(D683,A:A,0,,,2)),"Non-PDL")</f>
        <v>Non-PDL</v>
      </c>
      <c r="F683" t="str">
        <f t="shared" si="10"/>
        <v>Non-PDL</v>
      </c>
      <c r="G683" s="1" cm="1">
        <f t="array" ref="G683">FuzzyPercent(D683,E683,2)</f>
        <v>0</v>
      </c>
      <c r="H683" t="str" cm="1">
        <f t="array" ref="H683">IF(F683="Non-PDL","",IF(FuzzyPercent(D683,E683,2)&lt;0.4,"CHECK",""))</f>
        <v/>
      </c>
    </row>
    <row r="684" spans="1:8" x14ac:dyDescent="0.2">
      <c r="A684" t="s">
        <v>1349</v>
      </c>
      <c r="B684" t="s">
        <v>0</v>
      </c>
      <c r="D684" t="s">
        <v>2798</v>
      </c>
      <c r="E684" t="str" cm="1">
        <f t="array" ref="E684">IF(COUNTIF(A:A, "*" &amp; LEFT(D684, FIND(" ", D684 &amp; " ") - 1) &amp; "*") &gt; 0,INDEX(A:A,FuzzyVLookup(D684,A:A,0,,,2)),"Non-PDL")</f>
        <v>Non-PDL</v>
      </c>
      <c r="F684" t="str">
        <f t="shared" si="10"/>
        <v>Non-PDL</v>
      </c>
      <c r="G684" s="1" cm="1">
        <f t="array" ref="G684">FuzzyPercent(D684,E684,2)</f>
        <v>0</v>
      </c>
      <c r="H684" t="str" cm="1">
        <f t="array" ref="H684">IF(F684="Non-PDL","",IF(FuzzyPercent(D684,E684,2)&lt;0.4,"CHECK",""))</f>
        <v/>
      </c>
    </row>
    <row r="685" spans="1:8" x14ac:dyDescent="0.2">
      <c r="A685" t="s">
        <v>1351</v>
      </c>
      <c r="B685" t="s">
        <v>0</v>
      </c>
      <c r="D685" t="s">
        <v>2799</v>
      </c>
      <c r="E685" t="str" cm="1">
        <f t="array" ref="E685">IF(COUNTIF(A:A, "*" &amp; LEFT(D685, FIND(" ", D685 &amp; " ") - 1) &amp; "*") &gt; 0,INDEX(A:A,FuzzyVLookup(D685,A:A,0,,,2)),"Non-PDL")</f>
        <v>Non-PDL</v>
      </c>
      <c r="F685" t="str">
        <f t="shared" si="10"/>
        <v>Non-PDL</v>
      </c>
      <c r="G685" s="1" cm="1">
        <f t="array" ref="G685">FuzzyPercent(D685,E685,2)</f>
        <v>0</v>
      </c>
      <c r="H685" t="str" cm="1">
        <f t="array" ref="H685">IF(F685="Non-PDL","",IF(FuzzyPercent(D685,E685,2)&lt;0.4,"CHECK",""))</f>
        <v/>
      </c>
    </row>
    <row r="686" spans="1:8" x14ac:dyDescent="0.2">
      <c r="A686" t="s">
        <v>1353</v>
      </c>
      <c r="B686" t="s">
        <v>0</v>
      </c>
      <c r="D686" t="s">
        <v>2800</v>
      </c>
      <c r="E686" t="str" cm="1">
        <f t="array" ref="E686">IF(COUNTIF(A:A, "*" &amp; LEFT(D686, FIND(" ", D686 &amp; " ") - 1) &amp; "*") &gt; 0,INDEX(A:A,FuzzyVLookup(D686,A:A,0,,,2)),"Non-PDL")</f>
        <v>TABRECTA (capmatinib)</v>
      </c>
      <c r="F686" t="str">
        <f t="shared" si="10"/>
        <v>Non-Preferred</v>
      </c>
      <c r="G686" s="1" cm="1">
        <f t="array" ref="G686">FuzzyPercent(D686,E686,2)</f>
        <v>0.39344263076782227</v>
      </c>
      <c r="H686" t="str" cm="1">
        <f t="array" ref="H686">IF(F686="Non-PDL","",IF(FuzzyPercent(D686,E686,2)&lt;0.4,"CHECK",""))</f>
        <v>CHECK</v>
      </c>
    </row>
    <row r="687" spans="1:8" x14ac:dyDescent="0.2">
      <c r="A687" t="s">
        <v>1355</v>
      </c>
      <c r="B687" t="s">
        <v>0</v>
      </c>
      <c r="D687" t="s">
        <v>2801</v>
      </c>
      <c r="E687" t="str" cm="1">
        <f t="array" ref="E687">IF(COUNTIF(A:A, "*" &amp; LEFT(D687, FIND(" ", D687 &amp; " ") - 1) &amp; "*") &gt; 0,INDEX(A:A,FuzzyVLookup(D687,A:A,0,,,2)),"Non-PDL")</f>
        <v>tadalafil</v>
      </c>
      <c r="F687" t="str">
        <f t="shared" si="10"/>
        <v>Preferred</v>
      </c>
      <c r="G687" s="1" cm="1">
        <f t="array" ref="G687">FuzzyPercent(D687,E687,2)</f>
        <v>1</v>
      </c>
      <c r="H687" t="str" cm="1">
        <f t="array" ref="H687">IF(F687="Non-PDL","",IF(FuzzyPercent(D687,E687,2)&lt;0.4,"CHECK",""))</f>
        <v/>
      </c>
    </row>
    <row r="688" spans="1:8" x14ac:dyDescent="0.2">
      <c r="A688" t="s">
        <v>1357</v>
      </c>
      <c r="B688" t="s">
        <v>0</v>
      </c>
      <c r="D688" t="s">
        <v>2802</v>
      </c>
      <c r="E688" t="str" cm="1">
        <f t="array" ref="E688">IF(COUNTIF(A:A, "*" &amp; LEFT(D688, FIND(" ", D688 &amp; " ") - 1) &amp; "*") &gt; 0,INDEX(A:A,FuzzyVLookup(D688,A:A,0,,,2)),"Non-PDL")</f>
        <v>TADLIQ (tadalafil)</v>
      </c>
      <c r="F688" t="str">
        <f t="shared" si="10"/>
        <v>Preferred</v>
      </c>
      <c r="G688" s="1" cm="1">
        <f t="array" ref="G688">FuzzyPercent(D688,E688,2)</f>
        <v>0.3333333432674408</v>
      </c>
      <c r="H688" t="str" cm="1">
        <f t="array" ref="H688">IF(F688="Non-PDL","",IF(FuzzyPercent(D688,E688,2)&lt;0.4,"CHECK",""))</f>
        <v>CHECK</v>
      </c>
    </row>
    <row r="689" spans="1:8" x14ac:dyDescent="0.2">
      <c r="A689" t="s">
        <v>1359</v>
      </c>
      <c r="B689" t="s">
        <v>0</v>
      </c>
      <c r="D689" t="s">
        <v>2803</v>
      </c>
      <c r="E689" t="str" cm="1">
        <f t="array" ref="E689">IF(COUNTIF(A:A, "*" &amp; LEFT(D689, FIND(" ", D689 &amp; " ") - 1) &amp; "*") &gt; 0,INDEX(A:A,FuzzyVLookup(D689,A:A,0,,,2)),"Non-PDL")</f>
        <v>TAGRISSO (Osimertinib)</v>
      </c>
      <c r="F689" t="str">
        <f t="shared" si="10"/>
        <v>Non-Preferred</v>
      </c>
      <c r="G689" s="1" cm="1">
        <f t="array" ref="G689">FuzzyPercent(D689,E689,2)</f>
        <v>0.375</v>
      </c>
      <c r="H689" t="str" cm="1">
        <f t="array" ref="H689">IF(F689="Non-PDL","",IF(FuzzyPercent(D689,E689,2)&lt;0.4,"CHECK",""))</f>
        <v>CHECK</v>
      </c>
    </row>
    <row r="690" spans="1:8" x14ac:dyDescent="0.2">
      <c r="A690" t="s">
        <v>1361</v>
      </c>
      <c r="B690" t="s">
        <v>0</v>
      </c>
      <c r="D690" t="s">
        <v>2804</v>
      </c>
      <c r="E690" t="str" cm="1">
        <f t="array" ref="E690">IF(COUNTIF(A:A, "*" &amp; LEFT(D690, FIND(" ", D690 &amp; " ") - 1) &amp; "*") &gt; 0,INDEX(A:A,FuzzyVLookup(D690,A:A,0,,,2)),"Non-PDL")</f>
        <v>sotalol</v>
      </c>
      <c r="F690" t="str">
        <f t="shared" si="10"/>
        <v>Preferred</v>
      </c>
      <c r="G690" s="1" cm="1">
        <f t="array" ref="G690">FuzzyPercent(D690,E690,2)</f>
        <v>0.2222222238779068</v>
      </c>
      <c r="H690" t="str" cm="1">
        <f t="array" ref="H690">IF(F690="Non-PDL","",IF(FuzzyPercent(D690,E690,2)&lt;0.4,"CHECK",""))</f>
        <v>CHECK</v>
      </c>
    </row>
    <row r="691" spans="1:8" x14ac:dyDescent="0.2">
      <c r="A691" t="s">
        <v>1363</v>
      </c>
      <c r="B691" t="s">
        <v>0</v>
      </c>
      <c r="D691" t="s">
        <v>2805</v>
      </c>
      <c r="E691" t="str" cm="1">
        <f t="array" ref="E691">IF(COUNTIF(A:A, "*" &amp; LEFT(D691, FIND(" ", D691 &amp; " ") - 1) &amp; "*") &gt; 0,INDEX(A:A,FuzzyVLookup(D691,A:A,0,,,2)),"Non-PDL")</f>
        <v>TALZENNA (talazoparib)</v>
      </c>
      <c r="F691" t="str">
        <f t="shared" si="10"/>
        <v>Non-Preferred</v>
      </c>
      <c r="G691" s="1" cm="1">
        <f t="array" ref="G691">FuzzyPercent(D691,E691,2)</f>
        <v>0.375</v>
      </c>
      <c r="H691" t="str" cm="1">
        <f t="array" ref="H691">IF(F691="Non-PDL","",IF(FuzzyPercent(D691,E691,2)&lt;0.4,"CHECK",""))</f>
        <v>CHECK</v>
      </c>
    </row>
    <row r="692" spans="1:8" x14ac:dyDescent="0.2">
      <c r="A692" t="s">
        <v>1365</v>
      </c>
      <c r="B692" t="s">
        <v>0</v>
      </c>
      <c r="D692" t="s">
        <v>2806</v>
      </c>
      <c r="E692" t="str" cm="1">
        <f t="array" ref="E692">IF(COUNTIF(A:A, "*" &amp; LEFT(D692, FIND(" ", D692 &amp; " ") - 1) &amp; "*") &gt; 0,INDEX(A:A,FuzzyVLookup(D692,A:A,0,,,2)),"Non-PDL")</f>
        <v>TAMIFLU (oseltamivir)</v>
      </c>
      <c r="F692" t="str">
        <f t="shared" si="10"/>
        <v>Non-Preferred</v>
      </c>
      <c r="G692" s="1" cm="1">
        <f t="array" ref="G692">FuzzyPercent(D692,E692,2)</f>
        <v>0.31034481525421143</v>
      </c>
      <c r="H692" t="str" cm="1">
        <f t="array" ref="H692">IF(F692="Non-PDL","",IF(FuzzyPercent(D692,E692,2)&lt;0.4,"CHECK",""))</f>
        <v>CHECK</v>
      </c>
    </row>
    <row r="693" spans="1:8" x14ac:dyDescent="0.2">
      <c r="A693" t="s">
        <v>1367</v>
      </c>
      <c r="B693" t="s">
        <v>0</v>
      </c>
      <c r="D693" t="s">
        <v>2807</v>
      </c>
      <c r="E693" t="str" cm="1">
        <f t="array" ref="E693">IF(COUNTIF(A:A, "*" &amp; LEFT(D693, FIND(" ", D693 &amp; " ") - 1) &amp; "*") &gt; 0,INDEX(A:A,FuzzyVLookup(D693,A:A,0,,,2)),"Non-PDL")</f>
        <v>TARCEVA (erlotinib)</v>
      </c>
      <c r="F693" t="str">
        <f t="shared" si="10"/>
        <v>Preferred</v>
      </c>
      <c r="G693" s="1" cm="1">
        <f t="array" ref="G693">FuzzyPercent(D693,E693,2)</f>
        <v>0.36000001430511475</v>
      </c>
      <c r="H693" t="str" cm="1">
        <f t="array" ref="H693">IF(F693="Non-PDL","",IF(FuzzyPercent(D693,E693,2)&lt;0.4,"CHECK",""))</f>
        <v>CHECK</v>
      </c>
    </row>
    <row r="694" spans="1:8" x14ac:dyDescent="0.2">
      <c r="A694" t="s">
        <v>1369</v>
      </c>
      <c r="B694" t="s">
        <v>0</v>
      </c>
      <c r="D694" t="s">
        <v>2808</v>
      </c>
      <c r="E694" t="str" cm="1">
        <f t="array" ref="E694">IF(COUNTIF(A:A, "*" &amp; LEFT(D694, FIND(" ", D694 &amp; " ") - 1) &amp; "*") &gt; 0,INDEX(A:A,FuzzyVLookup(D694,A:A,0,,,2)),"Non-PDL")</f>
        <v>Non-PDL</v>
      </c>
      <c r="F694" t="str">
        <f t="shared" si="10"/>
        <v>Non-PDL</v>
      </c>
      <c r="G694" s="1" cm="1">
        <f t="array" ref="G694">FuzzyPercent(D694,E694,2)</f>
        <v>0</v>
      </c>
      <c r="H694" t="str" cm="1">
        <f t="array" ref="H694">IF(F694="Non-PDL","",IF(FuzzyPercent(D694,E694,2)&lt;0.4,"CHECK",""))</f>
        <v/>
      </c>
    </row>
    <row r="695" spans="1:8" x14ac:dyDescent="0.2">
      <c r="A695" t="s">
        <v>1371</v>
      </c>
      <c r="B695" t="s">
        <v>0</v>
      </c>
      <c r="D695" t="s">
        <v>2809</v>
      </c>
      <c r="E695" t="str" cm="1">
        <f t="array" ref="E695">IF(COUNTIF(A:A, "*" &amp; LEFT(D695, FIND(" ", D695 &amp; " ") - 1) &amp; "*") &gt; 0,INDEX(A:A,FuzzyVLookup(D695,A:A,0,,,2)),"Non-PDL")</f>
        <v>TAVALISSE (fostamatinib)</v>
      </c>
      <c r="F695" t="str">
        <f t="shared" si="10"/>
        <v>Preferred</v>
      </c>
      <c r="G695" s="1" cm="1">
        <f t="array" ref="G695">FuzzyPercent(D695,E695,2)</f>
        <v>0.37837839126586914</v>
      </c>
      <c r="H695" t="str" cm="1">
        <f t="array" ref="H695">IF(F695="Non-PDL","",IF(FuzzyPercent(D695,E695,2)&lt;0.4,"CHECK",""))</f>
        <v>CHECK</v>
      </c>
    </row>
    <row r="696" spans="1:8" x14ac:dyDescent="0.2">
      <c r="A696" t="s">
        <v>1373</v>
      </c>
      <c r="B696" t="s">
        <v>0</v>
      </c>
      <c r="D696" t="s">
        <v>2810</v>
      </c>
      <c r="E696" t="str" cm="1">
        <f t="array" ref="E696">IF(COUNTIF(A:A, "*" &amp; LEFT(D696, FIND(" ", D696 &amp; " ") - 1) &amp; "*") &gt; 0,INDEX(A:A,FuzzyVLookup(D696,A:A,0,,,2)),"Non-PDL")</f>
        <v>Non-PDL</v>
      </c>
      <c r="F696" t="str">
        <f t="shared" si="10"/>
        <v>Non-PDL</v>
      </c>
      <c r="G696" s="1" cm="1">
        <f t="array" ref="G696">FuzzyPercent(D696,E696,2)</f>
        <v>0</v>
      </c>
      <c r="H696" t="str" cm="1">
        <f t="array" ref="H696">IF(F696="Non-PDL","",IF(FuzzyPercent(D696,E696,2)&lt;0.4,"CHECK",""))</f>
        <v/>
      </c>
    </row>
    <row r="697" spans="1:8" x14ac:dyDescent="0.2">
      <c r="A697" t="s">
        <v>1375</v>
      </c>
      <c r="B697" t="s">
        <v>0</v>
      </c>
      <c r="D697" t="s">
        <v>2811</v>
      </c>
      <c r="E697" t="str" cm="1">
        <f t="array" ref="E697">IF(COUNTIF(A:A, "*" &amp; LEFT(D697, FIND(" ", D697 &amp; " ") - 1) &amp; "*") &gt; 0,INDEX(A:A,FuzzyVLookup(D697,A:A,0,,,2)),"Non-PDL")</f>
        <v>TAYTULLA (norethindrone/ethinyl estradiol/iron)</v>
      </c>
      <c r="F697" t="str">
        <f t="shared" si="10"/>
        <v>Preferred</v>
      </c>
      <c r="G697" s="1" cm="1">
        <f t="array" ref="G697">FuzzyPercent(D697,E697,2)</f>
        <v>0.15686275064945221</v>
      </c>
      <c r="H697" t="str" cm="1">
        <f t="array" ref="H697">IF(F697="Non-PDL","",IF(FuzzyPercent(D697,E697,2)&lt;0.4,"CHECK",""))</f>
        <v>CHECK</v>
      </c>
    </row>
    <row r="698" spans="1:8" x14ac:dyDescent="0.2">
      <c r="A698" t="s">
        <v>1377</v>
      </c>
      <c r="B698" t="s">
        <v>0</v>
      </c>
      <c r="D698" t="s">
        <v>2812</v>
      </c>
      <c r="E698" t="str" cm="1">
        <f t="array" ref="E698">IF(COUNTIF(A:A, "*" &amp; LEFT(D698, FIND(" ", D698 &amp; " ") - 1) &amp; "*") &gt; 0,INDEX(A:A,FuzzyVLookup(D698,A:A,0,,,2)),"Non-PDL")</f>
        <v>Non-PDL</v>
      </c>
      <c r="F698" t="str">
        <f t="shared" si="10"/>
        <v>Non-PDL</v>
      </c>
      <c r="G698" s="1" cm="1">
        <f t="array" ref="G698">FuzzyPercent(D698,E698,2)</f>
        <v>0</v>
      </c>
      <c r="H698" t="str" cm="1">
        <f t="array" ref="H698">IF(F698="Non-PDL","",IF(FuzzyPercent(D698,E698,2)&lt;0.4,"CHECK",""))</f>
        <v/>
      </c>
    </row>
    <row r="699" spans="1:8" x14ac:dyDescent="0.2">
      <c r="A699" t="s">
        <v>1379</v>
      </c>
      <c r="B699" t="s">
        <v>0</v>
      </c>
      <c r="D699" t="s">
        <v>2813</v>
      </c>
      <c r="E699" t="str" cm="1">
        <f t="array" ref="E699">IF(COUNTIF(A:A, "*" &amp; LEFT(D699, FIND(" ", D699 &amp; " ") - 1) &amp; "*") &gt; 0,INDEX(A:A,FuzzyVLookup(D699,A:A,0,,,2)),"Non-PDL")</f>
        <v>Non-PDL</v>
      </c>
      <c r="F699" t="str">
        <f t="shared" si="10"/>
        <v>Non-PDL</v>
      </c>
      <c r="G699" s="1" cm="1">
        <f t="array" ref="G699">FuzzyPercent(D699,E699,2)</f>
        <v>0</v>
      </c>
      <c r="H699" t="str" cm="1">
        <f t="array" ref="H699">IF(F699="Non-PDL","",IF(FuzzyPercent(D699,E699,2)&lt;0.4,"CHECK",""))</f>
        <v/>
      </c>
    </row>
    <row r="700" spans="1:8" x14ac:dyDescent="0.2">
      <c r="A700" t="s">
        <v>1381</v>
      </c>
      <c r="B700" t="s">
        <v>0</v>
      </c>
      <c r="D700" t="s">
        <v>2814</v>
      </c>
      <c r="E700" t="str" cm="1">
        <f t="array" ref="E700">IF(COUNTIF(A:A, "*" &amp; LEFT(D700, FIND(" ", D700 &amp; " ") - 1) &amp; "*") &gt; 0,INDEX(A:A,FuzzyVLookup(D700,A:A,0,,,2)),"Non-PDL")</f>
        <v>TECFIDERA (dimethyl fumarate)</v>
      </c>
      <c r="F700" t="str">
        <f t="shared" si="10"/>
        <v>Non-Preferred</v>
      </c>
      <c r="G700" s="1" cm="1">
        <f t="array" ref="G700">FuzzyPercent(D700,E700,2)</f>
        <v>0.62711864709854126</v>
      </c>
      <c r="H700" t="str" cm="1">
        <f t="array" ref="H700">IF(F700="Non-PDL","",IF(FuzzyPercent(D700,E700,2)&lt;0.4,"CHECK",""))</f>
        <v/>
      </c>
    </row>
    <row r="701" spans="1:8" x14ac:dyDescent="0.2">
      <c r="A701" t="s">
        <v>687</v>
      </c>
      <c r="B701" t="s">
        <v>0</v>
      </c>
      <c r="D701" t="s">
        <v>2815</v>
      </c>
      <c r="E701" t="str" cm="1">
        <f t="array" ref="E701">IF(COUNTIF(A:A, "*" &amp; LEFT(D701, FIND(" ", D701 &amp; " ") - 1) &amp; "*") &gt; 0,INDEX(A:A,FuzzyVLookup(D701,A:A,0,,,2)),"Non-PDL")</f>
        <v>telmisartan</v>
      </c>
      <c r="F701" t="str">
        <f t="shared" si="10"/>
        <v>Preferred</v>
      </c>
      <c r="G701" s="1" cm="1">
        <f t="array" ref="G701">FuzzyPercent(D701,E701,2)</f>
        <v>1</v>
      </c>
      <c r="H701" t="str" cm="1">
        <f t="array" ref="H701">IF(F701="Non-PDL","",IF(FuzzyPercent(D701,E701,2)&lt;0.4,"CHECK",""))</f>
        <v/>
      </c>
    </row>
    <row r="702" spans="1:8" x14ac:dyDescent="0.2">
      <c r="A702" t="s">
        <v>1384</v>
      </c>
      <c r="B702" t="s">
        <v>0</v>
      </c>
      <c r="D702" t="s">
        <v>2816</v>
      </c>
      <c r="E702" t="str" cm="1">
        <f t="array" ref="E702">IF(COUNTIF(A:A, "*" &amp; LEFT(D702, FIND(" ", D702 &amp; " ") - 1) &amp; "*") &gt; 0,INDEX(A:A,FuzzyVLookup(D702,A:A,0,,,2)),"Non-PDL")</f>
        <v>Non-PDL</v>
      </c>
      <c r="F702" t="str">
        <f t="shared" si="10"/>
        <v>Non-PDL</v>
      </c>
      <c r="G702" s="1" cm="1">
        <f t="array" ref="G702">FuzzyPercent(D702,E702,2)</f>
        <v>0</v>
      </c>
      <c r="H702" t="str" cm="1">
        <f t="array" ref="H702">IF(F702="Non-PDL","",IF(FuzzyPercent(D702,E702,2)&lt;0.4,"CHECK",""))</f>
        <v/>
      </c>
    </row>
    <row r="703" spans="1:8" x14ac:dyDescent="0.2">
      <c r="A703" t="s">
        <v>1386</v>
      </c>
      <c r="B703" t="s">
        <v>0</v>
      </c>
      <c r="D703" t="s">
        <v>2817</v>
      </c>
      <c r="E703" t="str" cm="1">
        <f t="array" ref="E703">IF(COUNTIF(A:A, "*" &amp; LEFT(D703, FIND(" ", D703 &amp; " ") - 1) &amp; "*") &gt; 0,INDEX(A:A,FuzzyVLookup(D703,A:A,0,,,2)),"Non-PDL")</f>
        <v>teriflunomide</v>
      </c>
      <c r="F703" t="str">
        <f t="shared" si="10"/>
        <v>Preferred</v>
      </c>
      <c r="G703" s="1" cm="1">
        <f t="array" ref="G703">FuzzyPercent(D703,E703,2)</f>
        <v>1</v>
      </c>
      <c r="H703" t="str" cm="1">
        <f t="array" ref="H703">IF(F703="Non-PDL","",IF(FuzzyPercent(D703,E703,2)&lt;0.4,"CHECK",""))</f>
        <v/>
      </c>
    </row>
    <row r="704" spans="1:8" x14ac:dyDescent="0.2">
      <c r="A704" t="s">
        <v>1388</v>
      </c>
      <c r="B704" t="s">
        <v>0</v>
      </c>
      <c r="D704" t="s">
        <v>2818</v>
      </c>
      <c r="E704" t="str" cm="1">
        <f t="array" ref="E704">IF(COUNTIF(A:A, "*" &amp; LEFT(D704, FIND(" ", D704 &amp; " ") - 1) &amp; "*") &gt; 0,INDEX(A:A,FuzzyVLookup(D704,A:A,0,,,2)),"Non-PDL")</f>
        <v>teriparatide</v>
      </c>
      <c r="F704" t="str">
        <f t="shared" si="10"/>
        <v>Non-Preferred</v>
      </c>
      <c r="G704" s="1" cm="1">
        <f t="array" ref="G704">FuzzyPercent(D704,E704,2)</f>
        <v>1</v>
      </c>
      <c r="H704" t="str" cm="1">
        <f t="array" ref="H704">IF(F704="Non-PDL","",IF(FuzzyPercent(D704,E704,2)&lt;0.4,"CHECK",""))</f>
        <v/>
      </c>
    </row>
    <row r="705" spans="1:8" x14ac:dyDescent="0.2">
      <c r="A705" t="s">
        <v>1390</v>
      </c>
      <c r="B705" t="s">
        <v>0</v>
      </c>
      <c r="D705" t="s">
        <v>2819</v>
      </c>
      <c r="E705" t="str" cm="1">
        <f t="array" ref="E705">IF(COUNTIF(A:A, "*" &amp; LEFT(D705, FIND(" ", D705 &amp; " ") - 1) &amp; "*") &gt; 0,INDEX(A:A,FuzzyVLookup(D705,A:A,0,,,2)),"Non-PDL")</f>
        <v>tetrabenazine</v>
      </c>
      <c r="F705" t="str">
        <f t="shared" si="10"/>
        <v>Preferred</v>
      </c>
      <c r="G705" s="1" cm="1">
        <f t="array" ref="G705">FuzzyPercent(D705,E705,2)</f>
        <v>1</v>
      </c>
      <c r="H705" t="str" cm="1">
        <f t="array" ref="H705">IF(F705="Non-PDL","",IF(FuzzyPercent(D705,E705,2)&lt;0.4,"CHECK",""))</f>
        <v/>
      </c>
    </row>
    <row r="706" spans="1:8" x14ac:dyDescent="0.2">
      <c r="A706" t="s">
        <v>1392</v>
      </c>
      <c r="B706" t="s">
        <v>0</v>
      </c>
      <c r="D706" t="s">
        <v>2820</v>
      </c>
      <c r="E706" t="str" cm="1">
        <f t="array" ref="E706">IF(COUNTIF(A:A, "*" &amp; LEFT(D706, FIND(" ", D706 &amp; " ") - 1) &amp; "*") &gt; 0,INDEX(A:A,FuzzyVLookup(D706,A:A,0,,,2)),"Non-PDL")</f>
        <v>TEZSPIRE (tezepelumab-ekko)</v>
      </c>
      <c r="F706" t="str">
        <f t="shared" si="10"/>
        <v>Non-Preferred</v>
      </c>
      <c r="G706" s="1" cm="1">
        <f t="array" ref="G706">FuzzyPercent(D706,E706,2)</f>
        <v>0.30000001192092896</v>
      </c>
      <c r="H706" t="str" cm="1">
        <f t="array" ref="H706">IF(F706="Non-PDL","",IF(FuzzyPercent(D706,E706,2)&lt;0.4,"CHECK",""))</f>
        <v>CHECK</v>
      </c>
    </row>
    <row r="707" spans="1:8" x14ac:dyDescent="0.2">
      <c r="A707" t="s">
        <v>1394</v>
      </c>
      <c r="B707" t="s">
        <v>0</v>
      </c>
      <c r="D707" t="s">
        <v>2821</v>
      </c>
      <c r="E707" t="str" cm="1">
        <f t="array" ref="E707">IF(COUNTIF(A:A, "*" &amp; LEFT(D707, FIND(" ", D707 &amp; " ") - 1) &amp; "*") &gt; 0,INDEX(A:A,FuzzyVLookup(D707,A:A,0,,,2)),"Non-PDL")</f>
        <v>Non-PDL</v>
      </c>
      <c r="F707" t="str">
        <f t="shared" ref="F707:F770" si="11">_xlfn.IFNA(_xlfn.XLOOKUP(E707,A:A,B:B),"Non-PDL")</f>
        <v>Non-PDL</v>
      </c>
      <c r="G707" s="1" cm="1">
        <f t="array" ref="G707">FuzzyPercent(D707,E707,2)</f>
        <v>0</v>
      </c>
      <c r="H707" t="str" cm="1">
        <f t="array" ref="H707">IF(F707="Non-PDL","",IF(FuzzyPercent(D707,E707,2)&lt;0.4,"CHECK",""))</f>
        <v/>
      </c>
    </row>
    <row r="708" spans="1:8" x14ac:dyDescent="0.2">
      <c r="A708" t="s">
        <v>1396</v>
      </c>
      <c r="B708" t="s">
        <v>0</v>
      </c>
      <c r="D708" t="s">
        <v>2822</v>
      </c>
      <c r="E708" t="str" cm="1">
        <f t="array" ref="E708">IF(COUNTIF(A:A, "*" &amp; LEFT(D708, FIND(" ", D708 &amp; " ") - 1) &amp; "*") &gt; 0,INDEX(A:A,FuzzyVLookup(D708,A:A,0,,,2)),"Non-PDL")</f>
        <v>Non-PDL</v>
      </c>
      <c r="F708" t="str">
        <f t="shared" si="11"/>
        <v>Non-PDL</v>
      </c>
      <c r="G708" s="1" cm="1">
        <f t="array" ref="G708">FuzzyPercent(D708,E708,2)</f>
        <v>0</v>
      </c>
      <c r="H708" t="str" cm="1">
        <f t="array" ref="H708">IF(F708="Non-PDL","",IF(FuzzyPercent(D708,E708,2)&lt;0.4,"CHECK",""))</f>
        <v/>
      </c>
    </row>
    <row r="709" spans="1:8" x14ac:dyDescent="0.2">
      <c r="A709" t="s">
        <v>1398</v>
      </c>
      <c r="B709" t="s">
        <v>0</v>
      </c>
      <c r="D709" t="s">
        <v>2823</v>
      </c>
      <c r="E709" t="str" cm="1">
        <f t="array" ref="E709">IF(COUNTIF(A:A, "*" &amp; LEFT(D709, FIND(" ", D709 &amp; " ") - 1) &amp; "*") &gt; 0,INDEX(A:A,FuzzyVLookup(D709,A:A,0,,,2)),"Non-PDL")</f>
        <v>Non-PDL</v>
      </c>
      <c r="F709" t="str">
        <f t="shared" si="11"/>
        <v>Non-PDL</v>
      </c>
      <c r="G709" s="1" cm="1">
        <f t="array" ref="G709">FuzzyPercent(D709,E709,2)</f>
        <v>0</v>
      </c>
      <c r="H709" t="str" cm="1">
        <f t="array" ref="H709">IF(F709="Non-PDL","",IF(FuzzyPercent(D709,E709,2)&lt;0.4,"CHECK",""))</f>
        <v/>
      </c>
    </row>
    <row r="710" spans="1:8" x14ac:dyDescent="0.2">
      <c r="A710" t="s">
        <v>1400</v>
      </c>
      <c r="B710" t="s">
        <v>0</v>
      </c>
      <c r="D710" t="s">
        <v>2824</v>
      </c>
      <c r="E710" t="str" cm="1">
        <f t="array" ref="E710">IF(COUNTIF(A:A, "*" &amp; LEFT(D710, FIND(" ", D710 &amp; " ") - 1) &amp; "*") &gt; 0,INDEX(A:A,FuzzyVLookup(D710,A:A,0,,,2)),"Non-PDL")</f>
        <v>TOBI PODHALER (tobramycin)</v>
      </c>
      <c r="F710" t="str">
        <f t="shared" si="11"/>
        <v>Non-Preferred</v>
      </c>
      <c r="G710" s="1" cm="1">
        <f t="array" ref="G710">FuzzyPercent(D710,E710,2)</f>
        <v>0.53932583332061768</v>
      </c>
      <c r="H710" t="str" cm="1">
        <f t="array" ref="H710">IF(F710="Non-PDL","",IF(FuzzyPercent(D710,E710,2)&lt;0.4,"CHECK",""))</f>
        <v/>
      </c>
    </row>
    <row r="711" spans="1:8" x14ac:dyDescent="0.2">
      <c r="A711" t="s">
        <v>1402</v>
      </c>
      <c r="B711" t="s">
        <v>0</v>
      </c>
      <c r="D711" t="s">
        <v>2825</v>
      </c>
      <c r="E711" t="str" cm="1">
        <f t="array" ref="E711">IF(COUNTIF(A:A, "*" &amp; LEFT(D711, FIND(" ", D711 &amp; " ") - 1) &amp; "*") &gt; 0,INDEX(A:A,FuzzyVLookup(D711,A:A,0,,,2)),"Non-PDL")</f>
        <v>OBIZUR</v>
      </c>
      <c r="F711" t="str">
        <f t="shared" si="11"/>
        <v>Non-Preferred</v>
      </c>
      <c r="G711" s="1" cm="1">
        <f t="array" ref="G711">FuzzyPercent(D711,E711,2)</f>
        <v>0.25</v>
      </c>
      <c r="H711" t="str" cm="1">
        <f t="array" ref="H711">IF(F711="Non-PDL","",IF(FuzzyPercent(D711,E711,2)&lt;0.4,"CHECK",""))</f>
        <v>CHECK</v>
      </c>
    </row>
    <row r="712" spans="1:8" x14ac:dyDescent="0.2">
      <c r="A712" t="s">
        <v>1404</v>
      </c>
      <c r="B712" t="s">
        <v>0</v>
      </c>
      <c r="D712" t="s">
        <v>2826</v>
      </c>
      <c r="E712" t="str" cm="1">
        <f t="array" ref="E712">IF(COUNTIF(A:A, "*" &amp; LEFT(D712, FIND(" ", D712 &amp; " ") - 1) &amp; "*") &gt; 0,INDEX(A:A,FuzzyVLookup(D712,A:A,0,,,2)),"Non-PDL")</f>
        <v>TOBRADEX ST (tobramycin/dexamethasone)</v>
      </c>
      <c r="F712" t="str">
        <f t="shared" si="11"/>
        <v>Non-Preferred</v>
      </c>
      <c r="G712" s="1" cm="1">
        <f t="array" ref="G712">FuzzyPercent(D712,E712,2)</f>
        <v>0.25757575035095215</v>
      </c>
      <c r="H712" t="str" cm="1">
        <f t="array" ref="H712">IF(F712="Non-PDL","",IF(FuzzyPercent(D712,E712,2)&lt;0.4,"CHECK",""))</f>
        <v>CHECK</v>
      </c>
    </row>
    <row r="713" spans="1:8" x14ac:dyDescent="0.2">
      <c r="A713" t="s">
        <v>1406</v>
      </c>
      <c r="B713" t="s">
        <v>0</v>
      </c>
      <c r="D713" t="s">
        <v>2827</v>
      </c>
      <c r="E713" t="str" cm="1">
        <f t="array" ref="E713">IF(COUNTIF(A:A, "*" &amp; LEFT(D713, FIND(" ", D713 &amp; " ") - 1) &amp; "*") &gt; 0,INDEX(A:A,FuzzyVLookup(D713,A:A,0,,,2)),"Non-PDL")</f>
        <v>tobramycin</v>
      </c>
      <c r="F713" t="str">
        <f t="shared" si="11"/>
        <v>Preferred</v>
      </c>
      <c r="G713" s="1" cm="1">
        <f t="array" ref="G713">FuzzyPercent(D713,E713,2)</f>
        <v>1</v>
      </c>
      <c r="H713" t="str" cm="1">
        <f t="array" ref="H713">IF(F713="Non-PDL","",IF(FuzzyPercent(D713,E713,2)&lt;0.4,"CHECK",""))</f>
        <v/>
      </c>
    </row>
    <row r="714" spans="1:8" x14ac:dyDescent="0.2">
      <c r="A714" t="s">
        <v>1408</v>
      </c>
      <c r="B714" t="s">
        <v>0</v>
      </c>
      <c r="D714" t="s">
        <v>2828</v>
      </c>
      <c r="E714" t="str" cm="1">
        <f t="array" ref="E714">IF(COUNTIF(A:A, "*" &amp; LEFT(D714, FIND(" ", D714 &amp; " ") - 1) &amp; "*") &gt; 0,INDEX(A:A,FuzzyVLookup(D714,A:A,0,,,2)),"Non-PDL")</f>
        <v>topiramate sprinkle</v>
      </c>
      <c r="F714" t="str">
        <f t="shared" si="11"/>
        <v>Preferred</v>
      </c>
      <c r="G714" s="1" cm="1">
        <f t="array" ref="G714">FuzzyPercent(D714,E714,2)</f>
        <v>0.36000001430511475</v>
      </c>
      <c r="H714" t="str" cm="1">
        <f t="array" ref="H714">IF(F714="Non-PDL","",IF(FuzzyPercent(D714,E714,2)&lt;0.4,"CHECK",""))</f>
        <v>CHECK</v>
      </c>
    </row>
    <row r="715" spans="1:8" x14ac:dyDescent="0.2">
      <c r="A715" t="s">
        <v>1410</v>
      </c>
      <c r="B715" t="s">
        <v>0</v>
      </c>
      <c r="D715" t="s">
        <v>2829</v>
      </c>
      <c r="E715" t="str" cm="1">
        <f t="array" ref="E715">IF(COUNTIF(A:A, "*" &amp; LEFT(D715, FIND(" ", D715 &amp; " ") - 1) &amp; "*") &gt; 0,INDEX(A:A,FuzzyVLookup(D715,A:A,0,,,2)),"Non-PDL")</f>
        <v>topiramate</v>
      </c>
      <c r="F715" t="str">
        <f t="shared" si="11"/>
        <v>Preferred</v>
      </c>
      <c r="G715" s="1" cm="1">
        <f t="array" ref="G715">FuzzyPercent(D715,E715,2)</f>
        <v>1</v>
      </c>
      <c r="H715" t="str" cm="1">
        <f t="array" ref="H715">IF(F715="Non-PDL","",IF(FuzzyPercent(D715,E715,2)&lt;0.4,"CHECK",""))</f>
        <v/>
      </c>
    </row>
    <row r="716" spans="1:8" x14ac:dyDescent="0.2">
      <c r="A716" t="s">
        <v>1412</v>
      </c>
      <c r="B716" t="s">
        <v>0</v>
      </c>
      <c r="D716" t="s">
        <v>2830</v>
      </c>
      <c r="E716" t="str" cm="1">
        <f t="array" ref="E716">IF(COUNTIF(A:A, "*" &amp; LEFT(D716, FIND(" ", D716 &amp; " ") - 1) &amp; "*") &gt; 0,INDEX(A:A,FuzzyVLookup(D716,A:A,0,,,2)),"Non-PDL")</f>
        <v>Non-PDL</v>
      </c>
      <c r="F716" t="str">
        <f t="shared" si="11"/>
        <v>Non-PDL</v>
      </c>
      <c r="G716" s="1" cm="1">
        <f t="array" ref="G716">FuzzyPercent(D716,E716,2)</f>
        <v>0</v>
      </c>
      <c r="H716" t="str" cm="1">
        <f t="array" ref="H716">IF(F716="Non-PDL","",IF(FuzzyPercent(D716,E716,2)&lt;0.4,"CHECK",""))</f>
        <v/>
      </c>
    </row>
    <row r="717" spans="1:8" x14ac:dyDescent="0.2">
      <c r="A717" t="s">
        <v>1414</v>
      </c>
      <c r="B717" t="s">
        <v>0</v>
      </c>
      <c r="D717" t="s">
        <v>2831</v>
      </c>
      <c r="E717" t="str" cm="1">
        <f t="array" ref="E717">IF(COUNTIF(A:A, "*" &amp; LEFT(D717, FIND(" ", D717 &amp; " ") - 1) &amp; "*") &gt; 0,INDEX(A:A,FuzzyVLookup(D717,A:A,0,,,2)),"Non-PDL")</f>
        <v>TOUJEO MAX (insulin glargine)</v>
      </c>
      <c r="F717" t="str">
        <f t="shared" si="11"/>
        <v>Preferred</v>
      </c>
      <c r="G717" s="1" cm="1">
        <f t="array" ref="G717">FuzzyPercent(D717,E717,2)</f>
        <v>0.32173913717269897</v>
      </c>
      <c r="H717" t="str" cm="1">
        <f t="array" ref="H717">IF(F717="Non-PDL","",IF(FuzzyPercent(D717,E717,2)&lt;0.4,"CHECK",""))</f>
        <v>CHECK</v>
      </c>
    </row>
    <row r="718" spans="1:8" x14ac:dyDescent="0.2">
      <c r="A718" t="s">
        <v>1416</v>
      </c>
      <c r="B718" t="s">
        <v>0</v>
      </c>
      <c r="D718" t="s">
        <v>2832</v>
      </c>
      <c r="E718" t="str" cm="1">
        <f t="array" ref="E718">IF(COUNTIF(A:A, "*" &amp; LEFT(D718, FIND(" ", D718 &amp; " ") - 1) &amp; "*") &gt; 0,INDEX(A:A,FuzzyVLookup(D718,A:A,0,,,2)),"Non-PDL")</f>
        <v>TOUJEO (insulin glargine)</v>
      </c>
      <c r="F718" t="str">
        <f t="shared" si="11"/>
        <v>Preferred</v>
      </c>
      <c r="G718" s="1" cm="1">
        <f t="array" ref="G718">FuzzyPercent(D718,E718,2)</f>
        <v>0.20652173459529877</v>
      </c>
      <c r="H718" t="str" cm="1">
        <f t="array" ref="H718">IF(F718="Non-PDL","",IF(FuzzyPercent(D718,E718,2)&lt;0.4,"CHECK",""))</f>
        <v>CHECK</v>
      </c>
    </row>
    <row r="719" spans="1:8" x14ac:dyDescent="0.2">
      <c r="A719" t="s">
        <v>1418</v>
      </c>
      <c r="B719" t="s">
        <v>0</v>
      </c>
      <c r="D719" t="s">
        <v>2833</v>
      </c>
      <c r="E719" t="str" cm="1">
        <f t="array" ref="E719">IF(COUNTIF(A:A, "*" &amp; LEFT(D719, FIND(" ", D719 &amp; " ") - 1) &amp; "*") &gt; 0,INDEX(A:A,FuzzyVLookup(D719,A:A,0,,,2)),"Non-PDL")</f>
        <v>TRACLEER (bosentan)</v>
      </c>
      <c r="F719" t="str">
        <f t="shared" si="11"/>
        <v>Non-Preferred</v>
      </c>
      <c r="G719" s="1" cm="1">
        <f t="array" ref="G719">FuzzyPercent(D719,E719,2)</f>
        <v>0.45283019542694092</v>
      </c>
      <c r="H719" t="str" cm="1">
        <f t="array" ref="H719">IF(F719="Non-PDL","",IF(FuzzyPercent(D719,E719,2)&lt;0.4,"CHECK",""))</f>
        <v/>
      </c>
    </row>
    <row r="720" spans="1:8" x14ac:dyDescent="0.2">
      <c r="A720" t="s">
        <v>1420</v>
      </c>
      <c r="B720" t="s">
        <v>0</v>
      </c>
      <c r="D720" t="s">
        <v>2834</v>
      </c>
      <c r="E720" t="str" cm="1">
        <f t="array" ref="E720">IF(COUNTIF(A:A, "*" &amp; LEFT(D720, FIND(" ", D720 &amp; " ") - 1) &amp; "*") &gt; 0,INDEX(A:A,FuzzyVLookup(D720,A:A,0,,,2)),"Non-PDL")</f>
        <v>doxycycline monohydrate suspension, tablet</v>
      </c>
      <c r="F720" t="str">
        <f t="shared" si="11"/>
        <v>Non-Preferred</v>
      </c>
      <c r="G720" s="1" cm="1">
        <f t="array" ref="G720">FuzzyPercent(D720,E720,2)</f>
        <v>0.20270270109176636</v>
      </c>
      <c r="H720" t="str" cm="1">
        <f t="array" ref="H720">IF(F720="Non-PDL","",IF(FuzzyPercent(D720,E720,2)&lt;0.4,"CHECK",""))</f>
        <v>CHECK</v>
      </c>
    </row>
    <row r="721" spans="1:8" x14ac:dyDescent="0.2">
      <c r="A721" t="s">
        <v>1422</v>
      </c>
      <c r="B721" t="s">
        <v>0</v>
      </c>
      <c r="D721" t="s">
        <v>2835</v>
      </c>
      <c r="E721" t="str" cm="1">
        <f t="array" ref="E721">IF(COUNTIF(A:A, "*" &amp; LEFT(D721, FIND(" ", D721 &amp; " ") - 1) &amp; "*") &gt; 0,INDEX(A:A,FuzzyVLookup(D721,A:A,0,,,2)),"Non-PDL")</f>
        <v>trandolapril</v>
      </c>
      <c r="F721" t="str">
        <f t="shared" si="11"/>
        <v>Preferred</v>
      </c>
      <c r="G721" s="1" cm="1">
        <f t="array" ref="G721">FuzzyPercent(D721,E721,2)</f>
        <v>1</v>
      </c>
      <c r="H721" t="str" cm="1">
        <f t="array" ref="H721">IF(F721="Non-PDL","",IF(FuzzyPercent(D721,E721,2)&lt;0.4,"CHECK",""))</f>
        <v/>
      </c>
    </row>
    <row r="722" spans="1:8" x14ac:dyDescent="0.2">
      <c r="A722" t="s">
        <v>1424</v>
      </c>
      <c r="B722" t="s">
        <v>0</v>
      </c>
      <c r="D722" t="s">
        <v>2836</v>
      </c>
      <c r="E722" t="str" cm="1">
        <f t="array" ref="E722">IF(COUNTIF(A:A, "*" &amp; LEFT(D722, FIND(" ", D722 &amp; " ") - 1) &amp; "*") &gt; 0,INDEX(A:A,FuzzyVLookup(D722,A:A,0,,,2)),"Non-PDL")</f>
        <v>TRELEGY ELLIPTA (fluticasone/umeclidinium/vilanterol)</v>
      </c>
      <c r="F722" t="str">
        <f t="shared" si="11"/>
        <v>Preferred</v>
      </c>
      <c r="G722" s="1" cm="1">
        <f t="array" ref="G722">FuzzyPercent(D722,E722,2)</f>
        <v>0.30612245202064514</v>
      </c>
      <c r="H722" t="str" cm="1">
        <f t="array" ref="H722">IF(F722="Non-PDL","",IF(FuzzyPercent(D722,E722,2)&lt;0.4,"CHECK",""))</f>
        <v>CHECK</v>
      </c>
    </row>
    <row r="723" spans="1:8" x14ac:dyDescent="0.2">
      <c r="A723" t="s">
        <v>1426</v>
      </c>
      <c r="B723" t="s">
        <v>0</v>
      </c>
      <c r="D723" t="s">
        <v>2837</v>
      </c>
      <c r="E723" t="str" cm="1">
        <f t="array" ref="E723">IF(COUNTIF(A:A, "*" &amp; LEFT(D723, FIND(" ", D723 &amp; " ") - 1) &amp; "*") &gt; 0,INDEX(A:A,FuzzyVLookup(D723,A:A,0,,,2)),"Non-PDL")</f>
        <v>TRESIBA (insulin degludec)</v>
      </c>
      <c r="F723" t="str">
        <f t="shared" si="11"/>
        <v>Non-Preferred</v>
      </c>
      <c r="G723" s="1" cm="1">
        <f t="array" ref="G723">FuzzyPercent(D723,E723,2)</f>
        <v>0.27272728085517883</v>
      </c>
      <c r="H723" t="str" cm="1">
        <f t="array" ref="H723">IF(F723="Non-PDL","",IF(FuzzyPercent(D723,E723,2)&lt;0.4,"CHECK",""))</f>
        <v>CHECK</v>
      </c>
    </row>
    <row r="724" spans="1:8" x14ac:dyDescent="0.2">
      <c r="A724" t="s">
        <v>1428</v>
      </c>
      <c r="B724" t="s">
        <v>0</v>
      </c>
      <c r="D724" t="s">
        <v>2838</v>
      </c>
      <c r="E724" t="str" cm="1">
        <f t="array" ref="E724">IF(COUNTIF(A:A, "*" &amp; LEFT(D724, FIND(" ", D724 &amp; " ") - 1) &amp; "*") &gt; 0,INDEX(A:A,FuzzyVLookup(D724,A:A,0,,,2)),"Non-PDL")</f>
        <v>TRESIBA (insulin degludec)</v>
      </c>
      <c r="F724" t="str">
        <f t="shared" si="11"/>
        <v>Non-Preferred</v>
      </c>
      <c r="G724" s="1" cm="1">
        <f t="array" ref="G724">FuzzyPercent(D724,E724,2)</f>
        <v>0.19200000166893005</v>
      </c>
      <c r="H724" t="str" cm="1">
        <f t="array" ref="H724">IF(F724="Non-PDL","",IF(FuzzyPercent(D724,E724,2)&lt;0.4,"CHECK",""))</f>
        <v>CHECK</v>
      </c>
    </row>
    <row r="725" spans="1:8" x14ac:dyDescent="0.2">
      <c r="A725" t="s">
        <v>1430</v>
      </c>
      <c r="B725" t="s">
        <v>0</v>
      </c>
      <c r="D725" t="s">
        <v>2839</v>
      </c>
      <c r="E725" t="str" cm="1">
        <f t="array" ref="E725">IF(COUNTIF(A:A, "*" &amp; LEFT(D725, FIND(" ", D725 &amp; " ") - 1) &amp; "*") &gt; 0,INDEX(A:A,FuzzyVLookup(D725,A:A,0,,,2)),"Non-PDL")</f>
        <v>TRESIBA (insulin degludec)</v>
      </c>
      <c r="F725" t="str">
        <f t="shared" si="11"/>
        <v>Non-Preferred</v>
      </c>
      <c r="G725" s="1" cm="1">
        <f t="array" ref="G725">FuzzyPercent(D725,E725,2)</f>
        <v>0.19200000166893005</v>
      </c>
      <c r="H725" t="str" cm="1">
        <f t="array" ref="H725">IF(F725="Non-PDL","",IF(FuzzyPercent(D725,E725,2)&lt;0.4,"CHECK",""))</f>
        <v>CHECK</v>
      </c>
    </row>
    <row r="726" spans="1:8" x14ac:dyDescent="0.2">
      <c r="A726" t="s">
        <v>1432</v>
      </c>
      <c r="B726" t="s">
        <v>0</v>
      </c>
      <c r="D726" t="s">
        <v>2840</v>
      </c>
      <c r="E726" t="str" cm="1">
        <f t="array" ref="E726">IF(COUNTIF(A:A, "*" &amp; LEFT(D726, FIND(" ", D726 &amp; " ") - 1) &amp; "*") &gt; 0,INDEX(A:A,FuzzyVLookup(D726,A:A,0,,,2)),"Non-PDL")</f>
        <v>TRETTEN (factor XIII)</v>
      </c>
      <c r="F726" t="str">
        <f t="shared" si="11"/>
        <v>Non-Preferred</v>
      </c>
      <c r="G726" s="1" cm="1">
        <f t="array" ref="G726">FuzzyPercent(D726,E726,2)</f>
        <v>0.31034481525421143</v>
      </c>
      <c r="H726" t="str" cm="1">
        <f t="array" ref="H726">IF(F726="Non-PDL","",IF(FuzzyPercent(D726,E726,2)&lt;0.4,"CHECK",""))</f>
        <v>CHECK</v>
      </c>
    </row>
    <row r="727" spans="1:8" x14ac:dyDescent="0.2">
      <c r="A727" t="s">
        <v>1434</v>
      </c>
      <c r="B727" t="s">
        <v>0</v>
      </c>
      <c r="D727" t="s">
        <v>2841</v>
      </c>
      <c r="E727" t="str" cm="1">
        <f t="array" ref="E727">IF(COUNTIF(A:A, "*" &amp; LEFT(D727, FIND(" ", D727 &amp; " ") - 1) &amp; "*") &gt; 0,INDEX(A:A,FuzzyVLookup(D727,A:A,0,,,2)),"Non-PDL")</f>
        <v>TRINTELLIX (vortioxetine)</v>
      </c>
      <c r="F727" t="str">
        <f t="shared" si="11"/>
        <v>Preferred</v>
      </c>
      <c r="G727" s="1" cm="1">
        <f t="array" ref="G727">FuzzyPercent(D727,E727,2)</f>
        <v>0.43037974834442139</v>
      </c>
      <c r="H727" t="str" cm="1">
        <f t="array" ref="H727">IF(F727="Non-PDL","",IF(FuzzyPercent(D727,E727,2)&lt;0.4,"CHECK",""))</f>
        <v/>
      </c>
    </row>
    <row r="728" spans="1:8" x14ac:dyDescent="0.2">
      <c r="A728" t="s">
        <v>1436</v>
      </c>
      <c r="B728" t="s">
        <v>0</v>
      </c>
      <c r="D728" t="s">
        <v>2842</v>
      </c>
      <c r="E728" t="str" cm="1">
        <f t="array" ref="E728">IF(COUNTIF(A:A, "*" &amp; LEFT(D728, FIND(" ", D728 &amp; " ") - 1) &amp; "*") &gt; 0,INDEX(A:A,FuzzyVLookup(D728,A:A,0,,,2)),"Non-PDL")</f>
        <v>Non-PDL</v>
      </c>
      <c r="F728" t="str">
        <f t="shared" si="11"/>
        <v>Non-PDL</v>
      </c>
      <c r="G728" s="1" cm="1">
        <f t="array" ref="G728">FuzzyPercent(D728,E728,2)</f>
        <v>0</v>
      </c>
      <c r="H728" t="str" cm="1">
        <f t="array" ref="H728">IF(F728="Non-PDL","",IF(FuzzyPercent(D728,E728,2)&lt;0.4,"CHECK",""))</f>
        <v/>
      </c>
    </row>
    <row r="729" spans="1:8" x14ac:dyDescent="0.2">
      <c r="A729" t="s">
        <v>1438</v>
      </c>
      <c r="B729" t="s">
        <v>0</v>
      </c>
      <c r="D729" t="s">
        <v>2843</v>
      </c>
      <c r="E729" t="str" cm="1">
        <f t="array" ref="E729">IF(COUNTIF(A:A, "*" &amp; LEFT(D729, FIND(" ", D729 &amp; " ") - 1) &amp; "*") &gt; 0,INDEX(A:A,FuzzyVLookup(D729,A:A,0,,,2)),"Non-PDL")</f>
        <v>TRICARE</v>
      </c>
      <c r="F729" t="str">
        <f t="shared" si="11"/>
        <v>Preferred</v>
      </c>
      <c r="G729" s="1" cm="1">
        <f t="array" ref="G729">FuzzyPercent(D729,E729,2)</f>
        <v>0.2222222238779068</v>
      </c>
      <c r="H729" t="str" cm="1">
        <f t="array" ref="H729">IF(F729="Non-PDL","",IF(FuzzyPercent(D729,E729,2)&lt;0.4,"CHECK",""))</f>
        <v>CHECK</v>
      </c>
    </row>
    <row r="730" spans="1:8" x14ac:dyDescent="0.2">
      <c r="A730" t="s">
        <v>1440</v>
      </c>
      <c r="B730" t="s">
        <v>0</v>
      </c>
      <c r="D730" t="s">
        <v>2844</v>
      </c>
      <c r="E730" t="str" cm="1">
        <f t="array" ref="E730">IF(COUNTIF(A:A, "*" &amp; LEFT(D730, FIND(" ", D730 &amp; " ") - 1) &amp; "*") &gt; 0,INDEX(A:A,FuzzyVLookup(D730,A:A,0,,,2)),"Non-PDL")</f>
        <v>Non-PDL</v>
      </c>
      <c r="F730" t="str">
        <f t="shared" si="11"/>
        <v>Non-PDL</v>
      </c>
      <c r="G730" s="1" cm="1">
        <f t="array" ref="G730">FuzzyPercent(D730,E730,2)</f>
        <v>0</v>
      </c>
      <c r="H730" t="str" cm="1">
        <f t="array" ref="H730">IF(F730="Non-PDL","",IF(FuzzyPercent(D730,E730,2)&lt;0.4,"CHECK",""))</f>
        <v/>
      </c>
    </row>
    <row r="731" spans="1:8" x14ac:dyDescent="0.2">
      <c r="A731" t="s">
        <v>1442</v>
      </c>
      <c r="B731" t="s">
        <v>0</v>
      </c>
      <c r="D731" t="s">
        <v>2845</v>
      </c>
      <c r="E731" t="str" cm="1">
        <f t="array" ref="E731">IF(COUNTIF(A:A, "*" &amp; LEFT(D731, FIND(" ", D731 &amp; " ") - 1) &amp; "*") &gt; 0,INDEX(A:A,FuzzyVLookup(D731,A:A,0,,,2)),"Non-PDL")</f>
        <v>TROKENDI XR (topiramate)</v>
      </c>
      <c r="F731" t="str">
        <f t="shared" si="11"/>
        <v>Non-Preferred</v>
      </c>
      <c r="G731" s="1" cm="1">
        <f t="array" ref="G731">FuzzyPercent(D731,E731,2)</f>
        <v>0.41071429848670959</v>
      </c>
      <c r="H731" t="str" cm="1">
        <f t="array" ref="H731">IF(F731="Non-PDL","",IF(FuzzyPercent(D731,E731,2)&lt;0.4,"CHECK",""))</f>
        <v/>
      </c>
    </row>
    <row r="732" spans="1:8" x14ac:dyDescent="0.2">
      <c r="A732" t="s">
        <v>1444</v>
      </c>
      <c r="B732" t="s">
        <v>0</v>
      </c>
      <c r="D732" t="s">
        <v>2846</v>
      </c>
      <c r="E732" t="str" cm="1">
        <f t="array" ref="E732">IF(COUNTIF(A:A, "*" &amp; LEFT(D732, FIND(" ", D732 &amp; " ") - 1) &amp; "*") &gt; 0,INDEX(A:A,FuzzyVLookup(D732,A:A,0,,,2)),"Non-PDL")</f>
        <v>Non-PDL</v>
      </c>
      <c r="F732" t="str">
        <f t="shared" si="11"/>
        <v>Non-PDL</v>
      </c>
      <c r="G732" s="1" cm="1">
        <f t="array" ref="G732">FuzzyPercent(D732,E732,2)</f>
        <v>0</v>
      </c>
      <c r="H732" t="str" cm="1">
        <f t="array" ref="H732">IF(F732="Non-PDL","",IF(FuzzyPercent(D732,E732,2)&lt;0.4,"CHECK",""))</f>
        <v/>
      </c>
    </row>
    <row r="733" spans="1:8" x14ac:dyDescent="0.2">
      <c r="A733" t="s">
        <v>1446</v>
      </c>
      <c r="B733" t="s">
        <v>0</v>
      </c>
      <c r="D733" t="s">
        <v>2847</v>
      </c>
      <c r="E733" t="str" cm="1">
        <f t="array" ref="E733">IF(COUNTIF(A:A, "*" &amp; LEFT(D733, FIND(" ", D733 &amp; " ") - 1) &amp; "*") &gt; 0,INDEX(A:A,FuzzyVLookup(D733,A:A,0,,,2)),"Non-PDL")</f>
        <v>TRULICITY (dulaglutide)</v>
      </c>
      <c r="F733" t="str">
        <f t="shared" si="11"/>
        <v>Preferred</v>
      </c>
      <c r="G733" s="1" cm="1">
        <f t="array" ref="G733">FuzzyPercent(D733,E733,2)</f>
        <v>0.41791045665740967</v>
      </c>
      <c r="H733" t="str" cm="1">
        <f t="array" ref="H733">IF(F733="Non-PDL","",IF(FuzzyPercent(D733,E733,2)&lt;0.4,"CHECK",""))</f>
        <v/>
      </c>
    </row>
    <row r="734" spans="1:8" x14ac:dyDescent="0.2">
      <c r="A734" t="s">
        <v>1448</v>
      </c>
      <c r="B734" t="s">
        <v>0</v>
      </c>
      <c r="D734" t="s">
        <v>2848</v>
      </c>
      <c r="E734" t="str" cm="1">
        <f t="array" ref="E734">IF(COUNTIF(A:A, "*" &amp; LEFT(D734, FIND(" ", D734 &amp; " ") - 1) &amp; "*") &gt; 0,INDEX(A:A,FuzzyVLookup(D734,A:A,0,,,2)),"Non-PDL")</f>
        <v>TRUQAP (capivasertib)</v>
      </c>
      <c r="F734" t="str">
        <f t="shared" si="11"/>
        <v>Non-Preferred</v>
      </c>
      <c r="G734" s="1" cm="1">
        <f t="array" ref="G734">FuzzyPercent(D734,E734,2)</f>
        <v>0.28070175647735596</v>
      </c>
      <c r="H734" t="str" cm="1">
        <f t="array" ref="H734">IF(F734="Non-PDL","",IF(FuzzyPercent(D734,E734,2)&lt;0.4,"CHECK",""))</f>
        <v>CHECK</v>
      </c>
    </row>
    <row r="735" spans="1:8" x14ac:dyDescent="0.2">
      <c r="A735" t="s">
        <v>1450</v>
      </c>
      <c r="B735" t="s">
        <v>0</v>
      </c>
      <c r="D735" t="s">
        <v>2849</v>
      </c>
      <c r="E735" t="str" cm="1">
        <f t="array" ref="E735">IF(COUNTIF(A:A, "*" &amp; LEFT(D735, FIND(" ", D735 &amp; " ") - 1) &amp; "*") &gt; 0,INDEX(A:A,FuzzyVLookup(D735,A:A,0,,,2)),"Non-PDL")</f>
        <v>CUVITRU</v>
      </c>
      <c r="F735" t="str">
        <f t="shared" si="11"/>
        <v>Non-Preferred</v>
      </c>
      <c r="G735" s="1" cm="1">
        <f t="array" ref="G735">FuzzyPercent(D735,E735,2)</f>
        <v>0.3333333432674408</v>
      </c>
      <c r="H735" t="str" cm="1">
        <f t="array" ref="H735">IF(F735="Non-PDL","",IF(FuzzyPercent(D735,E735,2)&lt;0.4,"CHECK",""))</f>
        <v>CHECK</v>
      </c>
    </row>
    <row r="736" spans="1:8" x14ac:dyDescent="0.2">
      <c r="A736" t="s">
        <v>1452</v>
      </c>
      <c r="B736" t="s">
        <v>0</v>
      </c>
      <c r="D736" t="s">
        <v>2850</v>
      </c>
      <c r="E736" t="str" cm="1">
        <f t="array" ref="E736">IF(COUNTIF(A:A, "*" &amp; LEFT(D736, FIND(" ", D736 &amp; " ") - 1) &amp; "*") &gt; 0,INDEX(A:A,FuzzyVLookup(D736,A:A,0,,,2)),"Non-PDL")</f>
        <v>Non-PDL</v>
      </c>
      <c r="F736" t="str">
        <f t="shared" si="11"/>
        <v>Non-PDL</v>
      </c>
      <c r="G736" s="1" cm="1">
        <f t="array" ref="G736">FuzzyPercent(D736,E736,2)</f>
        <v>0</v>
      </c>
      <c r="H736" t="str" cm="1">
        <f t="array" ref="H736">IF(F736="Non-PDL","",IF(FuzzyPercent(D736,E736,2)&lt;0.4,"CHECK",""))</f>
        <v/>
      </c>
    </row>
    <row r="737" spans="1:8" x14ac:dyDescent="0.2">
      <c r="A737" t="s">
        <v>1454</v>
      </c>
      <c r="B737" t="s">
        <v>0</v>
      </c>
      <c r="D737" t="s">
        <v>2851</v>
      </c>
      <c r="E737" t="str" cm="1">
        <f t="array" ref="E737">IF(COUNTIF(A:A, "*" &amp; LEFT(D737, FIND(" ", D737 &amp; " ") - 1) &amp; "*") &gt; 0,INDEX(A:A,FuzzyVLookup(D737,A:A,0,,,2)),"Non-PDL")</f>
        <v>valacyclovir</v>
      </c>
      <c r="F737" t="str">
        <f t="shared" si="11"/>
        <v>Preferred</v>
      </c>
      <c r="G737" s="1" cm="1">
        <f t="array" ref="G737">FuzzyPercent(D737,E737,2)</f>
        <v>0.12903225421905518</v>
      </c>
      <c r="H737" t="str" cm="1">
        <f t="array" ref="H737">IF(F737="Non-PDL","",IF(FuzzyPercent(D737,E737,2)&lt;0.4,"CHECK",""))</f>
        <v>CHECK</v>
      </c>
    </row>
    <row r="738" spans="1:8" x14ac:dyDescent="0.2">
      <c r="A738" t="s">
        <v>1456</v>
      </c>
      <c r="B738" t="s">
        <v>0</v>
      </c>
      <c r="D738" t="s">
        <v>2852</v>
      </c>
      <c r="E738" t="str" cm="1">
        <f t="array" ref="E738">IF(COUNTIF(A:A, "*" &amp; LEFT(D738, FIND(" ", D738 &amp; " ") - 1) &amp; "*") &gt; 0,INDEX(A:A,FuzzyVLookup(D738,A:A,0,,,2)),"Non-PDL")</f>
        <v>Non-PDL</v>
      </c>
      <c r="F738" t="str">
        <f t="shared" si="11"/>
        <v>Non-PDL</v>
      </c>
      <c r="G738" s="1" cm="1">
        <f t="array" ref="G738">FuzzyPercent(D738,E738,2)</f>
        <v>0</v>
      </c>
      <c r="H738" t="str" cm="1">
        <f t="array" ref="H738">IF(F738="Non-PDL","",IF(FuzzyPercent(D738,E738,2)&lt;0.4,"CHECK",""))</f>
        <v/>
      </c>
    </row>
    <row r="739" spans="1:8" x14ac:dyDescent="0.2">
      <c r="A739" t="s">
        <v>1458</v>
      </c>
      <c r="B739" t="s">
        <v>0</v>
      </c>
      <c r="D739" t="s">
        <v>2853</v>
      </c>
      <c r="E739" t="str" cm="1">
        <f t="array" ref="E739">IF(COUNTIF(A:A, "*" &amp; LEFT(D739, FIND(" ", D739 &amp; " ") - 1) &amp; "*") &gt; 0,INDEX(A:A,FuzzyVLookup(D739,A:A,0,,,2)),"Non-PDL")</f>
        <v>TYBOST (cobicistat)</v>
      </c>
      <c r="F739" t="str">
        <f t="shared" si="11"/>
        <v>Preferred</v>
      </c>
      <c r="G739" s="1" cm="1">
        <f t="array" ref="G739">FuzzyPercent(D739,E739,2)</f>
        <v>0.32653060555458069</v>
      </c>
      <c r="H739" t="str" cm="1">
        <f t="array" ref="H739">IF(F739="Non-PDL","",IF(FuzzyPercent(D739,E739,2)&lt;0.4,"CHECK",""))</f>
        <v>CHECK</v>
      </c>
    </row>
    <row r="740" spans="1:8" x14ac:dyDescent="0.2">
      <c r="A740" t="s">
        <v>1460</v>
      </c>
      <c r="B740" t="s">
        <v>0</v>
      </c>
      <c r="D740" t="s">
        <v>2854</v>
      </c>
      <c r="E740" t="str" cm="1">
        <f t="array" ref="E740">IF(COUNTIF(A:A, "*" &amp; LEFT(D740, FIND(" ", D740 &amp; " ") - 1) &amp; "*") &gt; 0,INDEX(A:A,FuzzyVLookup(D740,A:A,0,,,2)),"Non-PDL")</f>
        <v>TYSABRI (natalizumab)</v>
      </c>
      <c r="F740" t="str">
        <f t="shared" si="11"/>
        <v>Preferred</v>
      </c>
      <c r="G740" s="1" cm="1">
        <f t="array" ref="G740">FuzzyPercent(D740,E740,2)</f>
        <v>0.31034481525421143</v>
      </c>
      <c r="H740" t="str" cm="1">
        <f t="array" ref="H740">IF(F740="Non-PDL","",IF(FuzzyPercent(D740,E740,2)&lt;0.4,"CHECK",""))</f>
        <v>CHECK</v>
      </c>
    </row>
    <row r="741" spans="1:8" x14ac:dyDescent="0.2">
      <c r="A741" t="s">
        <v>1462</v>
      </c>
      <c r="B741" t="s">
        <v>0</v>
      </c>
      <c r="D741" t="s">
        <v>2855</v>
      </c>
      <c r="E741" t="str" cm="1">
        <f t="array" ref="E741">IF(COUNTIF(A:A, "*" &amp; LEFT(D741, FIND(" ", D741 &amp; " ") - 1) &amp; "*") &gt; 0,INDEX(A:A,FuzzyVLookup(D741,A:A,0,,,2)),"Non-PDL")</f>
        <v>valsartan solution</v>
      </c>
      <c r="F741" t="str">
        <f t="shared" si="11"/>
        <v>Non-Preferred</v>
      </c>
      <c r="G741" s="1" cm="1">
        <f t="array" ref="G741">FuzzyPercent(D741,E741,2)</f>
        <v>0.18461538851261139</v>
      </c>
      <c r="H741" t="str" cm="1">
        <f t="array" ref="H741">IF(F741="Non-PDL","",IF(FuzzyPercent(D741,E741,2)&lt;0.4,"CHECK",""))</f>
        <v>CHECK</v>
      </c>
    </row>
    <row r="742" spans="1:8" x14ac:dyDescent="0.2">
      <c r="A742" t="s">
        <v>1464</v>
      </c>
      <c r="B742" t="s">
        <v>0</v>
      </c>
      <c r="D742" t="s">
        <v>2856</v>
      </c>
      <c r="E742" t="str" cm="1">
        <f t="array" ref="E742">IF(COUNTIF(A:A, "*" &amp; LEFT(D742, FIND(" ", D742 &amp; " ") - 1) &amp; "*") &gt; 0,INDEX(A:A,FuzzyVLookup(D742,A:A,0,,,2)),"Non-PDL")</f>
        <v>TYVASO (treprostinil)</v>
      </c>
      <c r="F742" t="str">
        <f t="shared" si="11"/>
        <v>Non-Preferred</v>
      </c>
      <c r="G742" s="1" cm="1">
        <f t="array" ref="G742">FuzzyPercent(D742,E742,2)</f>
        <v>0.27272728085517883</v>
      </c>
      <c r="H742" t="str" cm="1">
        <f t="array" ref="H742">IF(F742="Non-PDL","",IF(FuzzyPercent(D742,E742,2)&lt;0.4,"CHECK",""))</f>
        <v>CHECK</v>
      </c>
    </row>
    <row r="743" spans="1:8" x14ac:dyDescent="0.2">
      <c r="A743" t="s">
        <v>1466</v>
      </c>
      <c r="B743" t="s">
        <v>0</v>
      </c>
      <c r="D743" t="s">
        <v>2857</v>
      </c>
      <c r="E743" t="str" cm="1">
        <f t="array" ref="E743">IF(COUNTIF(A:A, "*" &amp; LEFT(D743, FIND(" ", D743 &amp; " ") - 1) &amp; "*") &gt; 0,INDEX(A:A,FuzzyVLookup(D743,A:A,0,,,2)),"Non-PDL")</f>
        <v>Non-PDL</v>
      </c>
      <c r="F743" t="str">
        <f t="shared" si="11"/>
        <v>Non-PDL</v>
      </c>
      <c r="G743" s="1" cm="1">
        <f t="array" ref="G743">FuzzyPercent(D743,E743,2)</f>
        <v>0</v>
      </c>
      <c r="H743" t="str" cm="1">
        <f t="array" ref="H743">IF(F743="Non-PDL","",IF(FuzzyPercent(D743,E743,2)&lt;0.4,"CHECK",""))</f>
        <v/>
      </c>
    </row>
    <row r="744" spans="1:8" x14ac:dyDescent="0.2">
      <c r="A744" t="s">
        <v>1468</v>
      </c>
      <c r="B744" t="s">
        <v>0</v>
      </c>
      <c r="D744" t="s">
        <v>2858</v>
      </c>
      <c r="E744" t="str" cm="1">
        <f t="array" ref="E744">IF(COUNTIF(A:A, "*" &amp; LEFT(D744, FIND(" ", D744 &amp; " ") - 1) &amp; "*") &gt; 0,INDEX(A:A,FuzzyVLookup(D744,A:A,0,,,2)),"Non-PDL")</f>
        <v>UBRELVY (Ubrogepant)</v>
      </c>
      <c r="F744" t="str">
        <f t="shared" si="11"/>
        <v>Preferred</v>
      </c>
      <c r="G744" s="1" cm="1">
        <f t="array" ref="G744">FuzzyPercent(D744,E744,2)</f>
        <v>0.32727271318435669</v>
      </c>
      <c r="H744" t="str" cm="1">
        <f t="array" ref="H744">IF(F744="Non-PDL","",IF(FuzzyPercent(D744,E744,2)&lt;0.4,"CHECK",""))</f>
        <v>CHECK</v>
      </c>
    </row>
    <row r="745" spans="1:8" x14ac:dyDescent="0.2">
      <c r="A745" t="s">
        <v>1470</v>
      </c>
      <c r="B745" t="s">
        <v>0</v>
      </c>
      <c r="D745" t="s">
        <v>2859</v>
      </c>
      <c r="E745" t="str" cm="1">
        <f t="array" ref="E745">IF(COUNTIF(A:A, "*" &amp; LEFT(D745, FIND(" ", D745 &amp; " ") - 1) &amp; "*") &gt; 0,INDEX(A:A,FuzzyVLookup(D745,A:A,0,,,2)),"Non-PDL")</f>
        <v>UDENYCA, UDENYCA ONBODY (pegfilgrastim-cbqv)</v>
      </c>
      <c r="F745" t="str">
        <f t="shared" si="11"/>
        <v>Non-Preferred</v>
      </c>
      <c r="G745" s="1" cm="1">
        <f t="array" ref="G745">FuzzyPercent(D745,E745,2)</f>
        <v>0.12765957415103912</v>
      </c>
      <c r="H745" t="str" cm="1">
        <f t="array" ref="H745">IF(F745="Non-PDL","",IF(FuzzyPercent(D745,E745,2)&lt;0.4,"CHECK",""))</f>
        <v>CHECK</v>
      </c>
    </row>
    <row r="746" spans="1:8" x14ac:dyDescent="0.2">
      <c r="A746" t="s">
        <v>1472</v>
      </c>
      <c r="B746" t="s">
        <v>0</v>
      </c>
      <c r="D746" t="s">
        <v>2860</v>
      </c>
      <c r="E746" t="str" cm="1">
        <f t="array" ref="E746">IF(COUNTIF(A:A, "*" &amp; LEFT(D746, FIND(" ", D746 &amp; " ") - 1) &amp; "*") &gt; 0,INDEX(A:A,FuzzyVLookup(D746,A:A,0,,,2)),"Non-PDL")</f>
        <v>Non-PDL</v>
      </c>
      <c r="F746" t="str">
        <f t="shared" si="11"/>
        <v>Non-PDL</v>
      </c>
      <c r="G746" s="1" cm="1">
        <f t="array" ref="G746">FuzzyPercent(D746,E746,2)</f>
        <v>0</v>
      </c>
      <c r="H746" t="str" cm="1">
        <f t="array" ref="H746">IF(F746="Non-PDL","",IF(FuzzyPercent(D746,E746,2)&lt;0.4,"CHECK",""))</f>
        <v/>
      </c>
    </row>
    <row r="747" spans="1:8" x14ac:dyDescent="0.2">
      <c r="A747" t="s">
        <v>1474</v>
      </c>
      <c r="B747" t="s">
        <v>0</v>
      </c>
      <c r="D747" t="s">
        <v>2861</v>
      </c>
      <c r="E747" t="str" cm="1">
        <f t="array" ref="E747">IF(COUNTIF(A:A, "*" &amp; LEFT(D747, FIND(" ", D747 &amp; " ") - 1) &amp; "*") &gt; 0,INDEX(A:A,FuzzyVLookup(D747,A:A,0,,,2)),"Non-PDL")</f>
        <v>Non-PDL</v>
      </c>
      <c r="F747" t="str">
        <f t="shared" si="11"/>
        <v>Non-PDL</v>
      </c>
      <c r="G747" s="1" cm="1">
        <f t="array" ref="G747">FuzzyPercent(D747,E747,2)</f>
        <v>0</v>
      </c>
      <c r="H747" t="str" cm="1">
        <f t="array" ref="H747">IF(F747="Non-PDL","",IF(FuzzyPercent(D747,E747,2)&lt;0.4,"CHECK",""))</f>
        <v/>
      </c>
    </row>
    <row r="748" spans="1:8" x14ac:dyDescent="0.2">
      <c r="A748" t="s">
        <v>1476</v>
      </c>
      <c r="B748" t="s">
        <v>0</v>
      </c>
      <c r="D748" t="s">
        <v>2862</v>
      </c>
      <c r="E748" t="str" cm="1">
        <f t="array" ref="E748">IF(COUNTIF(A:A, "*" &amp; LEFT(D748, FIND(" ", D748 &amp; " ") - 1) &amp; "*") &gt; 0,INDEX(A:A,FuzzyVLookup(D748,A:A,0,,,2)),"Non-PDL")</f>
        <v>UPTRAVI (selexipag)</v>
      </c>
      <c r="F748" t="str">
        <f t="shared" si="11"/>
        <v>Preferred</v>
      </c>
      <c r="G748" s="1" cm="1">
        <f t="array" ref="G748">FuzzyPercent(D748,E748,2)</f>
        <v>0.35294118523597717</v>
      </c>
      <c r="H748" t="str" cm="1">
        <f t="array" ref="H748">IF(F748="Non-PDL","",IF(FuzzyPercent(D748,E748,2)&lt;0.4,"CHECK",""))</f>
        <v>CHECK</v>
      </c>
    </row>
    <row r="749" spans="1:8" x14ac:dyDescent="0.2">
      <c r="A749" t="s">
        <v>1478</v>
      </c>
      <c r="B749" t="s">
        <v>0</v>
      </c>
      <c r="D749" t="s">
        <v>2863</v>
      </c>
      <c r="E749" t="str" cm="1">
        <f t="array" ref="E749">IF(COUNTIF(A:A, "*" &amp; LEFT(D749, FIND(" ", D749 &amp; " ") - 1) &amp; "*") &gt; 0,INDEX(A:A,FuzzyVLookup(D749,A:A,0,,,2)),"Non-PDL")</f>
        <v>UPTRAVI (selexipag)</v>
      </c>
      <c r="F749" t="str">
        <f t="shared" si="11"/>
        <v>Preferred</v>
      </c>
      <c r="G749" s="1" cm="1">
        <f t="array" ref="G749">FuzzyPercent(D749,E749,2)</f>
        <v>0.375</v>
      </c>
      <c r="H749" t="str" cm="1">
        <f t="array" ref="H749">IF(F749="Non-PDL","",IF(FuzzyPercent(D749,E749,2)&lt;0.4,"CHECK",""))</f>
        <v>CHECK</v>
      </c>
    </row>
    <row r="750" spans="1:8" x14ac:dyDescent="0.2">
      <c r="A750" t="s">
        <v>1480</v>
      </c>
      <c r="B750" t="s">
        <v>0</v>
      </c>
      <c r="D750" t="s">
        <v>2864</v>
      </c>
      <c r="E750" t="str" cm="1">
        <f t="array" ref="E750">IF(COUNTIF(A:A, "*" &amp; LEFT(D750, FIND(" ", D750 &amp; " ") - 1) &amp; "*") &gt; 0,INDEX(A:A,FuzzyVLookup(D750,A:A,0,,,2)),"Non-PDL")</f>
        <v>UZEDY (risperidone)</v>
      </c>
      <c r="F750" t="str">
        <f t="shared" si="11"/>
        <v>Preferred</v>
      </c>
      <c r="G750" s="1" cm="1">
        <f t="array" ref="G750">FuzzyPercent(D750,E750,2)</f>
        <v>0.21739129722118378</v>
      </c>
      <c r="H750" t="str" cm="1">
        <f t="array" ref="H750">IF(F750="Non-PDL","",IF(FuzzyPercent(D750,E750,2)&lt;0.4,"CHECK",""))</f>
        <v>CHECK</v>
      </c>
    </row>
    <row r="751" spans="1:8" x14ac:dyDescent="0.2">
      <c r="A751" t="s">
        <v>1482</v>
      </c>
      <c r="B751" t="s">
        <v>0</v>
      </c>
      <c r="D751" t="s">
        <v>2865</v>
      </c>
      <c r="E751" t="str" cm="1">
        <f t="array" ref="E751">IF(COUNTIF(A:A, "*" &amp; LEFT(D751, FIND(" ", D751 &amp; " ") - 1) &amp; "*") &gt; 0,INDEX(A:A,FuzzyVLookup(D751,A:A,0,,,2)),"Non-PDL")</f>
        <v>Non-PDL</v>
      </c>
      <c r="F751" t="str">
        <f t="shared" si="11"/>
        <v>Non-PDL</v>
      </c>
      <c r="G751" s="1" cm="1">
        <f t="array" ref="G751">FuzzyPercent(D751,E751,2)</f>
        <v>0</v>
      </c>
      <c r="H751" t="str" cm="1">
        <f t="array" ref="H751">IF(F751="Non-PDL","",IF(FuzzyPercent(D751,E751,2)&lt;0.4,"CHECK",""))</f>
        <v/>
      </c>
    </row>
    <row r="752" spans="1:8" x14ac:dyDescent="0.2">
      <c r="A752" t="s">
        <v>1484</v>
      </c>
      <c r="B752" t="s">
        <v>0</v>
      </c>
      <c r="D752" t="s">
        <v>2866</v>
      </c>
      <c r="E752" t="str" cm="1">
        <f t="array" ref="E752">IF(COUNTIF(A:A, "*" &amp; LEFT(D752, FIND(" ", D752 &amp; " ") - 1) &amp; "*") &gt; 0,INDEX(A:A,FuzzyVLookup(D752,A:A,0,,,2)),"Non-PDL")</f>
        <v>valsartan tablet</v>
      </c>
      <c r="F752" t="str">
        <f t="shared" si="11"/>
        <v>Preferred</v>
      </c>
      <c r="G752" s="1" cm="1">
        <f t="array" ref="G752">FuzzyPercent(D752,E752,2)</f>
        <v>0.58333331346511841</v>
      </c>
      <c r="H752" t="str" cm="1">
        <f t="array" ref="H752">IF(F752="Non-PDL","",IF(FuzzyPercent(D752,E752,2)&lt;0.4,"CHECK",""))</f>
        <v/>
      </c>
    </row>
    <row r="753" spans="1:8" x14ac:dyDescent="0.2">
      <c r="A753" t="s">
        <v>1486</v>
      </c>
      <c r="B753" t="s">
        <v>0</v>
      </c>
      <c r="D753" t="s">
        <v>2867</v>
      </c>
      <c r="E753" t="str" cm="1">
        <f t="array" ref="E753">IF(COUNTIF(A:A, "*" &amp; LEFT(D753, FIND(" ", D753 &amp; " ") - 1) &amp; "*") &gt; 0,INDEX(A:A,FuzzyVLookup(D753,A:A,0,,,2)),"Non-PDL")</f>
        <v>Non-PDL</v>
      </c>
      <c r="F753" t="str">
        <f t="shared" si="11"/>
        <v>Non-PDL</v>
      </c>
      <c r="G753" s="1" cm="1">
        <f t="array" ref="G753">FuzzyPercent(D753,E753,2)</f>
        <v>0</v>
      </c>
      <c r="H753" t="str" cm="1">
        <f t="array" ref="H753">IF(F753="Non-PDL","",IF(FuzzyPercent(D753,E753,2)&lt;0.4,"CHECK",""))</f>
        <v/>
      </c>
    </row>
    <row r="754" spans="1:8" x14ac:dyDescent="0.2">
      <c r="A754" t="s">
        <v>1313</v>
      </c>
      <c r="B754" t="s">
        <v>0</v>
      </c>
      <c r="D754" t="s">
        <v>2868</v>
      </c>
      <c r="E754" t="str" cm="1">
        <f t="array" ref="E754">IF(COUNTIF(A:A, "*" &amp; LEFT(D754, FIND(" ", D754 &amp; " ") - 1) &amp; "*") &gt; 0,INDEX(A:A,FuzzyVLookup(D754,A:A,0,,,2)),"Non-PDL")</f>
        <v>Non-PDL</v>
      </c>
      <c r="F754" t="str">
        <f t="shared" si="11"/>
        <v>Non-PDL</v>
      </c>
      <c r="G754" s="1" cm="1">
        <f t="array" ref="G754">FuzzyPercent(D754,E754,2)</f>
        <v>0</v>
      </c>
      <c r="H754" t="str" cm="1">
        <f t="array" ref="H754">IF(F754="Non-PDL","",IF(FuzzyPercent(D754,E754,2)&lt;0.4,"CHECK",""))</f>
        <v/>
      </c>
    </row>
    <row r="755" spans="1:8" x14ac:dyDescent="0.2">
      <c r="A755" t="s">
        <v>1489</v>
      </c>
      <c r="B755" t="s">
        <v>0</v>
      </c>
      <c r="D755" t="s">
        <v>2869</v>
      </c>
      <c r="E755" t="str" cm="1">
        <f t="array" ref="E755">IF(COUNTIF(A:A, "*" &amp; LEFT(D755, FIND(" ", D755 &amp; " ") - 1) &amp; "*") &gt; 0,INDEX(A:A,FuzzyVLookup(D755,A:A,0,,,2)),"Non-PDL")</f>
        <v>VANFLYTA (quizartinib)</v>
      </c>
      <c r="F755" t="str">
        <f t="shared" si="11"/>
        <v>Non-Preferred</v>
      </c>
      <c r="G755" s="1" cm="1">
        <f t="array" ref="G755">FuzzyPercent(D755,E755,2)</f>
        <v>0.375</v>
      </c>
      <c r="H755" t="str" cm="1">
        <f t="array" ref="H755">IF(F755="Non-PDL","",IF(FuzzyPercent(D755,E755,2)&lt;0.4,"CHECK",""))</f>
        <v>CHECK</v>
      </c>
    </row>
    <row r="756" spans="1:8" x14ac:dyDescent="0.2">
      <c r="A756" t="s">
        <v>1491</v>
      </c>
      <c r="B756" t="s">
        <v>0</v>
      </c>
      <c r="D756" t="s">
        <v>2870</v>
      </c>
      <c r="E756" t="str" cm="1">
        <f t="array" ref="E756">IF(COUNTIF(A:A, "*" &amp; LEFT(D756, FIND(" ", D756 &amp; " ") - 1) &amp; "*") &gt; 0,INDEX(A:A,FuzzyVLookup(D756,A:A,0,,,2)),"Non-PDL")</f>
        <v>Non-PDL</v>
      </c>
      <c r="F756" t="str">
        <f t="shared" si="11"/>
        <v>Non-PDL</v>
      </c>
      <c r="G756" s="1" cm="1">
        <f t="array" ref="G756">FuzzyPercent(D756,E756,2)</f>
        <v>0</v>
      </c>
      <c r="H756" t="str" cm="1">
        <f t="array" ref="H756">IF(F756="Non-PDL","",IF(FuzzyPercent(D756,E756,2)&lt;0.4,"CHECK",""))</f>
        <v/>
      </c>
    </row>
    <row r="757" spans="1:8" x14ac:dyDescent="0.2">
      <c r="A757" t="s">
        <v>1493</v>
      </c>
      <c r="B757" t="s">
        <v>0</v>
      </c>
      <c r="D757" t="s">
        <v>2871</v>
      </c>
      <c r="E757" t="str" cm="1">
        <f t="array" ref="E757">IF(COUNTIF(A:A, "*" &amp; LEFT(D757, FIND(" ", D757 &amp; " ") - 1) &amp; "*") &gt; 0,INDEX(A:A,FuzzyVLookup(D757,A:A,0,,,2)),"Non-PDL")</f>
        <v>VELSIPITY (etrasimod)</v>
      </c>
      <c r="F757" t="str">
        <f t="shared" si="11"/>
        <v>Non-Preferred</v>
      </c>
      <c r="G757" s="1" cm="1">
        <f t="array" ref="G757">FuzzyPercent(D757,E757,2)</f>
        <v>0.67123287916183472</v>
      </c>
      <c r="H757" t="str" cm="1">
        <f t="array" ref="H757">IF(F757="Non-PDL","",IF(FuzzyPercent(D757,E757,2)&lt;0.4,"CHECK",""))</f>
        <v/>
      </c>
    </row>
    <row r="758" spans="1:8" x14ac:dyDescent="0.2">
      <c r="A758" t="s">
        <v>1495</v>
      </c>
      <c r="B758" t="s">
        <v>0</v>
      </c>
      <c r="D758" t="s">
        <v>2872</v>
      </c>
      <c r="E758" t="str" cm="1">
        <f t="array" ref="E758">IF(COUNTIF(A:A, "*" &amp; LEFT(D758, FIND(" ", D758 &amp; " ") - 1) &amp; "*") &gt; 0,INDEX(A:A,FuzzyVLookup(D758,A:A,0,,,2)),"Non-PDL")</f>
        <v>VELTASSA (patiromer calcium sorbitex)</v>
      </c>
      <c r="F758" t="str">
        <f t="shared" si="11"/>
        <v>Preferred</v>
      </c>
      <c r="G758" s="1" cm="1">
        <f t="array" ref="G758">FuzzyPercent(D758,E758,2)</f>
        <v>0.20512820780277252</v>
      </c>
      <c r="H758" t="str" cm="1">
        <f t="array" ref="H758">IF(F758="Non-PDL","",IF(FuzzyPercent(D758,E758,2)&lt;0.4,"CHECK",""))</f>
        <v>CHECK</v>
      </c>
    </row>
    <row r="759" spans="1:8" x14ac:dyDescent="0.2">
      <c r="A759" t="s">
        <v>1497</v>
      </c>
      <c r="B759" t="s">
        <v>0</v>
      </c>
      <c r="D759" t="s">
        <v>2873</v>
      </c>
      <c r="E759" t="str" cm="1">
        <f t="array" ref="E759">IF(COUNTIF(A:A, "*" &amp; LEFT(D759, FIND(" ", D759 &amp; " ") - 1) &amp; "*") &gt; 0,INDEX(A:A,FuzzyVLookup(D759,A:A,0,,,2)),"Non-PDL")</f>
        <v>VEMLIDY (tenofovir alafenamide)</v>
      </c>
      <c r="F759" t="str">
        <f t="shared" si="11"/>
        <v>Non-Preferred</v>
      </c>
      <c r="G759" s="1" cm="1">
        <f t="array" ref="G759">FuzzyPercent(D759,E759,2)</f>
        <v>0.19780220091342926</v>
      </c>
      <c r="H759" t="str" cm="1">
        <f t="array" ref="H759">IF(F759="Non-PDL","",IF(FuzzyPercent(D759,E759,2)&lt;0.4,"CHECK",""))</f>
        <v>CHECK</v>
      </c>
    </row>
    <row r="760" spans="1:8" x14ac:dyDescent="0.2">
      <c r="A760" t="s">
        <v>1499</v>
      </c>
      <c r="B760" t="s">
        <v>0</v>
      </c>
      <c r="D760" t="s">
        <v>2874</v>
      </c>
      <c r="E760" t="str" cm="1">
        <f t="array" ref="E760">IF(COUNTIF(A:A, "*" &amp; LEFT(D760, FIND(" ", D760 &amp; " ") - 1) &amp; "*") &gt; 0,INDEX(A:A,FuzzyVLookup(D760,A:A,0,,,2)),"Non-PDL")</f>
        <v>Non-PDL</v>
      </c>
      <c r="F760" t="str">
        <f t="shared" si="11"/>
        <v>Non-PDL</v>
      </c>
      <c r="G760" s="1" cm="1">
        <f t="array" ref="G760">FuzzyPercent(D760,E760,2)</f>
        <v>0</v>
      </c>
      <c r="H760" t="str" cm="1">
        <f t="array" ref="H760">IF(F760="Non-PDL","",IF(FuzzyPercent(D760,E760,2)&lt;0.4,"CHECK",""))</f>
        <v/>
      </c>
    </row>
    <row r="761" spans="1:8" x14ac:dyDescent="0.2">
      <c r="A761" t="s">
        <v>1501</v>
      </c>
      <c r="B761" t="s">
        <v>0</v>
      </c>
      <c r="D761" t="s">
        <v>2875</v>
      </c>
      <c r="E761" t="str" cm="1">
        <f t="array" ref="E761">IF(COUNTIF(A:A, "*" &amp; LEFT(D761, FIND(" ", D761 &amp; " ") - 1) &amp; "*") &gt; 0,INDEX(A:A,FuzzyVLookup(D761,A:A,0,,,2)),"Non-PDL")</f>
        <v>VENTAVIS (iloprost)</v>
      </c>
      <c r="F761" t="str">
        <f t="shared" si="11"/>
        <v>Preferred</v>
      </c>
      <c r="G761" s="1" cm="1">
        <f t="array" ref="G761">FuzzyPercent(D761,E761,2)</f>
        <v>0.45283019542694092</v>
      </c>
      <c r="H761" t="str" cm="1">
        <f t="array" ref="H761">IF(F761="Non-PDL","",IF(FuzzyPercent(D761,E761,2)&lt;0.4,"CHECK",""))</f>
        <v/>
      </c>
    </row>
    <row r="762" spans="1:8" x14ac:dyDescent="0.2">
      <c r="A762" t="s">
        <v>1503</v>
      </c>
      <c r="B762" t="s">
        <v>0</v>
      </c>
      <c r="D762" t="s">
        <v>2876</v>
      </c>
      <c r="E762" t="str" cm="1">
        <f t="array" ref="E762">IF(COUNTIF(A:A, "*" &amp; LEFT(D762, FIND(" ", D762 &amp; " ") - 1) &amp; "*") &gt; 0,INDEX(A:A,FuzzyVLookup(D762,A:A,0,,,2)),"Non-PDL")</f>
        <v>VENTOLIN HFA (albuterol)</v>
      </c>
      <c r="F762" t="str">
        <f t="shared" si="11"/>
        <v>Preferred</v>
      </c>
      <c r="G762" s="1" cm="1">
        <f t="array" ref="G762">FuzzyPercent(D762,E762,2)</f>
        <v>0.55421686172485352</v>
      </c>
      <c r="H762" t="str" cm="1">
        <f t="array" ref="H762">IF(F762="Non-PDL","",IF(FuzzyPercent(D762,E762,2)&lt;0.4,"CHECK",""))</f>
        <v/>
      </c>
    </row>
    <row r="763" spans="1:8" x14ac:dyDescent="0.2">
      <c r="A763" t="s">
        <v>1505</v>
      </c>
      <c r="B763" t="s">
        <v>0</v>
      </c>
      <c r="D763" t="s">
        <v>2877</v>
      </c>
      <c r="E763" t="str" cm="1">
        <f t="array" ref="E763">IF(COUNTIF(A:A, "*" &amp; LEFT(D763, FIND(" ", D763 &amp; " ") - 1) &amp; "*") &gt; 0,INDEX(A:A,FuzzyVLookup(D763,A:A,0,,,2)),"Non-PDL")</f>
        <v>VERKAZIA (cyclosporine)</v>
      </c>
      <c r="F763" t="str">
        <f t="shared" si="11"/>
        <v>Non-Preferred</v>
      </c>
      <c r="G763" s="1" cm="1">
        <f t="array" ref="G763">FuzzyPercent(D763,E763,2)</f>
        <v>0.36923077702522278</v>
      </c>
      <c r="H763" t="str" cm="1">
        <f t="array" ref="H763">IF(F763="Non-PDL","",IF(FuzzyPercent(D763,E763,2)&lt;0.4,"CHECK",""))</f>
        <v>CHECK</v>
      </c>
    </row>
    <row r="764" spans="1:8" x14ac:dyDescent="0.2">
      <c r="A764" t="s">
        <v>1507</v>
      </c>
      <c r="B764" t="s">
        <v>0</v>
      </c>
      <c r="D764" t="s">
        <v>2878</v>
      </c>
      <c r="E764" t="str" cm="1">
        <f t="array" ref="E764">IF(COUNTIF(A:A, "*" &amp; LEFT(D764, FIND(" ", D764 &amp; " ") - 1) &amp; "*") &gt; 0,INDEX(A:A,FuzzyVLookup(D764,A:A,0,,,2)),"Non-PDL")</f>
        <v>VERSACLOZ (clozapine)</v>
      </c>
      <c r="F764" t="str">
        <f t="shared" si="11"/>
        <v>Non-Preferred</v>
      </c>
      <c r="G764" s="1" cm="1">
        <f t="array" ref="G764">FuzzyPercent(D764,E764,2)</f>
        <v>0.4444444477558136</v>
      </c>
      <c r="H764" t="str" cm="1">
        <f t="array" ref="H764">IF(F764="Non-PDL","",IF(FuzzyPercent(D764,E764,2)&lt;0.4,"CHECK",""))</f>
        <v/>
      </c>
    </row>
    <row r="765" spans="1:8" x14ac:dyDescent="0.2">
      <c r="A765" t="s">
        <v>1509</v>
      </c>
      <c r="B765" t="s">
        <v>0</v>
      </c>
      <c r="D765" t="s">
        <v>2879</v>
      </c>
      <c r="E765" t="str" cm="1">
        <f t="array" ref="E765">IF(COUNTIF(A:A, "*" &amp; LEFT(D765, FIND(" ", D765 &amp; " ") - 1) &amp; "*") &gt; 0,INDEX(A:A,FuzzyVLookup(D765,A:A,0,,,2)),"Non-PDL")</f>
        <v>VERZENIO (abemaciclib)</v>
      </c>
      <c r="F765" t="str">
        <f t="shared" si="11"/>
        <v>Non-Preferred</v>
      </c>
      <c r="G765" s="1" cm="1">
        <f t="array" ref="G765">FuzzyPercent(D765,E765,2)</f>
        <v>0.375</v>
      </c>
      <c r="H765" t="str" cm="1">
        <f t="array" ref="H765">IF(F765="Non-PDL","",IF(FuzzyPercent(D765,E765,2)&lt;0.4,"CHECK",""))</f>
        <v>CHECK</v>
      </c>
    </row>
    <row r="766" spans="1:8" x14ac:dyDescent="0.2">
      <c r="A766" t="s">
        <v>1511</v>
      </c>
      <c r="B766" t="s">
        <v>0</v>
      </c>
      <c r="D766" t="s">
        <v>2880</v>
      </c>
      <c r="E766" t="str" cm="1">
        <f t="array" ref="E766">IF(COUNTIF(A:A, "*" &amp; LEFT(D766, FIND(" ", D766 &amp; " ") - 1) &amp; "*") &gt; 0,INDEX(A:A,FuzzyVLookup(D766,A:A,0,,,2)),"Non-PDL")</f>
        <v>valganciclovir solution</v>
      </c>
      <c r="F766" t="str">
        <f t="shared" si="11"/>
        <v>Non-Preferred</v>
      </c>
      <c r="G766" s="1" cm="1">
        <f t="array" ref="G766">FuzzyPercent(D766,E766,2)</f>
        <v>0.19354838132858276</v>
      </c>
      <c r="H766" t="str" cm="1">
        <f t="array" ref="H766">IF(F766="Non-PDL","",IF(FuzzyPercent(D766,E766,2)&lt;0.4,"CHECK",""))</f>
        <v>CHECK</v>
      </c>
    </row>
    <row r="767" spans="1:8" x14ac:dyDescent="0.2">
      <c r="A767" t="s">
        <v>1513</v>
      </c>
      <c r="B767" t="s">
        <v>0</v>
      </c>
      <c r="D767" t="s">
        <v>2881</v>
      </c>
      <c r="E767" t="str" cm="1">
        <f t="array" ref="E767">IF(COUNTIF(A:A, "*" &amp; LEFT(D767, FIND(" ", D767 &amp; " ") - 1) &amp; "*") &gt; 0,INDEX(A:A,FuzzyVLookup(D767,A:A,0,,,2)),"Non-PDL")</f>
        <v>VIBERZI (eluxadoline) DUR+</v>
      </c>
      <c r="F767" t="str">
        <f t="shared" si="11"/>
        <v>Non-Preferred</v>
      </c>
      <c r="G767" s="1" cm="1">
        <f t="array" ref="G767">FuzzyPercent(D767,E767,2)</f>
        <v>0.24324324727058411</v>
      </c>
      <c r="H767" t="str" cm="1">
        <f t="array" ref="H767">IF(F767="Non-PDL","",IF(FuzzyPercent(D767,E767,2)&lt;0.4,"CHECK",""))</f>
        <v>CHECK</v>
      </c>
    </row>
    <row r="768" spans="1:8" x14ac:dyDescent="0.2">
      <c r="A768" t="s">
        <v>1515</v>
      </c>
      <c r="B768" t="s">
        <v>0</v>
      </c>
      <c r="D768" t="s">
        <v>2882</v>
      </c>
      <c r="E768" t="str" cm="1">
        <f t="array" ref="E768">IF(COUNTIF(A:A, "*" &amp; LEFT(D768, FIND(" ", D768 &amp; " ") - 1) &amp; "*") &gt; 0,INDEX(A:A,FuzzyVLookup(D768,A:A,0,,,2)),"Non-PDL")</f>
        <v>VICTOZA (liraglutide)</v>
      </c>
      <c r="F768" t="str">
        <f t="shared" si="11"/>
        <v>Preferred</v>
      </c>
      <c r="G768" s="1" cm="1">
        <f t="array" ref="G768">FuzzyPercent(D768,E768,2)</f>
        <v>0.31034481525421143</v>
      </c>
      <c r="H768" t="str" cm="1">
        <f t="array" ref="H768">IF(F768="Non-PDL","",IF(FuzzyPercent(D768,E768,2)&lt;0.4,"CHECK",""))</f>
        <v>CHECK</v>
      </c>
    </row>
    <row r="769" spans="1:8" x14ac:dyDescent="0.2">
      <c r="A769" t="s">
        <v>1517</v>
      </c>
      <c r="B769" t="s">
        <v>0</v>
      </c>
      <c r="D769" t="s">
        <v>2883</v>
      </c>
      <c r="E769" t="str" cm="1">
        <f t="array" ref="E769">IF(COUNTIF(A:A, "*" &amp; LEFT(D769, FIND(" ", D769 &amp; " ") - 1) &amp; "*") &gt; 0,INDEX(A:A,FuzzyVLookup(D769,A:A,0,,,2)),"Non-PDL")</f>
        <v>Non-PDL</v>
      </c>
      <c r="F769" t="str">
        <f t="shared" si="11"/>
        <v>Non-PDL</v>
      </c>
      <c r="G769" s="1" cm="1">
        <f t="array" ref="G769">FuzzyPercent(D769,E769,2)</f>
        <v>0</v>
      </c>
      <c r="H769" t="str" cm="1">
        <f t="array" ref="H769">IF(F769="Non-PDL","",IF(FuzzyPercent(D769,E769,2)&lt;0.4,"CHECK",""))</f>
        <v/>
      </c>
    </row>
    <row r="770" spans="1:8" x14ac:dyDescent="0.2">
      <c r="A770" t="s">
        <v>1519</v>
      </c>
      <c r="B770" t="s">
        <v>0</v>
      </c>
      <c r="D770" t="s">
        <v>2884</v>
      </c>
      <c r="E770" t="str" cm="1">
        <f t="array" ref="E770">IF(COUNTIF(A:A, "*" &amp; LEFT(D770, FIND(" ", D770 &amp; " ") - 1) &amp; "*") &gt; 0,INDEX(A:A,FuzzyVLookup(D770,A:A,0,,,2)),"Non-PDL")</f>
        <v>vancomycin oral solution</v>
      </c>
      <c r="F770" t="str">
        <f t="shared" si="11"/>
        <v>Preferred</v>
      </c>
      <c r="G770" s="1" cm="1">
        <f t="array" ref="G770">FuzzyPercent(D770,E770,2)</f>
        <v>0.2083333283662796</v>
      </c>
      <c r="H770" t="str" cm="1">
        <f t="array" ref="H770">IF(F770="Non-PDL","",IF(FuzzyPercent(D770,E770,2)&lt;0.4,"CHECK",""))</f>
        <v>CHECK</v>
      </c>
    </row>
    <row r="771" spans="1:8" x14ac:dyDescent="0.2">
      <c r="A771" t="s">
        <v>1521</v>
      </c>
      <c r="B771" t="s">
        <v>0</v>
      </c>
      <c r="D771" t="s">
        <v>2885</v>
      </c>
      <c r="E771" t="str" cm="1">
        <f t="array" ref="E771">IF(COUNTIF(A:A, "*" &amp; LEFT(D771, FIND(" ", D771 &amp; " ") - 1) &amp; "*") &gt; 0,INDEX(A:A,FuzzyVLookup(D771,A:A,0,,,2)),"Non-PDL")</f>
        <v>Vigabatrin</v>
      </c>
      <c r="F771" t="str">
        <f t="shared" ref="F771:F834" si="12">_xlfn.IFNA(_xlfn.XLOOKUP(E771,A:A,B:B),"Non-PDL")</f>
        <v>Non-Preferred</v>
      </c>
      <c r="G771" s="1" cm="1">
        <f t="array" ref="G771">FuzzyPercent(D771,E771,2)</f>
        <v>0.48571428656578064</v>
      </c>
      <c r="H771" t="str" cm="1">
        <f t="array" ref="H771">IF(F771="Non-PDL","",IF(FuzzyPercent(D771,E771,2)&lt;0.4,"CHECK",""))</f>
        <v/>
      </c>
    </row>
    <row r="772" spans="1:8" x14ac:dyDescent="0.2">
      <c r="A772" t="s">
        <v>1522</v>
      </c>
      <c r="B772" t="s">
        <v>0</v>
      </c>
      <c r="D772" t="s">
        <v>2886</v>
      </c>
      <c r="E772" t="str" cm="1">
        <f t="array" ref="E772">IF(COUNTIF(A:A, "*" &amp; LEFT(D772, FIND(" ", D772 &amp; " ") - 1) &amp; "*") &gt; 0,INDEX(A:A,FuzzyVLookup(D772,A:A,0,,,2)),"Non-PDL")</f>
        <v>vancomycin oral solution</v>
      </c>
      <c r="F772" t="str">
        <f t="shared" si="12"/>
        <v>Preferred</v>
      </c>
      <c r="G772" s="1" cm="1">
        <f t="array" ref="G772">FuzzyPercent(D772,E772,2)</f>
        <v>0.40178570151329041</v>
      </c>
      <c r="H772" t="str" cm="1">
        <f t="array" ref="H772">IF(F772="Non-PDL","",IF(FuzzyPercent(D772,E772,2)&lt;0.4,"CHECK",""))</f>
        <v/>
      </c>
    </row>
    <row r="773" spans="1:8" x14ac:dyDescent="0.2">
      <c r="A773" t="s">
        <v>1523</v>
      </c>
      <c r="B773" t="s">
        <v>0</v>
      </c>
      <c r="D773" t="s">
        <v>2887</v>
      </c>
      <c r="E773" t="str" cm="1">
        <f t="array" ref="E773">IF(COUNTIF(A:A, "*" &amp; LEFT(D773, FIND(" ", D773 &amp; " ") - 1) &amp; "*") &gt; 0,INDEX(A:A,FuzzyVLookup(D773,A:A,0,,,2)),"Non-PDL")</f>
        <v>VIGPODER (vigabatrin)</v>
      </c>
      <c r="F773" t="str">
        <f t="shared" si="12"/>
        <v>Non-Preferred</v>
      </c>
      <c r="G773" s="1" cm="1">
        <f t="array" ref="G773">FuzzyPercent(D773,E773,2)</f>
        <v>0.39344263076782227</v>
      </c>
      <c r="H773" t="str" cm="1">
        <f t="array" ref="H773">IF(F773="Non-PDL","",IF(FuzzyPercent(D773,E773,2)&lt;0.4,"CHECK",""))</f>
        <v>CHECK</v>
      </c>
    </row>
    <row r="774" spans="1:8" x14ac:dyDescent="0.2">
      <c r="A774" t="s">
        <v>1525</v>
      </c>
      <c r="B774" t="s">
        <v>0</v>
      </c>
      <c r="D774" t="s">
        <v>2888</v>
      </c>
      <c r="E774" t="str" cm="1">
        <f t="array" ref="E774">IF(COUNTIF(A:A, "*" &amp; LEFT(D774, FIND(" ", D774 &amp; " ") - 1) &amp; "*") &gt; 0,INDEX(A:A,FuzzyVLookup(D774,A:A,0,,,2)),"Non-PDL")</f>
        <v>VIIBRYD (vilazodone)</v>
      </c>
      <c r="F774" t="str">
        <f t="shared" si="12"/>
        <v>Non-Preferred</v>
      </c>
      <c r="G774" s="1" cm="1">
        <f t="array" ref="G774">FuzzyPercent(D774,E774,2)</f>
        <v>0.32727271318435669</v>
      </c>
      <c r="H774" t="str" cm="1">
        <f t="array" ref="H774">IF(F774="Non-PDL","",IF(FuzzyPercent(D774,E774,2)&lt;0.4,"CHECK",""))</f>
        <v>CHECK</v>
      </c>
    </row>
    <row r="775" spans="1:8" x14ac:dyDescent="0.2">
      <c r="A775" t="s">
        <v>1527</v>
      </c>
      <c r="B775" t="s">
        <v>0</v>
      </c>
      <c r="D775" t="s">
        <v>2889</v>
      </c>
      <c r="E775" t="str" cm="1">
        <f t="array" ref="E775">IF(COUNTIF(A:A, "*" &amp; LEFT(D775, FIND(" ", D775 &amp; " ") - 1) &amp; "*") &gt; 0,INDEX(A:A,FuzzyVLookup(D775,A:A,0,,,2)),"Non-PDL")</f>
        <v>VILTEPSO (viltolarsen)</v>
      </c>
      <c r="F775" t="str">
        <f t="shared" si="12"/>
        <v>Non-Preferred</v>
      </c>
      <c r="G775" s="1" cm="1">
        <f t="array" ref="G775">FuzzyPercent(D775,E775,2)</f>
        <v>0.375</v>
      </c>
      <c r="H775" t="str" cm="1">
        <f t="array" ref="H775">IF(F775="Non-PDL","",IF(FuzzyPercent(D775,E775,2)&lt;0.4,"CHECK",""))</f>
        <v>CHECK</v>
      </c>
    </row>
    <row r="776" spans="1:8" x14ac:dyDescent="0.2">
      <c r="A776" t="s">
        <v>1529</v>
      </c>
      <c r="B776" t="s">
        <v>0</v>
      </c>
      <c r="D776" t="s">
        <v>2890</v>
      </c>
      <c r="E776" t="str" cm="1">
        <f t="array" ref="E776">IF(COUNTIF(A:A, "*" &amp; LEFT(D776, FIND(" ", D776 &amp; " ") - 1) &amp; "*") &gt; 0,INDEX(A:A,FuzzyVLookup(D776,A:A,0,,,2)),"Non-PDL")</f>
        <v>VIMPAT (lacosamide)</v>
      </c>
      <c r="F776" t="str">
        <f t="shared" si="12"/>
        <v>Non-Preferred</v>
      </c>
      <c r="G776" s="1" cm="1">
        <f t="array" ref="G776">FuzzyPercent(D776,E776,2)</f>
        <v>0.32653060555458069</v>
      </c>
      <c r="H776" t="str" cm="1">
        <f t="array" ref="H776">IF(F776="Non-PDL","",IF(FuzzyPercent(D776,E776,2)&lt;0.4,"CHECK",""))</f>
        <v>CHECK</v>
      </c>
    </row>
    <row r="777" spans="1:8" x14ac:dyDescent="0.2">
      <c r="A777" t="s">
        <v>1531</v>
      </c>
      <c r="B777" t="s">
        <v>0</v>
      </c>
      <c r="D777" t="s">
        <v>2891</v>
      </c>
      <c r="E777" t="str" cm="1">
        <f t="array" ref="E777">IF(COUNTIF(A:A, "*" &amp; LEFT(D777, FIND(" ", D777 &amp; " ") - 1) &amp; "*") &gt; 0,INDEX(A:A,FuzzyVLookup(D777,A:A,0,,,2)),"Non-PDL")</f>
        <v>efavirenz</v>
      </c>
      <c r="F777" t="str">
        <f t="shared" si="12"/>
        <v>Preferred</v>
      </c>
      <c r="G777" s="1" cm="1">
        <f t="array" ref="G777">FuzzyPercent(D777,E777,2)</f>
        <v>0.27272728085517883</v>
      </c>
      <c r="H777" t="str" cm="1">
        <f t="array" ref="H777">IF(F777="Non-PDL","",IF(FuzzyPercent(D777,E777,2)&lt;0.4,"CHECK",""))</f>
        <v>CHECK</v>
      </c>
    </row>
    <row r="778" spans="1:8" x14ac:dyDescent="0.2">
      <c r="A778" t="s">
        <v>1533</v>
      </c>
      <c r="B778" t="s">
        <v>0</v>
      </c>
      <c r="D778" t="s">
        <v>2892</v>
      </c>
      <c r="E778" t="str" cm="1">
        <f t="array" ref="E778">IF(COUNTIF(A:A, "*" &amp; LEFT(D778, FIND(" ", D778 &amp; " ") - 1) &amp; "*") &gt; 0,INDEX(A:A,FuzzyVLookup(D778,A:A,0,,,2)),"Non-PDL")</f>
        <v>Non-PDL</v>
      </c>
      <c r="F778" t="str">
        <f t="shared" si="12"/>
        <v>Non-PDL</v>
      </c>
      <c r="G778" s="1" cm="1">
        <f t="array" ref="G778">FuzzyPercent(D778,E778,2)</f>
        <v>0</v>
      </c>
      <c r="H778" t="str" cm="1">
        <f t="array" ref="H778">IF(F778="Non-PDL","",IF(FuzzyPercent(D778,E778,2)&lt;0.4,"CHECK",""))</f>
        <v/>
      </c>
    </row>
    <row r="779" spans="1:8" x14ac:dyDescent="0.2">
      <c r="A779" t="s">
        <v>1535</v>
      </c>
      <c r="B779" t="s">
        <v>0</v>
      </c>
      <c r="D779" t="s">
        <v>2893</v>
      </c>
      <c r="E779" t="str" cm="1">
        <f t="array" ref="E779">IF(COUNTIF(A:A, "*" &amp; LEFT(D779, FIND(" ", D779 &amp; " ") - 1) &amp; "*") &gt; 0,INDEX(A:A,FuzzyVLookup(D779,A:A,0,,,2)),"Non-PDL")</f>
        <v>Non-PDL</v>
      </c>
      <c r="F779" t="str">
        <f t="shared" si="12"/>
        <v>Non-PDL</v>
      </c>
      <c r="G779" s="1" cm="1">
        <f t="array" ref="G779">FuzzyPercent(D779,E779,2)</f>
        <v>4.3478261679410934E-2</v>
      </c>
      <c r="H779" t="str" cm="1">
        <f t="array" ref="H779">IF(F779="Non-PDL","",IF(FuzzyPercent(D779,E779,2)&lt;0.4,"CHECK",""))</f>
        <v/>
      </c>
    </row>
    <row r="780" spans="1:8" x14ac:dyDescent="0.2">
      <c r="A780" t="s">
        <v>1537</v>
      </c>
      <c r="B780" t="s">
        <v>0</v>
      </c>
      <c r="D780" t="s">
        <v>2894</v>
      </c>
      <c r="E780" t="str" cm="1">
        <f t="array" ref="E780">IF(COUNTIF(A:A, "*" &amp; LEFT(D780, FIND(" ", D780 &amp; " ") - 1) &amp; "*") &gt; 0,INDEX(A:A,FuzzyVLookup(D780,A:A,0,,,2)),"Non-PDL")</f>
        <v>Non-PDL</v>
      </c>
      <c r="F780" t="str">
        <f t="shared" si="12"/>
        <v>Non-PDL</v>
      </c>
      <c r="G780" s="1" cm="1">
        <f t="array" ref="G780">FuzzyPercent(D780,E780,2)</f>
        <v>0</v>
      </c>
      <c r="H780" t="str" cm="1">
        <f t="array" ref="H780">IF(F780="Non-PDL","",IF(FuzzyPercent(D780,E780,2)&lt;0.4,"CHECK",""))</f>
        <v/>
      </c>
    </row>
    <row r="781" spans="1:8" x14ac:dyDescent="0.2">
      <c r="A781" t="s">
        <v>1539</v>
      </c>
      <c r="B781" t="s">
        <v>0</v>
      </c>
      <c r="D781" t="s">
        <v>2895</v>
      </c>
      <c r="E781" t="str" cm="1">
        <f t="array" ref="E781">IF(COUNTIF(A:A, "*" &amp; LEFT(D781, FIND(" ", D781 &amp; " ") - 1) &amp; "*") &gt; 0,INDEX(A:A,FuzzyVLookup(D781,A:A,0,,,2)),"Non-PDL")</f>
        <v>Non-PDL</v>
      </c>
      <c r="F781" t="str">
        <f t="shared" si="12"/>
        <v>Non-PDL</v>
      </c>
      <c r="G781" s="1" cm="1">
        <f t="array" ref="G781">FuzzyPercent(D781,E781,2)</f>
        <v>0</v>
      </c>
      <c r="H781" t="str" cm="1">
        <f t="array" ref="H781">IF(F781="Non-PDL","",IF(FuzzyPercent(D781,E781,2)&lt;0.4,"CHECK",""))</f>
        <v/>
      </c>
    </row>
    <row r="782" spans="1:8" x14ac:dyDescent="0.2">
      <c r="A782" t="s">
        <v>1541</v>
      </c>
      <c r="B782" t="s">
        <v>0</v>
      </c>
      <c r="D782" t="s">
        <v>2896</v>
      </c>
      <c r="E782" t="str" cm="1">
        <f t="array" ref="E782">IF(COUNTIF(A:A, "*" &amp; LEFT(D782, FIND(" ", D782 &amp; " ") - 1) &amp; "*") &gt; 0,INDEX(A:A,FuzzyVLookup(D782,A:A,0,,,2)),"Non-PDL")</f>
        <v>Non-PDL</v>
      </c>
      <c r="F782" t="str">
        <f t="shared" si="12"/>
        <v>Non-PDL</v>
      </c>
      <c r="G782" s="1" cm="1">
        <f t="array" ref="G782">FuzzyPercent(D782,E782,2)</f>
        <v>5.55555559694767E-2</v>
      </c>
      <c r="H782" t="str" cm="1">
        <f t="array" ref="H782">IF(F782="Non-PDL","",IF(FuzzyPercent(D782,E782,2)&lt;0.4,"CHECK",""))</f>
        <v/>
      </c>
    </row>
    <row r="783" spans="1:8" x14ac:dyDescent="0.2">
      <c r="A783" t="s">
        <v>1543</v>
      </c>
      <c r="B783" t="s">
        <v>0</v>
      </c>
      <c r="D783" t="s">
        <v>2897</v>
      </c>
      <c r="E783" t="str" cm="1">
        <f t="array" ref="E783">IF(COUNTIF(A:A, "*" &amp; LEFT(D783, FIND(" ", D783 &amp; " ") - 1) &amp; "*") &gt; 0,INDEX(A:A,FuzzyVLookup(D783,A:A,0,,,2)),"Non-PDL")</f>
        <v>Non-PDL</v>
      </c>
      <c r="F783" t="str">
        <f t="shared" si="12"/>
        <v>Non-PDL</v>
      </c>
      <c r="G783" s="1" cm="1">
        <f t="array" ref="G783">FuzzyPercent(D783,E783,2)</f>
        <v>0</v>
      </c>
      <c r="H783" t="str" cm="1">
        <f t="array" ref="H783">IF(F783="Non-PDL","",IF(FuzzyPercent(D783,E783,2)&lt;0.4,"CHECK",""))</f>
        <v/>
      </c>
    </row>
    <row r="784" spans="1:8" x14ac:dyDescent="0.2">
      <c r="A784" t="s">
        <v>1545</v>
      </c>
      <c r="B784" t="s">
        <v>0</v>
      </c>
      <c r="D784" t="s">
        <v>2898</v>
      </c>
      <c r="E784" t="str" cm="1">
        <f t="array" ref="E784">IF(COUNTIF(A:A, "*" &amp; LEFT(D784, FIND(" ", D784 &amp; " ") - 1) &amp; "*") &gt; 0,INDEX(A:A,FuzzyVLookup(D784,A:A,0,,,2)),"Non-PDL")</f>
        <v>Non-PDL</v>
      </c>
      <c r="F784" t="str">
        <f t="shared" si="12"/>
        <v>Non-PDL</v>
      </c>
      <c r="G784" s="1" cm="1">
        <f t="array" ref="G784">FuzzyPercent(D784,E784,2)</f>
        <v>0</v>
      </c>
      <c r="H784" t="str" cm="1">
        <f t="array" ref="H784">IF(F784="Non-PDL","",IF(FuzzyPercent(D784,E784,2)&lt;0.4,"CHECK",""))</f>
        <v/>
      </c>
    </row>
    <row r="785" spans="1:8" x14ac:dyDescent="0.2">
      <c r="A785" t="s">
        <v>1547</v>
      </c>
      <c r="B785" t="s">
        <v>0</v>
      </c>
      <c r="D785" t="s">
        <v>2899</v>
      </c>
      <c r="E785" t="str" cm="1">
        <f t="array" ref="E785">IF(COUNTIF(A:A, "*" &amp; LEFT(D785, FIND(" ", D785 &amp; " ") - 1) &amp; "*") &gt; 0,INDEX(A:A,FuzzyVLookup(D785,A:A,0,,,2)),"Non-PDL")</f>
        <v>VITRAKVI (larotrectinib)</v>
      </c>
      <c r="F785" t="str">
        <f t="shared" si="12"/>
        <v>Non-Preferred</v>
      </c>
      <c r="G785" s="1" cm="1">
        <f t="array" ref="G785">FuzzyPercent(D785,E785,2)</f>
        <v>0.29787233471870422</v>
      </c>
      <c r="H785" t="str" cm="1">
        <f t="array" ref="H785">IF(F785="Non-PDL","",IF(FuzzyPercent(D785,E785,2)&lt;0.4,"CHECK",""))</f>
        <v>CHECK</v>
      </c>
    </row>
    <row r="786" spans="1:8" x14ac:dyDescent="0.2">
      <c r="A786" t="s">
        <v>1549</v>
      </c>
      <c r="B786" t="s">
        <v>0</v>
      </c>
      <c r="D786" t="s">
        <v>2900</v>
      </c>
      <c r="E786" t="str" cm="1">
        <f t="array" ref="E786">IF(COUNTIF(A:A, "*" &amp; LEFT(D786, FIND(" ", D786 &amp; " ") - 1) &amp; "*") &gt; 0,INDEX(A:A,FuzzyVLookup(D786,A:A,0,,,2)),"Non-PDL")</f>
        <v>vancomycin oral solution</v>
      </c>
      <c r="F786" t="str">
        <f t="shared" si="12"/>
        <v>Preferred</v>
      </c>
      <c r="G786" s="1" cm="1">
        <f t="array" ref="G786">FuzzyPercent(D786,E786,2)</f>
        <v>0.40178570151329041</v>
      </c>
      <c r="H786" t="str" cm="1">
        <f t="array" ref="H786">IF(F786="Non-PDL","",IF(FuzzyPercent(D786,E786,2)&lt;0.4,"CHECK",""))</f>
        <v/>
      </c>
    </row>
    <row r="787" spans="1:8" x14ac:dyDescent="0.2">
      <c r="A787" t="s">
        <v>1551</v>
      </c>
      <c r="B787" t="s">
        <v>0</v>
      </c>
      <c r="D787" t="s">
        <v>2901</v>
      </c>
      <c r="E787" t="str" cm="1">
        <f t="array" ref="E787">IF(COUNTIF(A:A, "*" &amp; LEFT(D787, FIND(" ", D787 &amp; " ") - 1) &amp; "*") &gt; 0,INDEX(A:A,FuzzyVLookup(D787,A:A,0,,,2)),"Non-PDL")</f>
        <v>VIVITROL (naltrexone)</v>
      </c>
      <c r="F787" t="str">
        <f t="shared" si="12"/>
        <v>Non-Preferred</v>
      </c>
      <c r="G787" s="1" cm="1">
        <f t="array" ref="G787">FuzzyPercent(D787,E787,2)</f>
        <v>0.39344263076782227</v>
      </c>
      <c r="H787" t="str" cm="1">
        <f t="array" ref="H787">IF(F787="Non-PDL","",IF(FuzzyPercent(D787,E787,2)&lt;0.4,"CHECK",""))</f>
        <v>CHECK</v>
      </c>
    </row>
    <row r="788" spans="1:8" x14ac:dyDescent="0.2">
      <c r="A788" t="s">
        <v>1553</v>
      </c>
      <c r="B788" t="s">
        <v>0</v>
      </c>
      <c r="D788" t="s">
        <v>2902</v>
      </c>
      <c r="E788" t="str" cm="1">
        <f t="array" ref="E788">IF(COUNTIF(A:A, "*" &amp; LEFT(D788, FIND(" ", D788 &amp; " ") - 1) &amp; "*") &gt; 0,INDEX(A:A,FuzzyVLookup(D788,A:A,0,,,2)),"Non-PDL")</f>
        <v>VIZIMPRO (dacomitinib)</v>
      </c>
      <c r="F788" t="str">
        <f t="shared" si="12"/>
        <v>Non-Preferred</v>
      </c>
      <c r="G788" s="1" cm="1">
        <f t="array" ref="G788">FuzzyPercent(D788,E788,2)</f>
        <v>0.375</v>
      </c>
      <c r="H788" t="str" cm="1">
        <f t="array" ref="H788">IF(F788="Non-PDL","",IF(FuzzyPercent(D788,E788,2)&lt;0.4,"CHECK",""))</f>
        <v>CHECK</v>
      </c>
    </row>
    <row r="789" spans="1:8" x14ac:dyDescent="0.2">
      <c r="A789" t="s">
        <v>1555</v>
      </c>
      <c r="B789" t="s">
        <v>0</v>
      </c>
      <c r="D789" t="s">
        <v>2903</v>
      </c>
      <c r="E789" t="str" cm="1">
        <f t="array" ref="E789">IF(COUNTIF(A:A, "*" &amp; LEFT(D789, FIND(" ", D789 &amp; " ") - 1) &amp; "*") &gt; 0,INDEX(A:A,FuzzyVLookup(D789,A:A,0,,,2)),"Non-PDL")</f>
        <v>VOQUEZNA (vonoprazan)</v>
      </c>
      <c r="F789" t="str">
        <f t="shared" si="12"/>
        <v>Non-Preferred</v>
      </c>
      <c r="G789" s="1" cm="1">
        <f t="array" ref="G789">FuzzyPercent(D789,E789,2)</f>
        <v>0.39344263076782227</v>
      </c>
      <c r="H789" t="str" cm="1">
        <f t="array" ref="H789">IF(F789="Non-PDL","",IF(FuzzyPercent(D789,E789,2)&lt;0.4,"CHECK",""))</f>
        <v>CHECK</v>
      </c>
    </row>
    <row r="790" spans="1:8" x14ac:dyDescent="0.2">
      <c r="A790" t="s">
        <v>1557</v>
      </c>
      <c r="B790" t="s">
        <v>0</v>
      </c>
      <c r="D790" t="s">
        <v>2904</v>
      </c>
      <c r="E790" t="str" cm="1">
        <f t="array" ref="E790">IF(COUNTIF(A:A, "*" &amp; LEFT(D790, FIND(" ", D790 &amp; " ") - 1) &amp; "*") &gt; 0,INDEX(A:A,FuzzyVLookup(D790,A:A,0,,,2)),"Non-PDL")</f>
        <v>VOQUEZNA DUAL PAK (vonoprazan/amoxicillin)</v>
      </c>
      <c r="F790" t="str">
        <f t="shared" si="12"/>
        <v>Non-Preferred</v>
      </c>
      <c r="G790" s="1" cm="1">
        <f t="array" ref="G790">FuzzyPercent(D790,E790,2)</f>
        <v>0.6428571343421936</v>
      </c>
      <c r="H790" t="str" cm="1">
        <f t="array" ref="H790">IF(F790="Non-PDL","",IF(FuzzyPercent(D790,E790,2)&lt;0.4,"CHECK",""))</f>
        <v/>
      </c>
    </row>
    <row r="791" spans="1:8" x14ac:dyDescent="0.2">
      <c r="A791" t="s">
        <v>1559</v>
      </c>
      <c r="B791" t="s">
        <v>0</v>
      </c>
      <c r="D791" t="s">
        <v>2905</v>
      </c>
      <c r="E791" t="str" cm="1">
        <f t="array" ref="E791">IF(COUNTIF(A:A, "*" &amp; LEFT(D791, FIND(" ", D791 &amp; " ") - 1) &amp; "*") &gt; 0,INDEX(A:A,FuzzyVLookup(D791,A:A,0,,,2)),"Non-PDL")</f>
        <v>VOQUEZNA TRIPLE PAK_x000D_(vonoprazan/amoxicillin/clarithromycin)</v>
      </c>
      <c r="F791" t="str">
        <f t="shared" si="12"/>
        <v>Non-Preferred</v>
      </c>
      <c r="G791" s="1" cm="1">
        <f t="array" ref="G791">FuzzyPercent(D791,E791,2)</f>
        <v>0.42465752363204956</v>
      </c>
      <c r="H791" t="str" cm="1">
        <f t="array" ref="H791">IF(F791="Non-PDL","",IF(FuzzyPercent(D791,E791,2)&lt;0.4,"CHECK",""))</f>
        <v/>
      </c>
    </row>
    <row r="792" spans="1:8" x14ac:dyDescent="0.2">
      <c r="A792" t="s">
        <v>1561</v>
      </c>
      <c r="B792" t="s">
        <v>0</v>
      </c>
      <c r="D792" t="s">
        <v>2906</v>
      </c>
      <c r="E792" t="str" cm="1">
        <f t="array" ref="E792">IF(COUNTIF(A:A, "*" &amp; LEFT(D792, FIND(" ", D792 &amp; " ") - 1) &amp; "*") &gt; 0,INDEX(A:A,FuzzyVLookup(D792,A:A,0,,,2)),"Non-PDL")</f>
        <v>NOVOSEVEN RT (factor VII)</v>
      </c>
      <c r="F792" t="str">
        <f t="shared" si="12"/>
        <v>Non-Preferred</v>
      </c>
      <c r="G792" s="1" cm="1">
        <f t="array" ref="G792">FuzzyPercent(D792,E792,2)</f>
        <v>0.12857143580913544</v>
      </c>
      <c r="H792" t="str" cm="1">
        <f t="array" ref="H792">IF(F792="Non-PDL","",IF(FuzzyPercent(D792,E792,2)&lt;0.4,"CHECK",""))</f>
        <v>CHECK</v>
      </c>
    </row>
    <row r="793" spans="1:8" x14ac:dyDescent="0.2">
      <c r="A793" t="s">
        <v>1563</v>
      </c>
      <c r="B793" t="s">
        <v>0</v>
      </c>
      <c r="D793" t="s">
        <v>2907</v>
      </c>
      <c r="E793" t="str" cm="1">
        <f t="array" ref="E793">IF(COUNTIF(A:A, "*" &amp; LEFT(D793, FIND(" ", D793 &amp; " ") - 1) &amp; "*") &gt; 0,INDEX(A:A,FuzzyVLookup(D793,A:A,0,,,2)),"Non-PDL")</f>
        <v>VOTRIENT (pazopanib)</v>
      </c>
      <c r="F793" t="str">
        <f t="shared" si="12"/>
        <v>Preferred</v>
      </c>
      <c r="G793" s="1" cm="1">
        <f t="array" ref="G793">FuzzyPercent(D793,E793,2)</f>
        <v>0.41379311680793762</v>
      </c>
      <c r="H793" t="str" cm="1">
        <f t="array" ref="H793">IF(F793="Non-PDL","",IF(FuzzyPercent(D793,E793,2)&lt;0.4,"CHECK",""))</f>
        <v/>
      </c>
    </row>
    <row r="794" spans="1:8" x14ac:dyDescent="0.2">
      <c r="A794" t="s">
        <v>1565</v>
      </c>
      <c r="B794" t="s">
        <v>0</v>
      </c>
      <c r="D794" t="s">
        <v>2908</v>
      </c>
      <c r="E794" t="str" cm="1">
        <f t="array" ref="E794">IF(COUNTIF(A:A, "*" &amp; LEFT(D794, FIND(" ", D794 &amp; " ") - 1) &amp; "*") &gt; 0,INDEX(A:A,FuzzyVLookup(D794,A:A,0,,,2)),"Non-PDL")</f>
        <v>VOXZOGO (vosoritide)</v>
      </c>
      <c r="F794" t="str">
        <f t="shared" si="12"/>
        <v>Non-Preferred</v>
      </c>
      <c r="G794" s="1" cm="1">
        <f t="array" ref="G794">FuzzyPercent(D794,E794,2)</f>
        <v>0.32727271318435669</v>
      </c>
      <c r="H794" t="str" cm="1">
        <f t="array" ref="H794">IF(F794="Non-PDL","",IF(FuzzyPercent(D794,E794,2)&lt;0.4,"CHECK",""))</f>
        <v>CHECK</v>
      </c>
    </row>
    <row r="795" spans="1:8" x14ac:dyDescent="0.2">
      <c r="A795" t="s">
        <v>1567</v>
      </c>
      <c r="B795" t="s">
        <v>0</v>
      </c>
      <c r="D795" t="s">
        <v>2909</v>
      </c>
      <c r="E795" t="str" cm="1">
        <f t="array" ref="E795">IF(COUNTIF(A:A, "*" &amp; LEFT(D795, FIND(" ", D795 &amp; " ") - 1) &amp; "*") &gt; 0,INDEX(A:A,FuzzyVLookup(D795,A:A,0,,,2)),"Non-PDL")</f>
        <v>PRIVIGEN</v>
      </c>
      <c r="F795" t="str">
        <f t="shared" si="12"/>
        <v>Preferred</v>
      </c>
      <c r="G795" s="1" cm="1">
        <f t="array" ref="G795">FuzzyPercent(D795,E795,2)</f>
        <v>0.29411765933036804</v>
      </c>
      <c r="H795" t="str" cm="1">
        <f t="array" ref="H795">IF(F795="Non-PDL","",IF(FuzzyPercent(D795,E795,2)&lt;0.4,"CHECK",""))</f>
        <v>CHECK</v>
      </c>
    </row>
    <row r="796" spans="1:8" x14ac:dyDescent="0.2">
      <c r="A796" t="s">
        <v>1569</v>
      </c>
      <c r="B796" t="s">
        <v>0</v>
      </c>
      <c r="D796" t="s">
        <v>2910</v>
      </c>
      <c r="E796" t="str" cm="1">
        <f t="array" ref="E796">IF(COUNTIF(A:A, "*" &amp; LEFT(D796, FIND(" ", D796 &amp; " ") - 1) &amp; "*") &gt; 0,INDEX(A:A,FuzzyVLookup(D796,A:A,0,,,2)),"Non-PDL")</f>
        <v>VRAYLAR (cariprazine)</v>
      </c>
      <c r="F796" t="str">
        <f t="shared" si="12"/>
        <v>Preferred</v>
      </c>
      <c r="G796" s="1" cm="1">
        <f t="array" ref="G796">FuzzyPercent(D796,E796,2)</f>
        <v>0.31034481525421143</v>
      </c>
      <c r="H796" t="str" cm="1">
        <f t="array" ref="H796">IF(F796="Non-PDL","",IF(FuzzyPercent(D796,E796,2)&lt;0.4,"CHECK",""))</f>
        <v>CHECK</v>
      </c>
    </row>
    <row r="797" spans="1:8" x14ac:dyDescent="0.2">
      <c r="A797" t="s">
        <v>1571</v>
      </c>
      <c r="B797" t="s">
        <v>0</v>
      </c>
      <c r="D797" t="s">
        <v>2911</v>
      </c>
      <c r="E797" t="str" cm="1">
        <f t="array" ref="E797">IF(COUNTIF(A:A, "*" &amp; LEFT(D797, FIND(" ", D797 &amp; " ") - 1) &amp; "*") &gt; 0,INDEX(A:A,FuzzyVLookup(D797,A:A,0,,,2)),"Non-PDL")</f>
        <v>VTAMA (tapinarof)</v>
      </c>
      <c r="F797" t="str">
        <f t="shared" si="12"/>
        <v>Non-Preferred</v>
      </c>
      <c r="G797" s="1" cm="1">
        <f t="array" ref="G797">FuzzyPercent(D797,E797,2)</f>
        <v>0.15094339847564697</v>
      </c>
      <c r="H797" t="str" cm="1">
        <f t="array" ref="H797">IF(F797="Non-PDL","",IF(FuzzyPercent(D797,E797,2)&lt;0.4,"CHECK",""))</f>
        <v>CHECK</v>
      </c>
    </row>
    <row r="798" spans="1:8" x14ac:dyDescent="0.2">
      <c r="A798" t="s">
        <v>1573</v>
      </c>
      <c r="B798" t="s">
        <v>0</v>
      </c>
      <c r="D798" t="s">
        <v>2912</v>
      </c>
      <c r="E798" t="str" cm="1">
        <f t="array" ref="E798">IF(COUNTIF(A:A, "*" &amp; LEFT(D798, FIND(" ", D798 &amp; " ") - 1) &amp; "*") &gt; 0,INDEX(A:A,FuzzyVLookup(D798,A:A,0,,,2)),"Non-PDL")</f>
        <v>VTAMA (tapinarof)</v>
      </c>
      <c r="F798" t="str">
        <f t="shared" si="12"/>
        <v>Non-Preferred</v>
      </c>
      <c r="G798" s="1" cm="1">
        <f t="array" ref="G798">FuzzyPercent(D798,E798,2)</f>
        <v>0.15384615957736969</v>
      </c>
      <c r="H798" t="str" cm="1">
        <f t="array" ref="H798">IF(F798="Non-PDL","",IF(FuzzyPercent(D798,E798,2)&lt;0.4,"CHECK",""))</f>
        <v>CHECK</v>
      </c>
    </row>
    <row r="799" spans="1:8" x14ac:dyDescent="0.2">
      <c r="A799" t="s">
        <v>1575</v>
      </c>
      <c r="B799" t="s">
        <v>0</v>
      </c>
      <c r="D799" t="s">
        <v>2913</v>
      </c>
      <c r="E799" t="str" cm="1">
        <f t="array" ref="E799">IF(COUNTIF(A:A, "*" &amp; LEFT(D799, FIND(" ", D799 &amp; " ") - 1) &amp; "*") &gt; 0,INDEX(A:A,FuzzyVLookup(D799,A:A,0,,,2)),"Non-PDL")</f>
        <v>VYEPTI (eptinezumab-jjmr)</v>
      </c>
      <c r="F799" t="str">
        <f t="shared" si="12"/>
        <v>Non-Preferred</v>
      </c>
      <c r="G799" s="1" cm="1">
        <f t="array" ref="G799">FuzzyPercent(D799,E799,2)</f>
        <v>0.22857142984867096</v>
      </c>
      <c r="H799" t="str" cm="1">
        <f t="array" ref="H799">IF(F799="Non-PDL","",IF(FuzzyPercent(D799,E799,2)&lt;0.4,"CHECK",""))</f>
        <v>CHECK</v>
      </c>
    </row>
    <row r="800" spans="1:8" x14ac:dyDescent="0.2">
      <c r="A800" t="s">
        <v>1577</v>
      </c>
      <c r="B800" t="s">
        <v>0</v>
      </c>
      <c r="D800" t="s">
        <v>2914</v>
      </c>
      <c r="E800" t="str" cm="1">
        <f t="array" ref="E800">IF(COUNTIF(A:A, "*" &amp; LEFT(D800, FIND(" ", D800 &amp; " ") - 1) &amp; "*") &gt; 0,INDEX(A:A,FuzzyVLookup(D800,A:A,0,,,2)),"Non-PDL")</f>
        <v>Non-PDL</v>
      </c>
      <c r="F800" t="str">
        <f t="shared" si="12"/>
        <v>Non-PDL</v>
      </c>
      <c r="G800" s="1" cm="1">
        <f t="array" ref="G800">FuzzyPercent(D800,E800,2)</f>
        <v>0</v>
      </c>
      <c r="H800" t="str" cm="1">
        <f t="array" ref="H800">IF(F800="Non-PDL","",IF(FuzzyPercent(D800,E800,2)&lt;0.4,"CHECK",""))</f>
        <v/>
      </c>
    </row>
    <row r="801" spans="1:8" x14ac:dyDescent="0.2">
      <c r="A801" t="s">
        <v>3</v>
      </c>
      <c r="B801" t="s">
        <v>1</v>
      </c>
      <c r="D801" t="s">
        <v>2915</v>
      </c>
      <c r="E801" t="str" cm="1">
        <f t="array" ref="E801">IF(COUNTIF(A:A, "*" &amp; LEFT(D801, FIND(" ", D801 &amp; " ") - 1) &amp; "*") &gt; 0,INDEX(A:A,FuzzyVLookup(D801,A:A,0,,,2)),"Non-PDL")</f>
        <v>Non-PDL</v>
      </c>
      <c r="F801" t="str">
        <f t="shared" si="12"/>
        <v>Non-PDL</v>
      </c>
      <c r="G801" s="1" cm="1">
        <f t="array" ref="G801">FuzzyPercent(D801,E801,2)</f>
        <v>0</v>
      </c>
      <c r="H801" t="str" cm="1">
        <f t="array" ref="H801">IF(F801="Non-PDL","",IF(FuzzyPercent(D801,E801,2)&lt;0.4,"CHECK",""))</f>
        <v/>
      </c>
    </row>
    <row r="802" spans="1:8" x14ac:dyDescent="0.2">
      <c r="A802" t="s">
        <v>5</v>
      </c>
      <c r="B802" t="s">
        <v>1</v>
      </c>
      <c r="D802" t="s">
        <v>2916</v>
      </c>
      <c r="E802" t="str" cm="1">
        <f t="array" ref="E802">IF(COUNTIF(A:A, "*" &amp; LEFT(D802, FIND(" ", D802 &amp; " ") - 1) &amp; "*") &gt; 0,INDEX(A:A,FuzzyVLookup(D802,A:A,0,,,2)),"Non-PDL")</f>
        <v>Non-PDL</v>
      </c>
      <c r="F802" t="str">
        <f t="shared" si="12"/>
        <v>Non-PDL</v>
      </c>
      <c r="G802" s="1" cm="1">
        <f t="array" ref="G802">FuzzyPercent(D802,E802,2)</f>
        <v>0</v>
      </c>
      <c r="H802" t="str" cm="1">
        <f t="array" ref="H802">IF(F802="Non-PDL","",IF(FuzzyPercent(D802,E802,2)&lt;0.4,"CHECK",""))</f>
        <v/>
      </c>
    </row>
    <row r="803" spans="1:8" x14ac:dyDescent="0.2">
      <c r="A803" t="s">
        <v>7</v>
      </c>
      <c r="B803" t="s">
        <v>1</v>
      </c>
      <c r="D803" t="s">
        <v>2917</v>
      </c>
      <c r="E803" t="str" cm="1">
        <f t="array" ref="E803">IF(COUNTIF(A:A, "*" &amp; LEFT(D803, FIND(" ", D803 &amp; " ") - 1) &amp; "*") &gt; 0,INDEX(A:A,FuzzyVLookup(D803,A:A,0,,,2)),"Non-PDL")</f>
        <v>VYONDYS-53 (golodirsen)</v>
      </c>
      <c r="F803" t="str">
        <f t="shared" si="12"/>
        <v>Preferred</v>
      </c>
      <c r="G803" s="1" cm="1">
        <f t="array" ref="G803">FuzzyPercent(D803,E803,2)</f>
        <v>0.28571429848670959</v>
      </c>
      <c r="H803" t="str" cm="1">
        <f t="array" ref="H803">IF(F803="Non-PDL","",IF(FuzzyPercent(D803,E803,2)&lt;0.4,"CHECK",""))</f>
        <v>CHECK</v>
      </c>
    </row>
    <row r="804" spans="1:8" x14ac:dyDescent="0.2">
      <c r="A804" t="s">
        <v>9</v>
      </c>
      <c r="B804" t="s">
        <v>1</v>
      </c>
      <c r="D804" t="s">
        <v>2918</v>
      </c>
      <c r="E804" t="str" cm="1">
        <f t="array" ref="E804">IF(COUNTIF(A:A, "*" &amp; LEFT(D804, FIND(" ", D804 &amp; " ") - 1) &amp; "*") &gt; 0,INDEX(A:A,FuzzyVLookup(D804,A:A,0,,,2)),"Non-PDL")</f>
        <v>Non-PDL</v>
      </c>
      <c r="F804" t="str">
        <f t="shared" si="12"/>
        <v>Non-PDL</v>
      </c>
      <c r="G804" s="1" cm="1">
        <f t="array" ref="G804">FuzzyPercent(D804,E804,2)</f>
        <v>0</v>
      </c>
      <c r="H804" t="str" cm="1">
        <f t="array" ref="H804">IF(F804="Non-PDL","",IF(FuzzyPercent(D804,E804,2)&lt;0.4,"CHECK",""))</f>
        <v/>
      </c>
    </row>
    <row r="805" spans="1:8" x14ac:dyDescent="0.2">
      <c r="A805" t="s">
        <v>11</v>
      </c>
      <c r="B805" t="s">
        <v>1</v>
      </c>
      <c r="D805" t="s">
        <v>2919</v>
      </c>
      <c r="E805" t="str" cm="1">
        <f t="array" ref="E805">IF(COUNTIF(A:A, "*" &amp; LEFT(D805, FIND(" ", D805 &amp; " ") - 1) &amp; "*") &gt; 0,INDEX(A:A,FuzzyVLookup(D805,A:A,0,,,2)),"Non-PDL")</f>
        <v>Non-PDL</v>
      </c>
      <c r="F805" t="str">
        <f t="shared" si="12"/>
        <v>Non-PDL</v>
      </c>
      <c r="G805" s="1" cm="1">
        <f t="array" ref="G805">FuzzyPercent(D805,E805,2)</f>
        <v>0</v>
      </c>
      <c r="H805" t="str" cm="1">
        <f t="array" ref="H805">IF(F805="Non-PDL","",IF(FuzzyPercent(D805,E805,2)&lt;0.4,"CHECK",""))</f>
        <v/>
      </c>
    </row>
    <row r="806" spans="1:8" x14ac:dyDescent="0.2">
      <c r="A806" t="s">
        <v>13</v>
      </c>
      <c r="B806" t="s">
        <v>1</v>
      </c>
      <c r="D806" t="s">
        <v>2920</v>
      </c>
      <c r="E806" t="str" cm="1">
        <f t="array" ref="E806">IF(COUNTIF(A:A, "*" &amp; LEFT(D806, FIND(" ", D806 &amp; " ") - 1) &amp; "*") &gt; 0,INDEX(A:A,FuzzyVLookup(D806,A:A,0,,,2)),"Non-PDL")</f>
        <v>WAKIX (pitolisant)</v>
      </c>
      <c r="F806" t="str">
        <f t="shared" si="12"/>
        <v>Non-Preferred</v>
      </c>
      <c r="G806" s="1" cm="1">
        <f t="array" ref="G806">FuzzyPercent(D806,E806,2)</f>
        <v>0.2222222238779068</v>
      </c>
      <c r="H806" t="str" cm="1">
        <f t="array" ref="H806">IF(F806="Non-PDL","",IF(FuzzyPercent(D806,E806,2)&lt;0.4,"CHECK",""))</f>
        <v>CHECK</v>
      </c>
    </row>
    <row r="807" spans="1:8" x14ac:dyDescent="0.2">
      <c r="A807" t="s">
        <v>15</v>
      </c>
      <c r="B807" t="s">
        <v>1</v>
      </c>
      <c r="D807" t="s">
        <v>2921</v>
      </c>
      <c r="E807" t="str" cm="1">
        <f t="array" ref="E807">IF(COUNTIF(A:A, "*" &amp; LEFT(D807, FIND(" ", D807 &amp; " ") - 1) &amp; "*") &gt; 0,INDEX(A:A,FuzzyVLookup(D807,A:A,0,,,2)),"Non-PDL")</f>
        <v>Non-PDL</v>
      </c>
      <c r="F807" t="str">
        <f t="shared" si="12"/>
        <v>Non-PDL</v>
      </c>
      <c r="G807" s="1" cm="1">
        <f t="array" ref="G807">FuzzyPercent(D807,E807,2)</f>
        <v>0</v>
      </c>
      <c r="H807" t="str" cm="1">
        <f t="array" ref="H807">IF(F807="Non-PDL","",IF(FuzzyPercent(D807,E807,2)&lt;0.4,"CHECK",""))</f>
        <v/>
      </c>
    </row>
    <row r="808" spans="1:8" x14ac:dyDescent="0.2">
      <c r="A808" t="s">
        <v>17</v>
      </c>
      <c r="B808" t="s">
        <v>1</v>
      </c>
      <c r="D808" t="s">
        <v>2922</v>
      </c>
      <c r="E808" t="str" cm="1">
        <f t="array" ref="E808">IF(COUNTIF(A:A, "*" &amp; LEFT(D808, FIND(" ", D808 &amp; " ") - 1) &amp; "*") &gt; 0,INDEX(A:A,FuzzyVLookup(D808,A:A,0,,,2)),"Non-PDL")</f>
        <v>WINLEVI (clascoterone) cream</v>
      </c>
      <c r="F808" t="str">
        <f t="shared" si="12"/>
        <v>Non-Preferred</v>
      </c>
      <c r="G808" s="1" cm="1">
        <f t="array" ref="G808">FuzzyPercent(D808,E808,2)</f>
        <v>0.21951219439506531</v>
      </c>
      <c r="H808" t="str" cm="1">
        <f t="array" ref="H808">IF(F808="Non-PDL","",IF(FuzzyPercent(D808,E808,2)&lt;0.4,"CHECK",""))</f>
        <v>CHECK</v>
      </c>
    </row>
    <row r="809" spans="1:8" x14ac:dyDescent="0.2">
      <c r="A809" t="s">
        <v>19</v>
      </c>
      <c r="B809" t="s">
        <v>1</v>
      </c>
      <c r="D809" t="s">
        <v>2923</v>
      </c>
      <c r="E809" t="str" cm="1">
        <f t="array" ref="E809">IF(COUNTIF(A:A, "*" &amp; LEFT(D809, FIND(" ", D809 &amp; " ") - 1) &amp; "*") &gt; 0,INDEX(A:A,FuzzyVLookup(D809,A:A,0,,,2)),"Non-PDL")</f>
        <v>WINREVAIR (sotatercept-csrk)</v>
      </c>
      <c r="F809" t="str">
        <f t="shared" si="12"/>
        <v>Non-Preferred</v>
      </c>
      <c r="G809" s="1" cm="1">
        <f t="array" ref="G809">FuzzyPercent(D809,E809,2)</f>
        <v>0.34000000357627869</v>
      </c>
      <c r="H809" t="str" cm="1">
        <f t="array" ref="H809">IF(F809="Non-PDL","",IF(FuzzyPercent(D809,E809,2)&lt;0.4,"CHECK",""))</f>
        <v>CHECK</v>
      </c>
    </row>
    <row r="810" spans="1:8" x14ac:dyDescent="0.2">
      <c r="A810" t="s">
        <v>21</v>
      </c>
      <c r="B810" t="s">
        <v>1</v>
      </c>
      <c r="D810" t="s">
        <v>2924</v>
      </c>
      <c r="E810" t="str" cm="1">
        <f t="array" ref="E810">IF(COUNTIF(A:A, "*" &amp; LEFT(D810, FIND(" ", D810 &amp; " ") - 1) &amp; "*") &gt; 0,INDEX(A:A,FuzzyVLookup(D810,A:A,0,,,2)),"Non-PDL")</f>
        <v>WILATE</v>
      </c>
      <c r="F810" t="str">
        <f t="shared" si="12"/>
        <v>Preferred</v>
      </c>
      <c r="G810" s="1" cm="1">
        <f t="array" ref="G810">FuzzyPercent(D810,E810,2)</f>
        <v>0.25</v>
      </c>
      <c r="H810" t="str" cm="1">
        <f t="array" ref="H810">IF(F810="Non-PDL","",IF(FuzzyPercent(D810,E810,2)&lt;0.4,"CHECK",""))</f>
        <v>CHECK</v>
      </c>
    </row>
    <row r="811" spans="1:8" x14ac:dyDescent="0.2">
      <c r="A811" t="s">
        <v>23</v>
      </c>
      <c r="B811" t="s">
        <v>1</v>
      </c>
      <c r="D811" t="s">
        <v>2925</v>
      </c>
      <c r="E811" t="str" cm="1">
        <f t="array" ref="E811">IF(COUNTIF(A:A, "*" &amp; LEFT(D811, FIND(" ", D811 &amp; " ") - 1) &amp; "*") &gt; 0,INDEX(A:A,FuzzyVLookup(D811,A:A,0,,,2)),"Non-PDL")</f>
        <v>XALKORI (crizotinib)</v>
      </c>
      <c r="F811" t="str">
        <f t="shared" si="12"/>
        <v>Preferred</v>
      </c>
      <c r="G811" s="1" cm="1">
        <f t="array" ref="G811">FuzzyPercent(D811,E811,2)</f>
        <v>0.31578946113586426</v>
      </c>
      <c r="H811" t="str" cm="1">
        <f t="array" ref="H811">IF(F811="Non-PDL","",IF(FuzzyPercent(D811,E811,2)&lt;0.4,"CHECK",""))</f>
        <v>CHECK</v>
      </c>
    </row>
    <row r="812" spans="1:8" x14ac:dyDescent="0.2">
      <c r="A812" t="s">
        <v>25</v>
      </c>
      <c r="B812" t="s">
        <v>1</v>
      </c>
      <c r="D812" t="s">
        <v>2926</v>
      </c>
      <c r="E812" t="str" cm="1">
        <f t="array" ref="E812">IF(COUNTIF(A:A, "*" &amp; LEFT(D812, FIND(" ", D812 &amp; " ") - 1) &amp; "*") &gt; 0,INDEX(A:A,FuzzyVLookup(D812,A:A,0,,,2)),"Non-PDL")</f>
        <v>ENTRESTO (valsartan/sacubitril) sprinkle capsule</v>
      </c>
      <c r="F812" t="str">
        <f t="shared" si="12"/>
        <v>Non-Preferred</v>
      </c>
      <c r="G812" s="1" cm="1">
        <f t="array" ref="G812">FuzzyPercent(D812,E812,2)</f>
        <v>0.27142858505249023</v>
      </c>
      <c r="H812" t="str" cm="1">
        <f t="array" ref="H812">IF(F812="Non-PDL","",IF(FuzzyPercent(D812,E812,2)&lt;0.4,"CHECK",""))</f>
        <v>CHECK</v>
      </c>
    </row>
    <row r="813" spans="1:8" x14ac:dyDescent="0.2">
      <c r="A813" t="s">
        <v>27</v>
      </c>
      <c r="B813" t="s">
        <v>1</v>
      </c>
      <c r="D813" t="s">
        <v>2927</v>
      </c>
      <c r="E813" t="str" cm="1">
        <f t="array" ref="E813">IF(COUNTIF(A:A, "*" &amp; LEFT(D813, FIND(" ", D813 &amp; " ") - 1) &amp; "*") &gt; 0,INDEX(A:A,FuzzyVLookup(D813,A:A,0,,,2)),"Non-PDL")</f>
        <v>Non-PDL</v>
      </c>
      <c r="F813" t="str">
        <f t="shared" si="12"/>
        <v>Non-PDL</v>
      </c>
      <c r="G813" s="1" cm="1">
        <f t="array" ref="G813">FuzzyPercent(D813,E813,2)</f>
        <v>0</v>
      </c>
      <c r="H813" t="str" cm="1">
        <f t="array" ref="H813">IF(F813="Non-PDL","",IF(FuzzyPercent(D813,E813,2)&lt;0.4,"CHECK",""))</f>
        <v/>
      </c>
    </row>
    <row r="814" spans="1:8" x14ac:dyDescent="0.2">
      <c r="A814" t="s">
        <v>29</v>
      </c>
      <c r="B814" t="s">
        <v>1</v>
      </c>
      <c r="D814" t="s">
        <v>2928</v>
      </c>
      <c r="E814" t="str" cm="1">
        <f t="array" ref="E814">IF(COUNTIF(A:A, "*" &amp; LEFT(D814, FIND(" ", D814 &amp; " ") - 1) &amp; "*") &gt; 0,INDEX(A:A,FuzzyVLookup(D814,A:A,0,,,2)),"Non-PDL")</f>
        <v>Non-PDL</v>
      </c>
      <c r="F814" t="str">
        <f t="shared" si="12"/>
        <v>Non-PDL</v>
      </c>
      <c r="G814" s="1" cm="1">
        <f t="array" ref="G814">FuzzyPercent(D814,E814,2)</f>
        <v>0</v>
      </c>
      <c r="H814" t="str" cm="1">
        <f t="array" ref="H814">IF(F814="Non-PDL","",IF(FuzzyPercent(D814,E814,2)&lt;0.4,"CHECK",""))</f>
        <v/>
      </c>
    </row>
    <row r="815" spans="1:8" x14ac:dyDescent="0.2">
      <c r="A815" t="s">
        <v>31</v>
      </c>
      <c r="B815" t="s">
        <v>1</v>
      </c>
      <c r="D815" t="s">
        <v>2929</v>
      </c>
      <c r="E815" t="str" cm="1">
        <f t="array" ref="E815">IF(COUNTIF(A:A, "*" &amp; LEFT(D815, FIND(" ", D815 &amp; " ") - 1) &amp; "*") &gt; 0,INDEX(A:A,FuzzyVLookup(D815,A:A,0,,,2)),"Non-PDL")</f>
        <v>Non-PDL</v>
      </c>
      <c r="F815" t="str">
        <f t="shared" si="12"/>
        <v>Non-PDL</v>
      </c>
      <c r="G815" s="1" cm="1">
        <f t="array" ref="G815">FuzzyPercent(D815,E815,2)</f>
        <v>0</v>
      </c>
      <c r="H815" t="str" cm="1">
        <f t="array" ref="H815">IF(F815="Non-PDL","",IF(FuzzyPercent(D815,E815,2)&lt;0.4,"CHECK",""))</f>
        <v/>
      </c>
    </row>
    <row r="816" spans="1:8" x14ac:dyDescent="0.2">
      <c r="A816" t="s">
        <v>33</v>
      </c>
      <c r="B816" t="s">
        <v>1</v>
      </c>
      <c r="D816" t="s">
        <v>2930</v>
      </c>
      <c r="E816" t="str" cm="1">
        <f t="array" ref="E816">IF(COUNTIF(A:A, "*" &amp; LEFT(D816, FIND(" ", D816 &amp; " ") - 1) &amp; "*") &gt; 0,INDEX(A:A,FuzzyVLookup(D816,A:A,0,,,2)),"Non-PDL")</f>
        <v>Non-PDL</v>
      </c>
      <c r="F816" t="str">
        <f t="shared" si="12"/>
        <v>Non-PDL</v>
      </c>
      <c r="G816" s="1" cm="1">
        <f t="array" ref="G816">FuzzyPercent(D816,E816,2)</f>
        <v>0</v>
      </c>
      <c r="H816" t="str" cm="1">
        <f t="array" ref="H816">IF(F816="Non-PDL","",IF(FuzzyPercent(D816,E816,2)&lt;0.4,"CHECK",""))</f>
        <v/>
      </c>
    </row>
    <row r="817" spans="1:8" x14ac:dyDescent="0.2">
      <c r="A817" t="s">
        <v>35</v>
      </c>
      <c r="B817" t="s">
        <v>1</v>
      </c>
      <c r="D817" t="s">
        <v>2931</v>
      </c>
      <c r="E817" t="str" cm="1">
        <f t="array" ref="E817">IF(COUNTIF(A:A, "*" &amp; LEFT(D817, FIND(" ", D817 &amp; " ") - 1) &amp; "*") &gt; 0,INDEX(A:A,FuzzyVLookup(D817,A:A,0,,,2)),"Non-PDL")</f>
        <v>Non-PDL</v>
      </c>
      <c r="F817" t="str">
        <f t="shared" si="12"/>
        <v>Non-PDL</v>
      </c>
      <c r="G817" s="1" cm="1">
        <f t="array" ref="G817">FuzzyPercent(D817,E817,2)</f>
        <v>0</v>
      </c>
      <c r="H817" t="str" cm="1">
        <f t="array" ref="H817">IF(F817="Non-PDL","",IF(FuzzyPercent(D817,E817,2)&lt;0.4,"CHECK",""))</f>
        <v/>
      </c>
    </row>
    <row r="818" spans="1:8" x14ac:dyDescent="0.2">
      <c r="A818" t="s">
        <v>37</v>
      </c>
      <c r="B818" t="s">
        <v>1</v>
      </c>
      <c r="D818" t="s">
        <v>2932</v>
      </c>
      <c r="E818" t="str" cm="1">
        <f t="array" ref="E818">IF(COUNTIF(A:A, "*" &amp; LEFT(D818, FIND(" ", D818 &amp; " ") - 1) &amp; "*") &gt; 0,INDEX(A:A,FuzzyVLookup(D818,A:A,0,,,2)),"Non-PDL")</f>
        <v>Non-PDL</v>
      </c>
      <c r="F818" t="str">
        <f t="shared" si="12"/>
        <v>Non-PDL</v>
      </c>
      <c r="G818" s="1" cm="1">
        <f t="array" ref="G818">FuzzyPercent(D818,E818,2)</f>
        <v>0</v>
      </c>
      <c r="H818" t="str" cm="1">
        <f t="array" ref="H818">IF(F818="Non-PDL","",IF(FuzzyPercent(D818,E818,2)&lt;0.4,"CHECK",""))</f>
        <v/>
      </c>
    </row>
    <row r="819" spans="1:8" x14ac:dyDescent="0.2">
      <c r="A819" t="s">
        <v>39</v>
      </c>
      <c r="B819" t="s">
        <v>1</v>
      </c>
      <c r="D819" t="s">
        <v>2933</v>
      </c>
      <c r="E819" t="str" cm="1">
        <f t="array" ref="E819">IF(COUNTIF(A:A, "*" &amp; LEFT(D819, FIND(" ", D819 &amp; " ") - 1) &amp; "*") &gt; 0,INDEX(A:A,FuzzyVLookup(D819,A:A,0,,,2)),"Non-PDL")</f>
        <v>XELJANZ XR (tofacitinib)</v>
      </c>
      <c r="F819" t="str">
        <f t="shared" si="12"/>
        <v>Non-Preferred</v>
      </c>
      <c r="G819" s="1" cm="1">
        <f t="array" ref="G819">FuzzyPercent(D819,E819,2)</f>
        <v>0.26086956262588501</v>
      </c>
      <c r="H819" t="str" cm="1">
        <f t="array" ref="H819">IF(F819="Non-PDL","",IF(FuzzyPercent(D819,E819,2)&lt;0.4,"CHECK",""))</f>
        <v>CHECK</v>
      </c>
    </row>
    <row r="820" spans="1:8" x14ac:dyDescent="0.2">
      <c r="A820" t="s">
        <v>41</v>
      </c>
      <c r="B820" t="s">
        <v>1</v>
      </c>
      <c r="D820" t="s">
        <v>2934</v>
      </c>
      <c r="E820" t="str" cm="1">
        <f t="array" ref="E820">IF(COUNTIF(A:A, "*" &amp; LEFT(D820, FIND(" ", D820 &amp; " ") - 1) &amp; "*") &gt; 0,INDEX(A:A,FuzzyVLookup(D820,A:A,0,,,2)),"Non-PDL")</f>
        <v>fluphenazine</v>
      </c>
      <c r="F820" t="str">
        <f t="shared" si="12"/>
        <v>Preferred</v>
      </c>
      <c r="G820" s="1" cm="1">
        <f t="array" ref="G820">FuzzyPercent(D820,E820,2)</f>
        <v>0.37142857909202576</v>
      </c>
      <c r="H820" t="str" cm="1">
        <f t="array" ref="H820">IF(F820="Non-PDL","",IF(FuzzyPercent(D820,E820,2)&lt;0.4,"CHECK",""))</f>
        <v>CHECK</v>
      </c>
    </row>
    <row r="821" spans="1:8" x14ac:dyDescent="0.2">
      <c r="A821" t="s">
        <v>43</v>
      </c>
      <c r="B821" t="s">
        <v>1</v>
      </c>
      <c r="D821" t="s">
        <v>2935</v>
      </c>
      <c r="E821" t="str" cm="1">
        <f t="array" ref="E821">IF(COUNTIF(A:A, "*" &amp; LEFT(D821, FIND(" ", D821 &amp; " ") - 1) &amp; "*") &gt; 0,INDEX(A:A,FuzzyVLookup(D821,A:A,0,,,2)),"Non-PDL")</f>
        <v>Non-PDL</v>
      </c>
      <c r="F821" t="str">
        <f t="shared" si="12"/>
        <v>Non-PDL</v>
      </c>
      <c r="G821" s="1" cm="1">
        <f t="array" ref="G821">FuzzyPercent(D821,E821,2)</f>
        <v>0</v>
      </c>
      <c r="H821" t="str" cm="1">
        <f t="array" ref="H821">IF(F821="Non-PDL","",IF(FuzzyPercent(D821,E821,2)&lt;0.4,"CHECK",""))</f>
        <v/>
      </c>
    </row>
    <row r="822" spans="1:8" x14ac:dyDescent="0.2">
      <c r="A822" t="s">
        <v>45</v>
      </c>
      <c r="B822" t="s">
        <v>1</v>
      </c>
      <c r="D822" t="s">
        <v>2936</v>
      </c>
      <c r="E822" t="str" cm="1">
        <f t="array" ref="E822">IF(COUNTIF(A:A, "*" &amp; LEFT(D822, FIND(" ", D822 &amp; " ") - 1) &amp; "*") &gt; 0,INDEX(A:A,FuzzyVLookup(D822,A:A,0,,,2)),"Non-PDL")</f>
        <v>XIGDUO XR (dapagliflozin/metformin)</v>
      </c>
      <c r="F822" t="str">
        <f t="shared" si="12"/>
        <v>Non-Preferred</v>
      </c>
      <c r="G822" s="1" cm="1">
        <f t="array" ref="G822">FuzzyPercent(D822,E822,2)</f>
        <v>0.25454545021057129</v>
      </c>
      <c r="H822" t="str" cm="1">
        <f t="array" ref="H822">IF(F822="Non-PDL","",IF(FuzzyPercent(D822,E822,2)&lt;0.4,"CHECK",""))</f>
        <v>CHECK</v>
      </c>
    </row>
    <row r="823" spans="1:8" x14ac:dyDescent="0.2">
      <c r="A823" t="s">
        <v>47</v>
      </c>
      <c r="B823" t="s">
        <v>1</v>
      </c>
      <c r="D823" t="s">
        <v>2937</v>
      </c>
      <c r="E823" t="str" cm="1">
        <f t="array" ref="E823">IF(COUNTIF(A:A, "*" &amp; LEFT(D823, FIND(" ", D823 &amp; " ") - 1) &amp; "*") &gt; 0,INDEX(A:A,FuzzyVLookup(D823,A:A,0,,,2)),"Non-PDL")</f>
        <v>Non-PDL</v>
      </c>
      <c r="F823" t="str">
        <f t="shared" si="12"/>
        <v>Non-PDL</v>
      </c>
      <c r="G823" s="1" cm="1">
        <f t="array" ref="G823">FuzzyPercent(D823,E823,2)</f>
        <v>0</v>
      </c>
      <c r="H823" t="str" cm="1">
        <f t="array" ref="H823">IF(F823="Non-PDL","",IF(FuzzyPercent(D823,E823,2)&lt;0.4,"CHECK",""))</f>
        <v/>
      </c>
    </row>
    <row r="824" spans="1:8" x14ac:dyDescent="0.2">
      <c r="A824" t="s">
        <v>49</v>
      </c>
      <c r="B824" t="s">
        <v>1</v>
      </c>
      <c r="D824" t="s">
        <v>2938</v>
      </c>
      <c r="E824" t="str" cm="1">
        <f t="array" ref="E824">IF(COUNTIF(A:A, "*" &amp; LEFT(D824, FIND(" ", D824 &amp; " ") - 1) &amp; "*") &gt; 0,INDEX(A:A,FuzzyVLookup(D824,A:A,0,,,2)),"Non-PDL")</f>
        <v>XOFLUZA (baloxavir)</v>
      </c>
      <c r="F824" t="str">
        <f t="shared" si="12"/>
        <v>Preferred</v>
      </c>
      <c r="G824" s="1" cm="1">
        <f t="array" ref="G824">FuzzyPercent(D824,E824,2)</f>
        <v>0.36000001430511475</v>
      </c>
      <c r="H824" t="str" cm="1">
        <f t="array" ref="H824">IF(F824="Non-PDL","",IF(FuzzyPercent(D824,E824,2)&lt;0.4,"CHECK",""))</f>
        <v>CHECK</v>
      </c>
    </row>
    <row r="825" spans="1:8" x14ac:dyDescent="0.2">
      <c r="A825" t="s">
        <v>51</v>
      </c>
      <c r="B825" t="s">
        <v>1</v>
      </c>
      <c r="D825" t="s">
        <v>2939</v>
      </c>
      <c r="E825" t="str" cm="1">
        <f t="array" ref="E825">IF(COUNTIF(A:A, "*" &amp; LEFT(D825, FIND(" ", D825 &amp; " ") - 1) &amp; "*") &gt; 0,INDEX(A:A,FuzzyVLookup(D825,A:A,0,,,2)),"Non-PDL")</f>
        <v>XOLAIR (omalizumab)</v>
      </c>
      <c r="F825" t="str">
        <f t="shared" si="12"/>
        <v>Preferred</v>
      </c>
      <c r="G825" s="1" cm="1">
        <f t="array" ref="G825">FuzzyPercent(D825,E825,2)</f>
        <v>0.19565217196941376</v>
      </c>
      <c r="H825" t="str" cm="1">
        <f t="array" ref="H825">IF(F825="Non-PDL","",IF(FuzzyPercent(D825,E825,2)&lt;0.4,"CHECK",""))</f>
        <v>CHECK</v>
      </c>
    </row>
    <row r="826" spans="1:8" x14ac:dyDescent="0.2">
      <c r="A826" t="s">
        <v>53</v>
      </c>
      <c r="B826" t="s">
        <v>1</v>
      </c>
      <c r="D826" t="s">
        <v>2940</v>
      </c>
      <c r="E826" t="str" cm="1">
        <f t="array" ref="E826">IF(COUNTIF(A:A, "*" &amp; LEFT(D826, FIND(" ", D826 &amp; " ") - 1) &amp; "*") &gt; 0,INDEX(A:A,FuzzyVLookup(D826,A:A,0,,,2)),"Non-PDL")</f>
        <v>XOPENEX HFA (levalbuterol)</v>
      </c>
      <c r="F826" t="str">
        <f t="shared" si="12"/>
        <v>Non-Preferred</v>
      </c>
      <c r="G826" s="1" cm="1">
        <f t="array" ref="G826">FuzzyPercent(D826,E826,2)</f>
        <v>0.4337349534034729</v>
      </c>
      <c r="H826" t="str" cm="1">
        <f t="array" ref="H826">IF(F826="Non-PDL","",IF(FuzzyPercent(D826,E826,2)&lt;0.4,"CHECK",""))</f>
        <v/>
      </c>
    </row>
    <row r="827" spans="1:8" x14ac:dyDescent="0.2">
      <c r="A827" t="s">
        <v>55</v>
      </c>
      <c r="B827" t="s">
        <v>1</v>
      </c>
      <c r="D827" t="s">
        <v>2941</v>
      </c>
      <c r="E827" t="str" cm="1">
        <f t="array" ref="E827">IF(COUNTIF(A:A, "*" &amp; LEFT(D827, FIND(" ", D827 &amp; " ") - 1) &amp; "*") &gt; 0,INDEX(A:A,FuzzyVLookup(D827,A:A,0,,,2)),"Non-PDL")</f>
        <v>XTANDI (enzalutamide)</v>
      </c>
      <c r="F827" t="str">
        <f t="shared" si="12"/>
        <v>Preferred</v>
      </c>
      <c r="G827" s="1" cm="1">
        <f t="array" ref="G827">FuzzyPercent(D827,E827,2)</f>
        <v>0.28070175647735596</v>
      </c>
      <c r="H827" t="str" cm="1">
        <f t="array" ref="H827">IF(F827="Non-PDL","",IF(FuzzyPercent(D827,E827,2)&lt;0.4,"CHECK",""))</f>
        <v>CHECK</v>
      </c>
    </row>
    <row r="828" spans="1:8" x14ac:dyDescent="0.2">
      <c r="A828" t="s">
        <v>57</v>
      </c>
      <c r="B828" t="s">
        <v>1</v>
      </c>
      <c r="D828" t="s">
        <v>2942</v>
      </c>
      <c r="E828" t="str" cm="1">
        <f t="array" ref="E828">IF(COUNTIF(A:A, "*" &amp; LEFT(D828, FIND(" ", D828 &amp; " ") - 1) &amp; "*") &gt; 0,INDEX(A:A,FuzzyVLookup(D828,A:A,0,,,2)),"Non-PDL")</f>
        <v>Non-PDL</v>
      </c>
      <c r="F828" t="str">
        <f t="shared" si="12"/>
        <v>Non-PDL</v>
      </c>
      <c r="G828" s="1" cm="1">
        <f t="array" ref="G828">FuzzyPercent(D828,E828,2)</f>
        <v>0</v>
      </c>
      <c r="H828" t="str" cm="1">
        <f t="array" ref="H828">IF(F828="Non-PDL","",IF(FuzzyPercent(D828,E828,2)&lt;0.4,"CHECK",""))</f>
        <v/>
      </c>
    </row>
    <row r="829" spans="1:8" x14ac:dyDescent="0.2">
      <c r="A829" t="s">
        <v>59</v>
      </c>
      <c r="B829" t="s">
        <v>1</v>
      </c>
      <c r="D829" t="s">
        <v>2943</v>
      </c>
      <c r="E829" t="str" cm="1">
        <f t="array" ref="E829">IF(COUNTIF(A:A, "*" &amp; LEFT(D829, FIND(" ", D829 &amp; " ") - 1) &amp; "*") &gt; 0,INDEX(A:A,FuzzyVLookup(D829,A:A,0,,,2)),"Non-PDL")</f>
        <v>XULTOPHY (insulin degludec/liraglutide)</v>
      </c>
      <c r="F829" t="str">
        <f t="shared" si="12"/>
        <v>Non-Preferred</v>
      </c>
      <c r="G829" s="1" cm="1">
        <f t="array" ref="G829">FuzzyPercent(D829,E829,2)</f>
        <v>0.19512194395065308</v>
      </c>
      <c r="H829" t="str" cm="1">
        <f t="array" ref="H829">IF(F829="Non-PDL","",IF(FuzzyPercent(D829,E829,2)&lt;0.4,"CHECK",""))</f>
        <v>CHECK</v>
      </c>
    </row>
    <row r="830" spans="1:8" x14ac:dyDescent="0.2">
      <c r="A830" t="s">
        <v>61</v>
      </c>
      <c r="B830" t="s">
        <v>1</v>
      </c>
      <c r="D830" t="s">
        <v>2944</v>
      </c>
      <c r="E830" t="str" cm="1">
        <f t="array" ref="E830">IF(COUNTIF(A:A, "*" &amp; LEFT(D830, FIND(" ", D830 &amp; " ") - 1) &amp; "*") &gt; 0,INDEX(A:A,FuzzyVLookup(D830,A:A,0,,,2)),"Non-PDL")</f>
        <v>lanthanum</v>
      </c>
      <c r="F830" t="str">
        <f t="shared" si="12"/>
        <v>Non-Preferred</v>
      </c>
      <c r="G830" s="1" cm="1">
        <f t="array" ref="G830">FuzzyPercent(D830,E830,2)</f>
        <v>0.27272728085517883</v>
      </c>
      <c r="H830" t="str" cm="1">
        <f t="array" ref="H830">IF(F830="Non-PDL","",IF(FuzzyPercent(D830,E830,2)&lt;0.4,"CHECK",""))</f>
        <v>CHECK</v>
      </c>
    </row>
    <row r="831" spans="1:8" x14ac:dyDescent="0.2">
      <c r="A831" t="s">
        <v>63</v>
      </c>
      <c r="B831" t="s">
        <v>1</v>
      </c>
      <c r="D831" t="s">
        <v>2945</v>
      </c>
      <c r="E831" t="str" cm="1">
        <f t="array" ref="E831">IF(COUNTIF(A:A, "*" &amp; LEFT(D831, FIND(" ", D831 &amp; " ") - 1) &amp; "*") &gt; 0,INDEX(A:A,FuzzyVLookup(D831,A:A,0,,,2)),"Non-PDL")</f>
        <v>XYREM (sodium oxybate)</v>
      </c>
      <c r="F831" t="str">
        <f t="shared" si="12"/>
        <v>Preferred</v>
      </c>
      <c r="G831" s="1" cm="1">
        <f t="array" ref="G831">FuzzyPercent(D831,E831,2)</f>
        <v>0.17543859779834747</v>
      </c>
      <c r="H831" t="str" cm="1">
        <f t="array" ref="H831">IF(F831="Non-PDL","",IF(FuzzyPercent(D831,E831,2)&lt;0.4,"CHECK",""))</f>
        <v>CHECK</v>
      </c>
    </row>
    <row r="832" spans="1:8" x14ac:dyDescent="0.2">
      <c r="A832" t="s">
        <v>65</v>
      </c>
      <c r="B832" t="s">
        <v>1</v>
      </c>
      <c r="D832" t="s">
        <v>2946</v>
      </c>
      <c r="E832" t="str" cm="1">
        <f t="array" ref="E832">IF(COUNTIF(A:A, "*" &amp; LEFT(D832, FIND(" ", D832 &amp; " ") - 1) &amp; "*") &gt; 0,INDEX(A:A,FuzzyVLookup(D832,A:A,0,,,2)),"Non-PDL")</f>
        <v>warfarin</v>
      </c>
      <c r="F832" t="str">
        <f t="shared" si="12"/>
        <v>Preferred</v>
      </c>
      <c r="G832" s="1" cm="1">
        <f t="array" ref="G832">FuzzyPercent(D832,E832,2)</f>
        <v>0.11764705926179886</v>
      </c>
      <c r="H832" t="str" cm="1">
        <f t="array" ref="H832">IF(F832="Non-PDL","",IF(FuzzyPercent(D832,E832,2)&lt;0.4,"CHECK",""))</f>
        <v>CHECK</v>
      </c>
    </row>
    <row r="833" spans="1:8" x14ac:dyDescent="0.2">
      <c r="A833" t="s">
        <v>67</v>
      </c>
      <c r="B833" t="s">
        <v>1</v>
      </c>
      <c r="D833" t="s">
        <v>2947</v>
      </c>
      <c r="E833" t="str" cm="1">
        <f t="array" ref="E833">IF(COUNTIF(A:A, "*" &amp; LEFT(D833, FIND(" ", D833 &amp; " ") - 1) &amp; "*") &gt; 0,INDEX(A:A,FuzzyVLookup(D833,A:A,0,,,2)),"Non-PDL")</f>
        <v>Non-PDL</v>
      </c>
      <c r="F833" t="str">
        <f t="shared" si="12"/>
        <v>Non-PDL</v>
      </c>
      <c r="G833" s="1" cm="1">
        <f t="array" ref="G833">FuzzyPercent(D833,E833,2)</f>
        <v>0</v>
      </c>
      <c r="H833" t="str" cm="1">
        <f t="array" ref="H833">IF(F833="Non-PDL","",IF(FuzzyPercent(D833,E833,2)&lt;0.4,"CHECK",""))</f>
        <v/>
      </c>
    </row>
    <row r="834" spans="1:8" x14ac:dyDescent="0.2">
      <c r="A834" t="s">
        <v>69</v>
      </c>
      <c r="B834" t="s">
        <v>1</v>
      </c>
      <c r="D834" t="s">
        <v>2948</v>
      </c>
      <c r="E834" t="str" cm="1">
        <f t="array" ref="E834">IF(COUNTIF(A:A, "*" &amp; LEFT(D834, FIND(" ", D834 &amp; " ") - 1) &amp; "*") &gt; 0,INDEX(A:A,FuzzyVLookup(D834,A:A,0,,,2)),"Non-PDL")</f>
        <v>Non-PDL</v>
      </c>
      <c r="F834" t="str">
        <f t="shared" si="12"/>
        <v>Non-PDL</v>
      </c>
      <c r="G834" s="1" cm="1">
        <f t="array" ref="G834">FuzzyPercent(D834,E834,2)</f>
        <v>0</v>
      </c>
      <c r="H834" t="str" cm="1">
        <f t="array" ref="H834">IF(F834="Non-PDL","",IF(FuzzyPercent(D834,E834,2)&lt;0.4,"CHECK",""))</f>
        <v/>
      </c>
    </row>
    <row r="835" spans="1:8" x14ac:dyDescent="0.2">
      <c r="A835" t="s">
        <v>71</v>
      </c>
      <c r="B835" t="s">
        <v>1</v>
      </c>
      <c r="D835" t="s">
        <v>2949</v>
      </c>
      <c r="E835" t="str" cm="1">
        <f t="array" ref="E835">IF(COUNTIF(A:A, "*" &amp; LEFT(D835, FIND(" ", D835 &amp; " ") - 1) &amp; "*") &gt; 0,INDEX(A:A,FuzzyVLookup(D835,A:A,0,,,2)),"Non-PDL")</f>
        <v>Non-PDL</v>
      </c>
      <c r="F835" t="str">
        <f t="shared" ref="F835:F867" si="13">_xlfn.IFNA(_xlfn.XLOOKUP(E835,A:A,B:B),"Non-PDL")</f>
        <v>Non-PDL</v>
      </c>
      <c r="G835" s="1" cm="1">
        <f t="array" ref="G835">FuzzyPercent(D835,E835,2)</f>
        <v>0</v>
      </c>
      <c r="H835" t="str" cm="1">
        <f t="array" ref="H835">IF(F835="Non-PDL","",IF(FuzzyPercent(D835,E835,2)&lt;0.4,"CHECK",""))</f>
        <v/>
      </c>
    </row>
    <row r="836" spans="1:8" x14ac:dyDescent="0.2">
      <c r="A836" t="s">
        <v>73</v>
      </c>
      <c r="B836" t="s">
        <v>1</v>
      </c>
      <c r="D836" t="s">
        <v>2950</v>
      </c>
      <c r="E836" t="str" cm="1">
        <f t="array" ref="E836">IF(COUNTIF(A:A, "*" &amp; LEFT(D836, FIND(" ", D836 &amp; " ") - 1) &amp; "*") &gt; 0,INDEX(A:A,FuzzyVLookup(D836,A:A,0,,,2)),"Non-PDL")</f>
        <v>YORVIPATH (palopegteriparatide)</v>
      </c>
      <c r="F836" t="str">
        <f t="shared" si="13"/>
        <v>Non-Preferred</v>
      </c>
      <c r="G836" s="1" cm="1">
        <f t="array" ref="G836">FuzzyPercent(D836,E836,2)</f>
        <v>0.2916666567325592</v>
      </c>
      <c r="H836" t="str" cm="1">
        <f t="array" ref="H836">IF(F836="Non-PDL","",IF(FuzzyPercent(D836,E836,2)&lt;0.4,"CHECK",""))</f>
        <v>CHECK</v>
      </c>
    </row>
    <row r="837" spans="1:8" x14ac:dyDescent="0.2">
      <c r="A837" t="s">
        <v>75</v>
      </c>
      <c r="B837" t="s">
        <v>1</v>
      </c>
      <c r="D837" t="s">
        <v>2951</v>
      </c>
      <c r="E837" t="str" cm="1">
        <f t="array" ref="E837">IF(COUNTIF(A:A, "*" &amp; LEFT(D837, FIND(" ", D837 &amp; " ") - 1) &amp; "*") &gt; 0,INDEX(A:A,FuzzyVLookup(D837,A:A,0,,,2)),"Non-PDL")</f>
        <v>YUFLYMA (adalimumab-aaty)</v>
      </c>
      <c r="F837" t="str">
        <f t="shared" si="13"/>
        <v>Non-Preferred</v>
      </c>
      <c r="G837" s="1" cm="1">
        <f t="array" ref="G837">FuzzyPercent(D837,E837,2)</f>
        <v>0.25352111458778381</v>
      </c>
      <c r="H837" t="str" cm="1">
        <f t="array" ref="H837">IF(F837="Non-PDL","",IF(FuzzyPercent(D837,E837,2)&lt;0.4,"CHECK",""))</f>
        <v>CHECK</v>
      </c>
    </row>
    <row r="838" spans="1:8" x14ac:dyDescent="0.2">
      <c r="A838" t="s">
        <v>77</v>
      </c>
      <c r="B838" t="s">
        <v>1</v>
      </c>
      <c r="D838" t="s">
        <v>2952</v>
      </c>
      <c r="E838" t="str" cm="1">
        <f t="array" ref="E838">IF(COUNTIF(A:A, "*" &amp; LEFT(D838, FIND(" ", D838 &amp; " ") - 1) &amp; "*") &gt; 0,INDEX(A:A,FuzzyVLookup(D838,A:A,0,,,2)),"Non-PDL")</f>
        <v>Non-PDL</v>
      </c>
      <c r="F838" t="str">
        <f t="shared" si="13"/>
        <v>Non-PDL</v>
      </c>
      <c r="G838" s="1" cm="1">
        <f t="array" ref="G838">FuzzyPercent(D838,E838,2)</f>
        <v>8.4033617749810219E-3</v>
      </c>
      <c r="H838" t="str" cm="1">
        <f t="array" ref="H838">IF(F838="Non-PDL","",IF(FuzzyPercent(D838,E838,2)&lt;0.4,"CHECK",""))</f>
        <v/>
      </c>
    </row>
    <row r="839" spans="1:8" x14ac:dyDescent="0.2">
      <c r="A839" t="s">
        <v>79</v>
      </c>
      <c r="B839" t="s">
        <v>1</v>
      </c>
      <c r="D839" t="s">
        <v>2953</v>
      </c>
      <c r="E839" t="str" cm="1">
        <f t="array" ref="E839">IF(COUNTIF(A:A, "*" &amp; LEFT(D839, FIND(" ", D839 &amp; " ") - 1) &amp; "*") &gt; 0,INDEX(A:A,FuzzyVLookup(D839,A:A,0,,,2)),"Non-PDL")</f>
        <v>YUSIMRY (adalimumab-aqvh)</v>
      </c>
      <c r="F839" t="str">
        <f t="shared" si="13"/>
        <v>Non-Preferred</v>
      </c>
      <c r="G839" s="1" cm="1">
        <f t="array" ref="G839">FuzzyPercent(D839,E839,2)</f>
        <v>0.25352111458778381</v>
      </c>
      <c r="H839" t="str" cm="1">
        <f t="array" ref="H839">IF(F839="Non-PDL","",IF(FuzzyPercent(D839,E839,2)&lt;0.4,"CHECK",""))</f>
        <v>CHECK</v>
      </c>
    </row>
    <row r="840" spans="1:8" x14ac:dyDescent="0.2">
      <c r="A840" t="s">
        <v>81</v>
      </c>
      <c r="B840" t="s">
        <v>1</v>
      </c>
      <c r="D840" t="s">
        <v>2954</v>
      </c>
      <c r="E840" t="str" cm="1">
        <f t="array" ref="E840">IF(COUNTIF(A:A, "*" &amp; LEFT(D840, FIND(" ", D840 &amp; " ") - 1) &amp; "*") &gt; 0,INDEX(A:A,FuzzyVLookup(D840,A:A,0,,,2)),"Non-PDL")</f>
        <v>zafirlukast</v>
      </c>
      <c r="F840" t="str">
        <f t="shared" si="13"/>
        <v>Preferred</v>
      </c>
      <c r="G840" s="1" cm="1">
        <f t="array" ref="G840">FuzzyPercent(D840,E840,2)</f>
        <v>0.15384615957736969</v>
      </c>
      <c r="H840" t="str" cm="1">
        <f t="array" ref="H840">IF(F840="Non-PDL","",IF(FuzzyPercent(D840,E840,2)&lt;0.4,"CHECK",""))</f>
        <v>CHECK</v>
      </c>
    </row>
    <row r="841" spans="1:8" x14ac:dyDescent="0.2">
      <c r="A841" t="s">
        <v>83</v>
      </c>
      <c r="B841" t="s">
        <v>1</v>
      </c>
      <c r="D841" t="s">
        <v>2955</v>
      </c>
      <c r="E841" t="str" cm="1">
        <f t="array" ref="E841">IF(COUNTIF(A:A, "*" &amp; LEFT(D841, FIND(" ", D841 &amp; " ") - 1) &amp; "*") &gt; 0,INDEX(A:A,FuzzyVLookup(D841,A:A,0,,,2)),"Non-PDL")</f>
        <v>Non-PDL</v>
      </c>
      <c r="F841" t="str">
        <f t="shared" si="13"/>
        <v>Non-PDL</v>
      </c>
      <c r="G841" s="1" cm="1">
        <f t="array" ref="G841">FuzzyPercent(D841,E841,2)</f>
        <v>0</v>
      </c>
      <c r="H841" t="str" cm="1">
        <f t="array" ref="H841">IF(F841="Non-PDL","",IF(FuzzyPercent(D841,E841,2)&lt;0.4,"CHECK",""))</f>
        <v/>
      </c>
    </row>
    <row r="842" spans="1:8" x14ac:dyDescent="0.2">
      <c r="A842" t="s">
        <v>85</v>
      </c>
      <c r="B842" t="s">
        <v>1</v>
      </c>
      <c r="D842" t="s">
        <v>2956</v>
      </c>
      <c r="E842" t="str" cm="1">
        <f t="array" ref="E842">IF(COUNTIF(A:A, "*" &amp; LEFT(D842, FIND(" ", D842 &amp; " ") - 1) &amp; "*") &gt; 0,INDEX(A:A,FuzzyVLookup(D842,A:A,0,,,2)),"Non-PDL")</f>
        <v>ZANAFLEX (tizanidine)</v>
      </c>
      <c r="F842" t="str">
        <f t="shared" si="13"/>
        <v>Non-Preferred</v>
      </c>
      <c r="G842" s="1" cm="1">
        <f t="array" ref="G842">FuzzyPercent(D842,E842,2)</f>
        <v>0.33734938502311707</v>
      </c>
      <c r="H842" t="str" cm="1">
        <f t="array" ref="H842">IF(F842="Non-PDL","",IF(FuzzyPercent(D842,E842,2)&lt;0.4,"CHECK",""))</f>
        <v>CHECK</v>
      </c>
    </row>
    <row r="843" spans="1:8" x14ac:dyDescent="0.2">
      <c r="A843" t="s">
        <v>87</v>
      </c>
      <c r="B843" t="s">
        <v>1</v>
      </c>
      <c r="D843" t="s">
        <v>2957</v>
      </c>
      <c r="E843" t="str" cm="1">
        <f t="array" ref="E843">IF(COUNTIF(A:A, "*" &amp; LEFT(D843, FIND(" ", D843 &amp; " ") - 1) &amp; "*") &gt; 0,INDEX(A:A,FuzzyVLookup(D843,A:A,0,,,2)),"Non-PDL")</f>
        <v>ZANAFLEX (tizanidine)</v>
      </c>
      <c r="F843" t="str">
        <f t="shared" si="13"/>
        <v>Non-Preferred</v>
      </c>
      <c r="G843" s="1" cm="1">
        <f t="array" ref="G843">FuzzyPercent(D843,E843,2)</f>
        <v>0.35443037748336792</v>
      </c>
      <c r="H843" t="str" cm="1">
        <f t="array" ref="H843">IF(F843="Non-PDL","",IF(FuzzyPercent(D843,E843,2)&lt;0.4,"CHECK",""))</f>
        <v>CHECK</v>
      </c>
    </row>
    <row r="844" spans="1:8" x14ac:dyDescent="0.2">
      <c r="A844" t="s">
        <v>89</v>
      </c>
      <c r="B844" t="s">
        <v>1</v>
      </c>
      <c r="D844" t="s">
        <v>2958</v>
      </c>
      <c r="E844" t="str" cm="1">
        <f t="array" ref="E844">IF(COUNTIF(A:A, "*" &amp; LEFT(D844, FIND(" ", D844 &amp; " ") - 1) &amp; "*") &gt; 0,INDEX(A:A,FuzzyVLookup(D844,A:A,0,,,2)),"Non-PDL")</f>
        <v>ZARXIO (filgrastim-sndz)</v>
      </c>
      <c r="F844" t="str">
        <f t="shared" si="13"/>
        <v>Non-Preferred</v>
      </c>
      <c r="G844" s="1" cm="1">
        <f t="array" ref="G844">FuzzyPercent(D844,E844,2)</f>
        <v>0.23529411852359772</v>
      </c>
      <c r="H844" t="str" cm="1">
        <f t="array" ref="H844">IF(F844="Non-PDL","",IF(FuzzyPercent(D844,E844,2)&lt;0.4,"CHECK",""))</f>
        <v>CHECK</v>
      </c>
    </row>
    <row r="845" spans="1:8" x14ac:dyDescent="0.2">
      <c r="A845" t="s">
        <v>91</v>
      </c>
      <c r="B845" t="s">
        <v>1</v>
      </c>
      <c r="D845" t="s">
        <v>2959</v>
      </c>
      <c r="E845" t="str" cm="1">
        <f t="array" ref="E845">IF(COUNTIF(A:A, "*" &amp; LEFT(D845, FIND(" ", D845 &amp; " ") - 1) &amp; "*") &gt; 0,INDEX(A:A,FuzzyVLookup(D845,A:A,0,,,2)),"Non-PDL")</f>
        <v>ZAVZPRET (zavegepant)</v>
      </c>
      <c r="F845" t="str">
        <f t="shared" si="13"/>
        <v>Non-Preferred</v>
      </c>
      <c r="G845" s="1" cm="1">
        <f t="array" ref="G845">FuzzyPercent(D845,E845,2)</f>
        <v>0.39344263076782227</v>
      </c>
      <c r="H845" t="str" cm="1">
        <f t="array" ref="H845">IF(F845="Non-PDL","",IF(FuzzyPercent(D845,E845,2)&lt;0.4,"CHECK",""))</f>
        <v>CHECK</v>
      </c>
    </row>
    <row r="846" spans="1:8" x14ac:dyDescent="0.2">
      <c r="A846" t="s">
        <v>93</v>
      </c>
      <c r="B846" t="s">
        <v>1</v>
      </c>
      <c r="D846" t="s">
        <v>2960</v>
      </c>
      <c r="E846" t="str" cm="1">
        <f t="array" ref="E846">IF(COUNTIF(A:A, "*" &amp; LEFT(D846, FIND(" ", D846 &amp; " ") - 1) &amp; "*") &gt; 0,INDEX(A:A,FuzzyVLookup(D846,A:A,0,,,2)),"Non-PDL")</f>
        <v>finasteride</v>
      </c>
      <c r="F846" t="str">
        <f t="shared" si="13"/>
        <v>Preferred</v>
      </c>
      <c r="G846" s="1" cm="1">
        <f t="array" ref="G846">FuzzyPercent(D846,E846,2)</f>
        <v>0.18518517911434174</v>
      </c>
      <c r="H846" t="str" cm="1">
        <f t="array" ref="H846">IF(F846="Non-PDL","",IF(FuzzyPercent(D846,E846,2)&lt;0.4,"CHECK",""))</f>
        <v>CHECK</v>
      </c>
    </row>
    <row r="847" spans="1:8" x14ac:dyDescent="0.2">
      <c r="A847" t="s">
        <v>95</v>
      </c>
      <c r="B847" t="s">
        <v>1</v>
      </c>
      <c r="D847" t="s">
        <v>2961</v>
      </c>
      <c r="E847" t="str" cm="1">
        <f t="array" ref="E847">IF(COUNTIF(A:A, "*" &amp; LEFT(D847, FIND(" ", D847 &amp; " ") - 1) &amp; "*") &gt; 0,INDEX(A:A,FuzzyVLookup(D847,A:A,0,,,2)),"Non-PDL")</f>
        <v>ZEJULA (niraparib)</v>
      </c>
      <c r="F847" t="str">
        <f t="shared" si="13"/>
        <v>Preferred</v>
      </c>
      <c r="G847" s="1" cm="1">
        <f t="array" ref="G847">FuzzyPercent(D847,E847,2)</f>
        <v>0.3333333432674408</v>
      </c>
      <c r="H847" t="str" cm="1">
        <f t="array" ref="H847">IF(F847="Non-PDL","",IF(FuzzyPercent(D847,E847,2)&lt;0.4,"CHECK",""))</f>
        <v>CHECK</v>
      </c>
    </row>
    <row r="848" spans="1:8" x14ac:dyDescent="0.2">
      <c r="A848" t="s">
        <v>97</v>
      </c>
      <c r="B848" t="s">
        <v>1</v>
      </c>
      <c r="D848" t="s">
        <v>2962</v>
      </c>
      <c r="E848" t="str" cm="1">
        <f t="array" ref="E848">IF(COUNTIF(A:A, "*" &amp; LEFT(D848, FIND(" ", D848 &amp; " ") - 1) &amp; "*") &gt; 0,INDEX(A:A,FuzzyVLookup(D848,A:A,0,,,2)),"Non-PDL")</f>
        <v>quazepam</v>
      </c>
      <c r="F848" t="str">
        <f t="shared" si="13"/>
        <v>Non-Preferred</v>
      </c>
      <c r="G848" s="1" cm="1">
        <f t="array" ref="G848">FuzzyPercent(D848,E848,2)</f>
        <v>0.3333333432674408</v>
      </c>
      <c r="H848" t="str" cm="1">
        <f t="array" ref="H848">IF(F848="Non-PDL","",IF(FuzzyPercent(D848,E848,2)&lt;0.4,"CHECK",""))</f>
        <v>CHECK</v>
      </c>
    </row>
    <row r="849" spans="1:8" x14ac:dyDescent="0.2">
      <c r="A849" t="s">
        <v>99</v>
      </c>
      <c r="B849" t="s">
        <v>1</v>
      </c>
      <c r="D849" t="s">
        <v>2963</v>
      </c>
      <c r="E849" t="str" cm="1">
        <f t="array" ref="E849">IF(COUNTIF(A:A, "*" &amp; LEFT(D849, FIND(" ", D849 &amp; " ") - 1) &amp; "*") &gt; 0,INDEX(A:A,FuzzyVLookup(D849,A:A,0,,,2)),"Non-PDL")</f>
        <v>ZEPOSIA (ozanimod)</v>
      </c>
      <c r="F849" t="str">
        <f t="shared" si="13"/>
        <v>Non-Preferred</v>
      </c>
      <c r="G849" s="1" cm="1">
        <f t="array" ref="G849">FuzzyPercent(D849,E849,2)</f>
        <v>0.36734694242477417</v>
      </c>
      <c r="H849" t="str" cm="1">
        <f t="array" ref="H849">IF(F849="Non-PDL","",IF(FuzzyPercent(D849,E849,2)&lt;0.4,"CHECK",""))</f>
        <v>CHECK</v>
      </c>
    </row>
    <row r="850" spans="1:8" x14ac:dyDescent="0.2">
      <c r="A850" t="s">
        <v>101</v>
      </c>
      <c r="B850" t="s">
        <v>1</v>
      </c>
      <c r="D850" t="s">
        <v>2964</v>
      </c>
      <c r="E850" t="str" cm="1">
        <f t="array" ref="E850">IF(COUNTIF(A:A, "*" &amp; LEFT(D850, FIND(" ", D850 &amp; " ") - 1) &amp; "*") &gt; 0,INDEX(A:A,FuzzyVLookup(D850,A:A,0,,,2)),"Non-PDL")</f>
        <v>Non-PDL</v>
      </c>
      <c r="F850" t="str">
        <f t="shared" si="13"/>
        <v>Non-PDL</v>
      </c>
      <c r="G850" s="1" cm="1">
        <f t="array" ref="G850">FuzzyPercent(D850,E850,2)</f>
        <v>0</v>
      </c>
      <c r="H850" t="str" cm="1">
        <f t="array" ref="H850">IF(F850="Non-PDL","",IF(FuzzyPercent(D850,E850,2)&lt;0.4,"CHECK",""))</f>
        <v/>
      </c>
    </row>
    <row r="851" spans="1:8" x14ac:dyDescent="0.2">
      <c r="A851" t="s">
        <v>103</v>
      </c>
      <c r="B851" t="s">
        <v>1</v>
      </c>
      <c r="D851" t="s">
        <v>2965</v>
      </c>
      <c r="E851" t="str" cm="1">
        <f t="array" ref="E851">IF(COUNTIF(A:A, "*" &amp; LEFT(D851, FIND(" ", D851 &amp; " ") - 1) &amp; "*") &gt; 0,INDEX(A:A,FuzzyVLookup(D851,A:A,0,,,2)),"Non-PDL")</f>
        <v>ZERVIATE (cetirizine)</v>
      </c>
      <c r="F851" t="str">
        <f t="shared" si="13"/>
        <v>Preferred</v>
      </c>
      <c r="G851" s="1" cm="1">
        <f t="array" ref="G851">FuzzyPercent(D851,E851,2)</f>
        <v>0.4117647111415863</v>
      </c>
      <c r="H851" t="str" cm="1">
        <f t="array" ref="H851">IF(F851="Non-PDL","",IF(FuzzyPercent(D851,E851,2)&lt;0.4,"CHECK",""))</f>
        <v/>
      </c>
    </row>
    <row r="852" spans="1:8" x14ac:dyDescent="0.2">
      <c r="A852" t="s">
        <v>105</v>
      </c>
      <c r="B852" t="s">
        <v>1</v>
      </c>
      <c r="D852" t="s">
        <v>2966</v>
      </c>
      <c r="E852" t="str" cm="1">
        <f t="array" ref="E852">IF(COUNTIF(A:A, "*" &amp; LEFT(D852, FIND(" ", D852 &amp; " ") - 1) &amp; "*") &gt; 0,INDEX(A:A,FuzzyVLookup(D852,A:A,0,,,2)),"Non-PDL")</f>
        <v>ZIEXTENZO (pegfilgratim-bmez)</v>
      </c>
      <c r="F852" t="str">
        <f t="shared" si="13"/>
        <v>Preferred</v>
      </c>
      <c r="G852" s="1" cm="1">
        <f t="array" ref="G852">FuzzyPercent(D852,E852,2)</f>
        <v>0.31818181276321411</v>
      </c>
      <c r="H852" t="str" cm="1">
        <f t="array" ref="H852">IF(F852="Non-PDL","",IF(FuzzyPercent(D852,E852,2)&lt;0.4,"CHECK",""))</f>
        <v>CHECK</v>
      </c>
    </row>
    <row r="853" spans="1:8" x14ac:dyDescent="0.2">
      <c r="A853" t="s">
        <v>107</v>
      </c>
      <c r="B853" t="s">
        <v>1</v>
      </c>
      <c r="D853" t="s">
        <v>2967</v>
      </c>
      <c r="E853" t="str" cm="1">
        <f t="array" ref="E853">IF(COUNTIF(A:A, "*" &amp; LEFT(D853, FIND(" ", D853 &amp; " ") - 1) &amp; "*") &gt; 0,INDEX(A:A,FuzzyVLookup(D853,A:A,0,,,2)),"Non-PDL")</f>
        <v>Non-PDL</v>
      </c>
      <c r="F853" t="str">
        <f t="shared" si="13"/>
        <v>Non-PDL</v>
      </c>
      <c r="G853" s="1" cm="1">
        <f t="array" ref="G853">FuzzyPercent(D853,E853,2)</f>
        <v>0</v>
      </c>
      <c r="H853" t="str" cm="1">
        <f t="array" ref="H853">IF(F853="Non-PDL","",IF(FuzzyPercent(D853,E853,2)&lt;0.4,"CHECK",""))</f>
        <v/>
      </c>
    </row>
    <row r="854" spans="1:8" x14ac:dyDescent="0.2">
      <c r="A854" t="s">
        <v>109</v>
      </c>
      <c r="B854" t="s">
        <v>1</v>
      </c>
      <c r="D854" t="s">
        <v>2968</v>
      </c>
      <c r="E854" t="str" cm="1">
        <f t="array" ref="E854">IF(COUNTIF(A:A, "*" &amp; LEFT(D854, FIND(" ", D854 &amp; " ") - 1) &amp; "*") &gt; 0,INDEX(A:A,FuzzyVLookup(D854,A:A,0,,,2)),"Non-PDL")</f>
        <v>ziprasidone</v>
      </c>
      <c r="F854" t="str">
        <f t="shared" si="13"/>
        <v>Preferred</v>
      </c>
      <c r="G854" s="1" cm="1">
        <f t="array" ref="G854">FuzzyPercent(D854,E854,2)</f>
        <v>1</v>
      </c>
      <c r="H854" t="str" cm="1">
        <f t="array" ref="H854">IF(F854="Non-PDL","",IF(FuzzyPercent(D854,E854,2)&lt;0.4,"CHECK",""))</f>
        <v/>
      </c>
    </row>
    <row r="855" spans="1:8" x14ac:dyDescent="0.2">
      <c r="A855" t="s">
        <v>111</v>
      </c>
      <c r="B855" t="s">
        <v>1</v>
      </c>
      <c r="D855" t="s">
        <v>2969</v>
      </c>
      <c r="E855" t="str" cm="1">
        <f t="array" ref="E855">IF(COUNTIF(A:A, "*" &amp; LEFT(D855, FIND(" ", D855 &amp; " ") - 1) &amp; "*") &gt; 0,INDEX(A:A,FuzzyVLookup(D855,A:A,0,,,2)),"Non-PDL")</f>
        <v>Non-PDL</v>
      </c>
      <c r="F855" t="str">
        <f t="shared" si="13"/>
        <v>Non-PDL</v>
      </c>
      <c r="G855" s="1" cm="1">
        <f t="array" ref="G855">FuzzyPercent(D855,E855,2)</f>
        <v>0</v>
      </c>
      <c r="H855" t="str" cm="1">
        <f t="array" ref="H855">IF(F855="Non-PDL","",IF(FuzzyPercent(D855,E855,2)&lt;0.4,"CHECK",""))</f>
        <v/>
      </c>
    </row>
    <row r="856" spans="1:8" x14ac:dyDescent="0.2">
      <c r="A856" t="s">
        <v>113</v>
      </c>
      <c r="B856" t="s">
        <v>1</v>
      </c>
      <c r="D856" t="s">
        <v>2970</v>
      </c>
      <c r="E856" t="str" cm="1">
        <f t="array" ref="E856">IF(COUNTIF(A:A, "*" &amp; LEFT(D856, FIND(" ", D856 &amp; " ") - 1) &amp; "*") &gt; 0,INDEX(A:A,FuzzyVLookup(D856,A:A,0,,,2)),"Non-PDL")</f>
        <v>Non-PDL</v>
      </c>
      <c r="F856" t="str">
        <f t="shared" si="13"/>
        <v>Non-PDL</v>
      </c>
      <c r="G856" s="1" cm="1">
        <f t="array" ref="G856">FuzzyPercent(D856,E856,2)</f>
        <v>0</v>
      </c>
      <c r="H856" t="str" cm="1">
        <f t="array" ref="H856">IF(F856="Non-PDL","",IF(FuzzyPercent(D856,E856,2)&lt;0.4,"CHECK",""))</f>
        <v/>
      </c>
    </row>
    <row r="857" spans="1:8" x14ac:dyDescent="0.2">
      <c r="A857" t="s">
        <v>115</v>
      </c>
      <c r="B857" t="s">
        <v>1</v>
      </c>
      <c r="D857" t="s">
        <v>2971</v>
      </c>
      <c r="E857" t="str" cm="1">
        <f t="array" ref="E857">IF(COUNTIF(A:A, "*" &amp; LEFT(D857, FIND(" ", D857 &amp; " ") - 1) &amp; "*") &gt; 0,INDEX(A:A,FuzzyVLookup(D857,A:A,0,,,2)),"Non-PDL")</f>
        <v>zolpidem ER</v>
      </c>
      <c r="F857" t="str">
        <f t="shared" si="13"/>
        <v>Non-Preferred</v>
      </c>
      <c r="G857" s="1" cm="1">
        <f t="array" ref="G857">FuzzyPercent(D857,E857,2)</f>
        <v>0.80000001192092896</v>
      </c>
      <c r="H857" t="str" cm="1">
        <f t="array" ref="H857">IF(F857="Non-PDL","",IF(FuzzyPercent(D857,E857,2)&lt;0.4,"CHECK",""))</f>
        <v/>
      </c>
    </row>
    <row r="858" spans="1:8" x14ac:dyDescent="0.2">
      <c r="A858" t="s">
        <v>117</v>
      </c>
      <c r="B858" t="s">
        <v>1</v>
      </c>
      <c r="D858" t="s">
        <v>2972</v>
      </c>
      <c r="E858" t="str" cm="1">
        <f t="array" ref="E858">IF(COUNTIF(A:A, "*" &amp; LEFT(D858, FIND(" ", D858 &amp; " ") - 1) &amp; "*") &gt; 0,INDEX(A:A,FuzzyVLookup(D858,A:A,0,,,2)),"Non-PDL")</f>
        <v>zolpidem ER</v>
      </c>
      <c r="F858" t="str">
        <f t="shared" si="13"/>
        <v>Non-Preferred</v>
      </c>
      <c r="G858" s="1" cm="1">
        <f t="array" ref="G858">FuzzyPercent(D858,E858,2)</f>
        <v>0.77777779102325439</v>
      </c>
      <c r="H858" t="str" cm="1">
        <f t="array" ref="H858">IF(F858="Non-PDL","",IF(FuzzyPercent(D858,E858,2)&lt;0.4,"CHECK",""))</f>
        <v/>
      </c>
    </row>
    <row r="859" spans="1:8" x14ac:dyDescent="0.2">
      <c r="A859" t="s">
        <v>119</v>
      </c>
      <c r="B859" t="s">
        <v>1</v>
      </c>
      <c r="D859" t="s">
        <v>2973</v>
      </c>
      <c r="E859" t="str" cm="1">
        <f t="array" ref="E859">IF(COUNTIF(A:A, "*" &amp; LEFT(D859, FIND(" ", D859 &amp; " ") - 1) &amp; "*") &gt; 0,INDEX(A:A,FuzzyVLookup(D859,A:A,0,,,2)),"Non-PDL")</f>
        <v>zonisamide</v>
      </c>
      <c r="F859" t="str">
        <f t="shared" si="13"/>
        <v>Preferred</v>
      </c>
      <c r="G859" s="1" cm="1">
        <f t="array" ref="G859">FuzzyPercent(D859,E859,2)</f>
        <v>0.62068963050842285</v>
      </c>
      <c r="H859" t="str" cm="1">
        <f t="array" ref="H859">IF(F859="Non-PDL","",IF(FuzzyPercent(D859,E859,2)&lt;0.4,"CHECK",""))</f>
        <v/>
      </c>
    </row>
    <row r="860" spans="1:8" x14ac:dyDescent="0.2">
      <c r="A860" t="s">
        <v>121</v>
      </c>
      <c r="B860" t="s">
        <v>1</v>
      </c>
      <c r="D860" t="s">
        <v>2974</v>
      </c>
      <c r="E860" t="str" cm="1">
        <f t="array" ref="E860">IF(COUNTIF(A:A, "*" &amp; LEFT(D860, FIND(" ", D860 &amp; " ") - 1) &amp; "*") &gt; 0,INDEX(A:A,FuzzyVLookup(D860,A:A,0,,,2)),"Non-PDL")</f>
        <v>ZORYVE (roflumilast) 0.15% cream</v>
      </c>
      <c r="F860" t="str">
        <f t="shared" si="13"/>
        <v>Non-Preferred</v>
      </c>
      <c r="G860" s="1" cm="1">
        <f t="array" ref="G860">FuzzyPercent(D860,E860,2)</f>
        <v>0.17592592537403107</v>
      </c>
      <c r="H860" t="str" cm="1">
        <f t="array" ref="H860">IF(F860="Non-PDL","",IF(FuzzyPercent(D860,E860,2)&lt;0.4,"CHECK",""))</f>
        <v>CHECK</v>
      </c>
    </row>
    <row r="861" spans="1:8" x14ac:dyDescent="0.2">
      <c r="A861" t="s">
        <v>123</v>
      </c>
      <c r="B861" t="s">
        <v>1</v>
      </c>
      <c r="D861" t="s">
        <v>2975</v>
      </c>
      <c r="E861" t="str" cm="1">
        <f t="array" ref="E861">IF(COUNTIF(A:A, "*" &amp; LEFT(D861, FIND(" ", D861 &amp; " ") - 1) &amp; "*") &gt; 0,INDEX(A:A,FuzzyVLookup(D861,A:A,0,,,2)),"Non-PDL")</f>
        <v>ZORYVE (roflumilast) 0.15% cream</v>
      </c>
      <c r="F861" t="str">
        <f t="shared" si="13"/>
        <v>Non-Preferred</v>
      </c>
      <c r="G861" s="1" cm="1">
        <f t="array" ref="G861">FuzzyPercent(D861,E861,2)</f>
        <v>0.17307692766189575</v>
      </c>
      <c r="H861" t="str" cm="1">
        <f t="array" ref="H861">IF(F861="Non-PDL","",IF(FuzzyPercent(D861,E861,2)&lt;0.4,"CHECK",""))</f>
        <v>CHECK</v>
      </c>
    </row>
    <row r="862" spans="1:8" x14ac:dyDescent="0.2">
      <c r="A862" t="s">
        <v>125</v>
      </c>
      <c r="B862" t="s">
        <v>1</v>
      </c>
      <c r="D862" t="s">
        <v>2976</v>
      </c>
      <c r="E862" t="str" cm="1">
        <f t="array" ref="E862">IF(COUNTIF(A:A, "*" &amp; LEFT(D862, FIND(" ", D862 &amp; " ") - 1) &amp; "*") &gt; 0,INDEX(A:A,FuzzyVLookup(D862,A:A,0,,,2)),"Non-PDL")</f>
        <v>ZTALMY (ganaxolone)</v>
      </c>
      <c r="F862" t="str">
        <f t="shared" si="13"/>
        <v>Preferred</v>
      </c>
      <c r="G862" s="1" cm="1">
        <f t="array" ref="G862">FuzzyPercent(D862,E862,2)</f>
        <v>0.32653060555458069</v>
      </c>
      <c r="H862" t="str" cm="1">
        <f t="array" ref="H862">IF(F862="Non-PDL","",IF(FuzzyPercent(D862,E862,2)&lt;0.4,"CHECK",""))</f>
        <v>CHECK</v>
      </c>
    </row>
    <row r="863" spans="1:8" x14ac:dyDescent="0.2">
      <c r="A863" t="s">
        <v>127</v>
      </c>
      <c r="B863" t="s">
        <v>1</v>
      </c>
      <c r="D863" t="s">
        <v>2977</v>
      </c>
      <c r="E863" t="str" cm="1">
        <f t="array" ref="E863">IF(COUNTIF(A:A, "*" &amp; LEFT(D863, FIND(" ", D863 &amp; " ") - 1) &amp; "*") &gt; 0,INDEX(A:A,FuzzyVLookup(D863,A:A,0,,,2)),"Non-PDL")</f>
        <v>ZURZUVAE (zuranolone)</v>
      </c>
      <c r="F863" t="str">
        <f t="shared" si="13"/>
        <v>Non-Preferred</v>
      </c>
      <c r="G863" s="1" cm="1">
        <f t="array" ref="G863">FuzzyPercent(D863,E863,2)</f>
        <v>0.39344263076782227</v>
      </c>
      <c r="H863" t="str" cm="1">
        <f t="array" ref="H863">IF(F863="Non-PDL","",IF(FuzzyPercent(D863,E863,2)&lt;0.4,"CHECK",""))</f>
        <v>CHECK</v>
      </c>
    </row>
    <row r="864" spans="1:8" x14ac:dyDescent="0.2">
      <c r="A864" t="s">
        <v>129</v>
      </c>
      <c r="B864" t="s">
        <v>1</v>
      </c>
      <c r="D864" t="s">
        <v>2978</v>
      </c>
      <c r="E864" t="str" cm="1">
        <f t="array" ref="E864">IF(COUNTIF(A:A, "*" &amp; LEFT(D864, FIND(" ", D864 &amp; " ") - 1) &amp; "*") &gt; 0,INDEX(A:A,FuzzyVLookup(D864,A:A,0,,,2)),"Non-PDL")</f>
        <v>Non-PDL</v>
      </c>
      <c r="F864" t="str">
        <f t="shared" si="13"/>
        <v>Non-PDL</v>
      </c>
      <c r="G864" s="1" cm="1">
        <f t="array" ref="G864">FuzzyPercent(D864,E864,2)</f>
        <v>8.3333335816860199E-2</v>
      </c>
      <c r="H864" t="str" cm="1">
        <f t="array" ref="H864">IF(F864="Non-PDL","",IF(FuzzyPercent(D864,E864,2)&lt;0.4,"CHECK",""))</f>
        <v/>
      </c>
    </row>
    <row r="865" spans="1:8" x14ac:dyDescent="0.2">
      <c r="A865" t="s">
        <v>131</v>
      </c>
      <c r="B865" t="s">
        <v>1</v>
      </c>
      <c r="D865" t="s">
        <v>2979</v>
      </c>
      <c r="E865" t="str" cm="1">
        <f t="array" ref="E865">IF(COUNTIF(A:A, "*" &amp; LEFT(D865, FIND(" ", D865 &amp; " ") - 1) &amp; "*") &gt; 0,INDEX(A:A,FuzzyVLookup(D865,A:A,0,,,2)),"Non-PDL")</f>
        <v>ZYPREXA (olanzapine)</v>
      </c>
      <c r="F865" t="str">
        <f t="shared" si="13"/>
        <v>Non-Preferred</v>
      </c>
      <c r="G865" s="1" cm="1">
        <f t="array" ref="G865">FuzzyPercent(D865,E865,2)</f>
        <v>0.32727271318435669</v>
      </c>
      <c r="H865" t="str" cm="1">
        <f t="array" ref="H865">IF(F865="Non-PDL","",IF(FuzzyPercent(D865,E865,2)&lt;0.4,"CHECK",""))</f>
        <v>CHECK</v>
      </c>
    </row>
    <row r="866" spans="1:8" x14ac:dyDescent="0.2">
      <c r="A866" t="s">
        <v>133</v>
      </c>
      <c r="B866" t="s">
        <v>1</v>
      </c>
      <c r="D866" t="s">
        <v>2980</v>
      </c>
      <c r="E866" t="str" cm="1">
        <f t="array" ref="E866">IF(COUNTIF(A:A, "*" &amp; LEFT(D866, FIND(" ", D866 &amp; " ") - 1) &amp; "*") &gt; 0,INDEX(A:A,FuzzyVLookup(D866,A:A,0,,,2)),"Non-PDL")</f>
        <v>ZYPREXA ZYDIS (olanzapine)</v>
      </c>
      <c r="F866" t="str">
        <f t="shared" si="13"/>
        <v>Non-Preferred</v>
      </c>
      <c r="G866" s="1" cm="1">
        <f t="array" ref="G866">FuzzyPercent(D866,E866,2)</f>
        <v>0.53932583332061768</v>
      </c>
      <c r="H866" t="str" cm="1">
        <f t="array" ref="H866">IF(F866="Non-PDL","",IF(FuzzyPercent(D866,E866,2)&lt;0.4,"CHECK",""))</f>
        <v/>
      </c>
    </row>
    <row r="867" spans="1:8" x14ac:dyDescent="0.2">
      <c r="A867" t="s">
        <v>135</v>
      </c>
      <c r="B867" t="s">
        <v>1</v>
      </c>
      <c r="D867" t="s">
        <v>2981</v>
      </c>
      <c r="E867" t="str" cm="1">
        <f t="array" ref="E867">IF(COUNTIF(A:A, "*" &amp; LEFT(D867, FIND(" ", D867 &amp; " ") - 1) &amp; "*") &gt; 0,INDEX(A:A,FuzzyVLookup(D867,A:A,0,,,2)),"Non-PDL")</f>
        <v>ZYPREXA RELPREVV (olanzapine)</v>
      </c>
      <c r="F867" t="str">
        <f t="shared" si="13"/>
        <v>Non-Preferred</v>
      </c>
      <c r="G867" s="1" cm="1">
        <f t="array" ref="G867">FuzzyPercent(D867,E867,2)</f>
        <v>0.62962961196899414</v>
      </c>
      <c r="H867" t="str" cm="1">
        <f t="array" ref="H867">IF(F867="Non-PDL","",IF(FuzzyPercent(D867,E867,2)&lt;0.4,"CHECK",""))</f>
        <v/>
      </c>
    </row>
    <row r="868" spans="1:8" x14ac:dyDescent="0.2">
      <c r="A868" t="s">
        <v>137</v>
      </c>
      <c r="B868" t="s">
        <v>1</v>
      </c>
    </row>
    <row r="869" spans="1:8" x14ac:dyDescent="0.2">
      <c r="A869" t="s">
        <v>139</v>
      </c>
      <c r="B869" t="s">
        <v>1</v>
      </c>
    </row>
    <row r="870" spans="1:8" x14ac:dyDescent="0.2">
      <c r="A870" t="s">
        <v>141</v>
      </c>
      <c r="B870" t="s">
        <v>1</v>
      </c>
    </row>
    <row r="871" spans="1:8" x14ac:dyDescent="0.2">
      <c r="A871" t="s">
        <v>143</v>
      </c>
      <c r="B871" t="s">
        <v>1</v>
      </c>
    </row>
    <row r="872" spans="1:8" x14ac:dyDescent="0.2">
      <c r="A872" t="s">
        <v>145</v>
      </c>
      <c r="B872" t="s">
        <v>1</v>
      </c>
    </row>
    <row r="873" spans="1:8" x14ac:dyDescent="0.2">
      <c r="A873" t="s">
        <v>147</v>
      </c>
      <c r="B873" t="s">
        <v>1</v>
      </c>
    </row>
    <row r="874" spans="1:8" x14ac:dyDescent="0.2">
      <c r="A874" t="s">
        <v>149</v>
      </c>
      <c r="B874" t="s">
        <v>1</v>
      </c>
    </row>
    <row r="875" spans="1:8" x14ac:dyDescent="0.2">
      <c r="A875" t="s">
        <v>151</v>
      </c>
      <c r="B875" t="s">
        <v>1</v>
      </c>
    </row>
    <row r="876" spans="1:8" x14ac:dyDescent="0.2">
      <c r="A876" t="s">
        <v>153</v>
      </c>
      <c r="B876" t="s">
        <v>1</v>
      </c>
    </row>
    <row r="877" spans="1:8" x14ac:dyDescent="0.2">
      <c r="A877" t="s">
        <v>155</v>
      </c>
      <c r="B877" t="s">
        <v>1</v>
      </c>
    </row>
    <row r="878" spans="1:8" x14ac:dyDescent="0.2">
      <c r="A878" t="s">
        <v>157</v>
      </c>
      <c r="B878" t="s">
        <v>1</v>
      </c>
    </row>
    <row r="879" spans="1:8" x14ac:dyDescent="0.2">
      <c r="A879" t="s">
        <v>159</v>
      </c>
      <c r="B879" t="s">
        <v>1</v>
      </c>
    </row>
    <row r="880" spans="1:8" x14ac:dyDescent="0.2">
      <c r="A880" t="s">
        <v>161</v>
      </c>
      <c r="B880" t="s">
        <v>1</v>
      </c>
    </row>
    <row r="881" spans="1:2" x14ac:dyDescent="0.2">
      <c r="A881" t="s">
        <v>163</v>
      </c>
      <c r="B881" t="s">
        <v>1</v>
      </c>
    </row>
    <row r="882" spans="1:2" x14ac:dyDescent="0.2">
      <c r="A882" t="s">
        <v>165</v>
      </c>
      <c r="B882" t="s">
        <v>1</v>
      </c>
    </row>
    <row r="883" spans="1:2" x14ac:dyDescent="0.2">
      <c r="A883" t="s">
        <v>167</v>
      </c>
      <c r="B883" t="s">
        <v>1</v>
      </c>
    </row>
    <row r="884" spans="1:2" x14ac:dyDescent="0.2">
      <c r="A884" t="s">
        <v>169</v>
      </c>
      <c r="B884" t="s">
        <v>1</v>
      </c>
    </row>
    <row r="885" spans="1:2" x14ac:dyDescent="0.2">
      <c r="A885" t="s">
        <v>171</v>
      </c>
      <c r="B885" t="s">
        <v>1</v>
      </c>
    </row>
    <row r="886" spans="1:2" x14ac:dyDescent="0.2">
      <c r="A886" t="s">
        <v>173</v>
      </c>
      <c r="B886" t="s">
        <v>1</v>
      </c>
    </row>
    <row r="887" spans="1:2" x14ac:dyDescent="0.2">
      <c r="A887" t="s">
        <v>175</v>
      </c>
      <c r="B887" t="s">
        <v>1</v>
      </c>
    </row>
    <row r="888" spans="1:2" x14ac:dyDescent="0.2">
      <c r="A888" t="s">
        <v>177</v>
      </c>
      <c r="B888" t="s">
        <v>1</v>
      </c>
    </row>
    <row r="889" spans="1:2" x14ac:dyDescent="0.2">
      <c r="A889" t="s">
        <v>179</v>
      </c>
      <c r="B889" t="s">
        <v>1</v>
      </c>
    </row>
    <row r="890" spans="1:2" x14ac:dyDescent="0.2">
      <c r="A890" t="s">
        <v>181</v>
      </c>
      <c r="B890" t="s">
        <v>1</v>
      </c>
    </row>
    <row r="891" spans="1:2" x14ac:dyDescent="0.2">
      <c r="A891" t="s">
        <v>183</v>
      </c>
      <c r="B891" t="s">
        <v>1</v>
      </c>
    </row>
    <row r="892" spans="1:2" x14ac:dyDescent="0.2">
      <c r="A892" t="s">
        <v>185</v>
      </c>
      <c r="B892" t="s">
        <v>1</v>
      </c>
    </row>
    <row r="893" spans="1:2" x14ac:dyDescent="0.2">
      <c r="A893" t="s">
        <v>187</v>
      </c>
      <c r="B893" t="s">
        <v>1</v>
      </c>
    </row>
    <row r="894" spans="1:2" x14ac:dyDescent="0.2">
      <c r="A894" t="s">
        <v>189</v>
      </c>
      <c r="B894" t="s">
        <v>1</v>
      </c>
    </row>
    <row r="895" spans="1:2" x14ac:dyDescent="0.2">
      <c r="A895" t="s">
        <v>191</v>
      </c>
      <c r="B895" t="s">
        <v>1</v>
      </c>
    </row>
    <row r="896" spans="1:2" x14ac:dyDescent="0.2">
      <c r="A896" t="s">
        <v>193</v>
      </c>
      <c r="B896" t="s">
        <v>1</v>
      </c>
    </row>
    <row r="897" spans="1:2" x14ac:dyDescent="0.2">
      <c r="A897" t="s">
        <v>195</v>
      </c>
      <c r="B897" t="s">
        <v>1</v>
      </c>
    </row>
    <row r="898" spans="1:2" x14ac:dyDescent="0.2">
      <c r="A898" t="s">
        <v>197</v>
      </c>
      <c r="B898" t="s">
        <v>1</v>
      </c>
    </row>
    <row r="899" spans="1:2" x14ac:dyDescent="0.2">
      <c r="A899" t="s">
        <v>199</v>
      </c>
      <c r="B899" t="s">
        <v>1</v>
      </c>
    </row>
    <row r="900" spans="1:2" x14ac:dyDescent="0.2">
      <c r="A900" t="s">
        <v>201</v>
      </c>
      <c r="B900" t="s">
        <v>1</v>
      </c>
    </row>
    <row r="901" spans="1:2" x14ac:dyDescent="0.2">
      <c r="A901" t="s">
        <v>203</v>
      </c>
      <c r="B901" t="s">
        <v>1</v>
      </c>
    </row>
    <row r="902" spans="1:2" x14ac:dyDescent="0.2">
      <c r="A902" t="s">
        <v>205</v>
      </c>
      <c r="B902" t="s">
        <v>1</v>
      </c>
    </row>
    <row r="903" spans="1:2" x14ac:dyDescent="0.2">
      <c r="A903" t="s">
        <v>207</v>
      </c>
      <c r="B903" t="s">
        <v>1</v>
      </c>
    </row>
    <row r="904" spans="1:2" x14ac:dyDescent="0.2">
      <c r="A904" t="s">
        <v>209</v>
      </c>
      <c r="B904" t="s">
        <v>1</v>
      </c>
    </row>
    <row r="905" spans="1:2" x14ac:dyDescent="0.2">
      <c r="A905" t="s">
        <v>211</v>
      </c>
      <c r="B905" t="s">
        <v>1</v>
      </c>
    </row>
    <row r="906" spans="1:2" x14ac:dyDescent="0.2">
      <c r="A906" t="s">
        <v>213</v>
      </c>
      <c r="B906" t="s">
        <v>1</v>
      </c>
    </row>
    <row r="907" spans="1:2" x14ac:dyDescent="0.2">
      <c r="A907" t="s">
        <v>215</v>
      </c>
      <c r="B907" t="s">
        <v>1</v>
      </c>
    </row>
    <row r="908" spans="1:2" x14ac:dyDescent="0.2">
      <c r="A908" t="s">
        <v>217</v>
      </c>
      <c r="B908" t="s">
        <v>1</v>
      </c>
    </row>
    <row r="909" spans="1:2" x14ac:dyDescent="0.2">
      <c r="A909" t="s">
        <v>219</v>
      </c>
      <c r="B909" t="s">
        <v>1</v>
      </c>
    </row>
    <row r="910" spans="1:2" x14ac:dyDescent="0.2">
      <c r="A910" t="s">
        <v>221</v>
      </c>
      <c r="B910" t="s">
        <v>1</v>
      </c>
    </row>
    <row r="911" spans="1:2" x14ac:dyDescent="0.2">
      <c r="A911" t="s">
        <v>223</v>
      </c>
      <c r="B911" t="s">
        <v>1</v>
      </c>
    </row>
    <row r="912" spans="1:2" x14ac:dyDescent="0.2">
      <c r="A912" t="s">
        <v>225</v>
      </c>
      <c r="B912" t="s">
        <v>1</v>
      </c>
    </row>
    <row r="913" spans="1:2" x14ac:dyDescent="0.2">
      <c r="A913" t="s">
        <v>227</v>
      </c>
      <c r="B913" t="s">
        <v>1</v>
      </c>
    </row>
    <row r="914" spans="1:2" x14ac:dyDescent="0.2">
      <c r="A914" t="s">
        <v>229</v>
      </c>
      <c r="B914" t="s">
        <v>1</v>
      </c>
    </row>
    <row r="915" spans="1:2" x14ac:dyDescent="0.2">
      <c r="A915" t="s">
        <v>231</v>
      </c>
      <c r="B915" t="s">
        <v>1</v>
      </c>
    </row>
    <row r="916" spans="1:2" x14ac:dyDescent="0.2">
      <c r="A916" t="s">
        <v>233</v>
      </c>
      <c r="B916" t="s">
        <v>1</v>
      </c>
    </row>
    <row r="917" spans="1:2" x14ac:dyDescent="0.2">
      <c r="A917" t="s">
        <v>235</v>
      </c>
      <c r="B917" t="s">
        <v>1</v>
      </c>
    </row>
    <row r="918" spans="1:2" x14ac:dyDescent="0.2">
      <c r="A918" t="s">
        <v>237</v>
      </c>
      <c r="B918" t="s">
        <v>1</v>
      </c>
    </row>
    <row r="919" spans="1:2" x14ac:dyDescent="0.2">
      <c r="A919" t="s">
        <v>239</v>
      </c>
      <c r="B919" t="s">
        <v>1</v>
      </c>
    </row>
    <row r="920" spans="1:2" x14ac:dyDescent="0.2">
      <c r="A920" t="s">
        <v>241</v>
      </c>
      <c r="B920" t="s">
        <v>1</v>
      </c>
    </row>
    <row r="921" spans="1:2" x14ac:dyDescent="0.2">
      <c r="A921" t="s">
        <v>243</v>
      </c>
      <c r="B921" t="s">
        <v>1</v>
      </c>
    </row>
    <row r="922" spans="1:2" x14ac:dyDescent="0.2">
      <c r="A922" t="s">
        <v>245</v>
      </c>
      <c r="B922" t="s">
        <v>1</v>
      </c>
    </row>
    <row r="923" spans="1:2" x14ac:dyDescent="0.2">
      <c r="A923" t="s">
        <v>247</v>
      </c>
      <c r="B923" t="s">
        <v>1</v>
      </c>
    </row>
    <row r="924" spans="1:2" x14ac:dyDescent="0.2">
      <c r="A924" t="s">
        <v>249</v>
      </c>
      <c r="B924" t="s">
        <v>1</v>
      </c>
    </row>
    <row r="925" spans="1:2" x14ac:dyDescent="0.2">
      <c r="A925" t="s">
        <v>251</v>
      </c>
      <c r="B925" t="s">
        <v>1</v>
      </c>
    </row>
    <row r="926" spans="1:2" x14ac:dyDescent="0.2">
      <c r="A926" t="s">
        <v>253</v>
      </c>
      <c r="B926" t="s">
        <v>1</v>
      </c>
    </row>
    <row r="927" spans="1:2" x14ac:dyDescent="0.2">
      <c r="A927" t="s">
        <v>255</v>
      </c>
      <c r="B927" t="s">
        <v>1</v>
      </c>
    </row>
    <row r="928" spans="1:2" x14ac:dyDescent="0.2">
      <c r="A928" t="s">
        <v>257</v>
      </c>
      <c r="B928" t="s">
        <v>1</v>
      </c>
    </row>
    <row r="929" spans="1:2" x14ac:dyDescent="0.2">
      <c r="A929" t="s">
        <v>259</v>
      </c>
      <c r="B929" t="s">
        <v>1</v>
      </c>
    </row>
    <row r="930" spans="1:2" x14ac:dyDescent="0.2">
      <c r="A930" t="s">
        <v>261</v>
      </c>
      <c r="B930" t="s">
        <v>1</v>
      </c>
    </row>
    <row r="931" spans="1:2" x14ac:dyDescent="0.2">
      <c r="A931" t="s">
        <v>263</v>
      </c>
      <c r="B931" t="s">
        <v>1</v>
      </c>
    </row>
    <row r="932" spans="1:2" x14ac:dyDescent="0.2">
      <c r="A932" t="s">
        <v>265</v>
      </c>
      <c r="B932" t="s">
        <v>1</v>
      </c>
    </row>
    <row r="933" spans="1:2" x14ac:dyDescent="0.2">
      <c r="A933" t="s">
        <v>267</v>
      </c>
      <c r="B933" t="s">
        <v>1</v>
      </c>
    </row>
    <row r="934" spans="1:2" x14ac:dyDescent="0.2">
      <c r="A934" t="s">
        <v>269</v>
      </c>
      <c r="B934" t="s">
        <v>1</v>
      </c>
    </row>
    <row r="935" spans="1:2" x14ac:dyDescent="0.2">
      <c r="A935" t="s">
        <v>271</v>
      </c>
      <c r="B935" t="s">
        <v>1</v>
      </c>
    </row>
    <row r="936" spans="1:2" x14ac:dyDescent="0.2">
      <c r="A936" t="s">
        <v>273</v>
      </c>
      <c r="B936" t="s">
        <v>1</v>
      </c>
    </row>
    <row r="937" spans="1:2" x14ac:dyDescent="0.2">
      <c r="A937" t="s">
        <v>275</v>
      </c>
      <c r="B937" t="s">
        <v>1</v>
      </c>
    </row>
    <row r="938" spans="1:2" x14ac:dyDescent="0.2">
      <c r="A938" t="s">
        <v>277</v>
      </c>
      <c r="B938" t="s">
        <v>1</v>
      </c>
    </row>
    <row r="939" spans="1:2" x14ac:dyDescent="0.2">
      <c r="A939" t="s">
        <v>279</v>
      </c>
      <c r="B939" t="s">
        <v>1</v>
      </c>
    </row>
    <row r="940" spans="1:2" x14ac:dyDescent="0.2">
      <c r="A940" t="s">
        <v>281</v>
      </c>
      <c r="B940" t="s">
        <v>1</v>
      </c>
    </row>
    <row r="941" spans="1:2" x14ac:dyDescent="0.2">
      <c r="A941" t="s">
        <v>283</v>
      </c>
      <c r="B941" t="s">
        <v>1</v>
      </c>
    </row>
    <row r="942" spans="1:2" x14ac:dyDescent="0.2">
      <c r="A942" t="s">
        <v>285</v>
      </c>
      <c r="B942" t="s">
        <v>1</v>
      </c>
    </row>
    <row r="943" spans="1:2" x14ac:dyDescent="0.2">
      <c r="A943" t="s">
        <v>287</v>
      </c>
      <c r="B943" t="s">
        <v>1</v>
      </c>
    </row>
    <row r="944" spans="1:2" x14ac:dyDescent="0.2">
      <c r="A944" t="s">
        <v>289</v>
      </c>
      <c r="B944" t="s">
        <v>1</v>
      </c>
    </row>
    <row r="945" spans="1:2" x14ac:dyDescent="0.2">
      <c r="A945" t="s">
        <v>291</v>
      </c>
      <c r="B945" t="s">
        <v>1</v>
      </c>
    </row>
    <row r="946" spans="1:2" x14ac:dyDescent="0.2">
      <c r="A946" t="s">
        <v>293</v>
      </c>
      <c r="B946" t="s">
        <v>1</v>
      </c>
    </row>
    <row r="947" spans="1:2" x14ac:dyDescent="0.2">
      <c r="A947" t="s">
        <v>295</v>
      </c>
      <c r="B947" t="s">
        <v>1</v>
      </c>
    </row>
    <row r="948" spans="1:2" x14ac:dyDescent="0.2">
      <c r="A948" t="s">
        <v>297</v>
      </c>
      <c r="B948" t="s">
        <v>1</v>
      </c>
    </row>
    <row r="949" spans="1:2" x14ac:dyDescent="0.2">
      <c r="A949" t="s">
        <v>299</v>
      </c>
      <c r="B949" t="s">
        <v>1</v>
      </c>
    </row>
    <row r="950" spans="1:2" x14ac:dyDescent="0.2">
      <c r="A950" t="s">
        <v>301</v>
      </c>
      <c r="B950" t="s">
        <v>1</v>
      </c>
    </row>
    <row r="951" spans="1:2" x14ac:dyDescent="0.2">
      <c r="A951" t="s">
        <v>303</v>
      </c>
      <c r="B951" t="s">
        <v>1</v>
      </c>
    </row>
    <row r="952" spans="1:2" x14ac:dyDescent="0.2">
      <c r="A952" t="s">
        <v>305</v>
      </c>
      <c r="B952" t="s">
        <v>1</v>
      </c>
    </row>
    <row r="953" spans="1:2" x14ac:dyDescent="0.2">
      <c r="A953" t="s">
        <v>307</v>
      </c>
      <c r="B953" t="s">
        <v>1</v>
      </c>
    </row>
    <row r="954" spans="1:2" x14ac:dyDescent="0.2">
      <c r="A954" t="s">
        <v>309</v>
      </c>
      <c r="B954" t="s">
        <v>1</v>
      </c>
    </row>
    <row r="955" spans="1:2" x14ac:dyDescent="0.2">
      <c r="A955" t="s">
        <v>311</v>
      </c>
      <c r="B955" t="s">
        <v>1</v>
      </c>
    </row>
    <row r="956" spans="1:2" x14ac:dyDescent="0.2">
      <c r="A956" t="s">
        <v>313</v>
      </c>
      <c r="B956" t="s">
        <v>1</v>
      </c>
    </row>
    <row r="957" spans="1:2" x14ac:dyDescent="0.2">
      <c r="A957" t="s">
        <v>315</v>
      </c>
      <c r="B957" t="s">
        <v>1</v>
      </c>
    </row>
    <row r="958" spans="1:2" x14ac:dyDescent="0.2">
      <c r="A958" t="s">
        <v>317</v>
      </c>
      <c r="B958" t="s">
        <v>1</v>
      </c>
    </row>
    <row r="959" spans="1:2" x14ac:dyDescent="0.2">
      <c r="A959" t="s">
        <v>319</v>
      </c>
      <c r="B959" t="s">
        <v>1</v>
      </c>
    </row>
    <row r="960" spans="1:2" x14ac:dyDescent="0.2">
      <c r="A960" t="s">
        <v>321</v>
      </c>
      <c r="B960" t="s">
        <v>1</v>
      </c>
    </row>
    <row r="961" spans="1:2" x14ac:dyDescent="0.2">
      <c r="A961" t="s">
        <v>323</v>
      </c>
      <c r="B961" t="s">
        <v>1</v>
      </c>
    </row>
    <row r="962" spans="1:2" x14ac:dyDescent="0.2">
      <c r="A962" t="s">
        <v>325</v>
      </c>
      <c r="B962" t="s">
        <v>1</v>
      </c>
    </row>
    <row r="963" spans="1:2" x14ac:dyDescent="0.2">
      <c r="A963" t="s">
        <v>327</v>
      </c>
      <c r="B963" t="s">
        <v>1</v>
      </c>
    </row>
    <row r="964" spans="1:2" x14ac:dyDescent="0.2">
      <c r="A964" t="s">
        <v>329</v>
      </c>
      <c r="B964" t="s">
        <v>1</v>
      </c>
    </row>
    <row r="965" spans="1:2" x14ac:dyDescent="0.2">
      <c r="A965" t="s">
        <v>331</v>
      </c>
      <c r="B965" t="s">
        <v>1</v>
      </c>
    </row>
    <row r="966" spans="1:2" x14ac:dyDescent="0.2">
      <c r="A966" t="s">
        <v>333</v>
      </c>
      <c r="B966" t="s">
        <v>1</v>
      </c>
    </row>
    <row r="967" spans="1:2" x14ac:dyDescent="0.2">
      <c r="A967" t="s">
        <v>335</v>
      </c>
      <c r="B967" t="s">
        <v>1</v>
      </c>
    </row>
    <row r="968" spans="1:2" x14ac:dyDescent="0.2">
      <c r="A968" t="s">
        <v>337</v>
      </c>
      <c r="B968" t="s">
        <v>1</v>
      </c>
    </row>
    <row r="969" spans="1:2" x14ac:dyDescent="0.2">
      <c r="A969" t="s">
        <v>339</v>
      </c>
      <c r="B969" t="s">
        <v>1</v>
      </c>
    </row>
    <row r="970" spans="1:2" x14ac:dyDescent="0.2">
      <c r="A970" t="s">
        <v>341</v>
      </c>
      <c r="B970" t="s">
        <v>1</v>
      </c>
    </row>
    <row r="971" spans="1:2" x14ac:dyDescent="0.2">
      <c r="A971" t="s">
        <v>343</v>
      </c>
      <c r="B971" t="s">
        <v>1</v>
      </c>
    </row>
    <row r="972" spans="1:2" x14ac:dyDescent="0.2">
      <c r="A972" t="s">
        <v>345</v>
      </c>
      <c r="B972" t="s">
        <v>1</v>
      </c>
    </row>
    <row r="973" spans="1:2" x14ac:dyDescent="0.2">
      <c r="A973" t="s">
        <v>347</v>
      </c>
      <c r="B973" t="s">
        <v>1</v>
      </c>
    </row>
    <row r="974" spans="1:2" x14ac:dyDescent="0.2">
      <c r="A974" t="s">
        <v>349</v>
      </c>
      <c r="B974" t="s">
        <v>1</v>
      </c>
    </row>
    <row r="975" spans="1:2" x14ac:dyDescent="0.2">
      <c r="A975" t="s">
        <v>188</v>
      </c>
      <c r="B975" t="s">
        <v>1</v>
      </c>
    </row>
    <row r="976" spans="1:2" x14ac:dyDescent="0.2">
      <c r="A976" t="s">
        <v>352</v>
      </c>
      <c r="B976" t="s">
        <v>1</v>
      </c>
    </row>
    <row r="977" spans="1:2" x14ac:dyDescent="0.2">
      <c r="A977" t="s">
        <v>354</v>
      </c>
      <c r="B977" t="s">
        <v>1</v>
      </c>
    </row>
    <row r="978" spans="1:2" x14ac:dyDescent="0.2">
      <c r="A978" t="s">
        <v>356</v>
      </c>
      <c r="B978" t="s">
        <v>1</v>
      </c>
    </row>
    <row r="979" spans="1:2" x14ac:dyDescent="0.2">
      <c r="A979" t="s">
        <v>358</v>
      </c>
      <c r="B979" t="s">
        <v>1</v>
      </c>
    </row>
    <row r="980" spans="1:2" x14ac:dyDescent="0.2">
      <c r="A980" t="s">
        <v>360</v>
      </c>
      <c r="B980" t="s">
        <v>1</v>
      </c>
    </row>
    <row r="981" spans="1:2" x14ac:dyDescent="0.2">
      <c r="A981" t="s">
        <v>362</v>
      </c>
      <c r="B981" t="s">
        <v>1</v>
      </c>
    </row>
    <row r="982" spans="1:2" x14ac:dyDescent="0.2">
      <c r="A982" t="s">
        <v>363</v>
      </c>
      <c r="B982" t="s">
        <v>1</v>
      </c>
    </row>
    <row r="983" spans="1:2" x14ac:dyDescent="0.2">
      <c r="A983" t="s">
        <v>365</v>
      </c>
      <c r="B983" t="s">
        <v>1</v>
      </c>
    </row>
    <row r="984" spans="1:2" x14ac:dyDescent="0.2">
      <c r="A984" t="s">
        <v>367</v>
      </c>
      <c r="B984" t="s">
        <v>1</v>
      </c>
    </row>
    <row r="985" spans="1:2" x14ac:dyDescent="0.2">
      <c r="A985" t="s">
        <v>369</v>
      </c>
      <c r="B985" t="s">
        <v>1</v>
      </c>
    </row>
    <row r="986" spans="1:2" x14ac:dyDescent="0.2">
      <c r="A986" t="s">
        <v>371</v>
      </c>
      <c r="B986" t="s">
        <v>1</v>
      </c>
    </row>
    <row r="987" spans="1:2" x14ac:dyDescent="0.2">
      <c r="A987" t="s">
        <v>373</v>
      </c>
      <c r="B987" t="s">
        <v>1</v>
      </c>
    </row>
    <row r="988" spans="1:2" x14ac:dyDescent="0.2">
      <c r="A988" t="s">
        <v>375</v>
      </c>
      <c r="B988" t="s">
        <v>1</v>
      </c>
    </row>
    <row r="989" spans="1:2" x14ac:dyDescent="0.2">
      <c r="A989" t="s">
        <v>377</v>
      </c>
      <c r="B989" t="s">
        <v>1</v>
      </c>
    </row>
    <row r="990" spans="1:2" x14ac:dyDescent="0.2">
      <c r="A990" t="s">
        <v>379</v>
      </c>
      <c r="B990" t="s">
        <v>1</v>
      </c>
    </row>
    <row r="991" spans="1:2" x14ac:dyDescent="0.2">
      <c r="A991" t="s">
        <v>381</v>
      </c>
      <c r="B991" t="s">
        <v>1</v>
      </c>
    </row>
    <row r="992" spans="1:2" x14ac:dyDescent="0.2">
      <c r="A992" t="s">
        <v>383</v>
      </c>
      <c r="B992" t="s">
        <v>1</v>
      </c>
    </row>
    <row r="993" spans="1:2" x14ac:dyDescent="0.2">
      <c r="A993" t="s">
        <v>385</v>
      </c>
      <c r="B993" t="s">
        <v>1</v>
      </c>
    </row>
    <row r="994" spans="1:2" x14ac:dyDescent="0.2">
      <c r="A994" t="s">
        <v>387</v>
      </c>
      <c r="B994" t="s">
        <v>1</v>
      </c>
    </row>
    <row r="995" spans="1:2" x14ac:dyDescent="0.2">
      <c r="A995" t="s">
        <v>389</v>
      </c>
      <c r="B995" t="s">
        <v>1</v>
      </c>
    </row>
    <row r="996" spans="1:2" x14ac:dyDescent="0.2">
      <c r="A996" t="s">
        <v>391</v>
      </c>
      <c r="B996" t="s">
        <v>1</v>
      </c>
    </row>
    <row r="997" spans="1:2" x14ac:dyDescent="0.2">
      <c r="A997" t="s">
        <v>393</v>
      </c>
      <c r="B997" t="s">
        <v>1</v>
      </c>
    </row>
    <row r="998" spans="1:2" x14ac:dyDescent="0.2">
      <c r="A998" t="s">
        <v>395</v>
      </c>
      <c r="B998" t="s">
        <v>1</v>
      </c>
    </row>
    <row r="999" spans="1:2" x14ac:dyDescent="0.2">
      <c r="A999" t="s">
        <v>397</v>
      </c>
      <c r="B999" t="s">
        <v>1</v>
      </c>
    </row>
    <row r="1000" spans="1:2" x14ac:dyDescent="0.2">
      <c r="A1000" t="s">
        <v>399</v>
      </c>
      <c r="B1000" t="s">
        <v>1</v>
      </c>
    </row>
    <row r="1001" spans="1:2" x14ac:dyDescent="0.2">
      <c r="A1001" t="s">
        <v>401</v>
      </c>
      <c r="B1001" t="s">
        <v>1</v>
      </c>
    </row>
    <row r="1002" spans="1:2" x14ac:dyDescent="0.2">
      <c r="A1002" t="s">
        <v>403</v>
      </c>
      <c r="B1002" t="s">
        <v>1</v>
      </c>
    </row>
    <row r="1003" spans="1:2" x14ac:dyDescent="0.2">
      <c r="A1003" t="s">
        <v>405</v>
      </c>
      <c r="B1003" t="s">
        <v>1</v>
      </c>
    </row>
    <row r="1004" spans="1:2" x14ac:dyDescent="0.2">
      <c r="A1004" t="s">
        <v>407</v>
      </c>
      <c r="B1004" t="s">
        <v>1</v>
      </c>
    </row>
    <row r="1005" spans="1:2" x14ac:dyDescent="0.2">
      <c r="A1005" t="s">
        <v>409</v>
      </c>
      <c r="B1005" t="s">
        <v>1</v>
      </c>
    </row>
    <row r="1006" spans="1:2" x14ac:dyDescent="0.2">
      <c r="A1006" t="s">
        <v>411</v>
      </c>
      <c r="B1006" t="s">
        <v>1</v>
      </c>
    </row>
    <row r="1007" spans="1:2" x14ac:dyDescent="0.2">
      <c r="A1007" t="s">
        <v>413</v>
      </c>
      <c r="B1007" t="s">
        <v>1</v>
      </c>
    </row>
    <row r="1008" spans="1:2" x14ac:dyDescent="0.2">
      <c r="A1008" t="s">
        <v>415</v>
      </c>
      <c r="B1008" t="s">
        <v>1</v>
      </c>
    </row>
    <row r="1009" spans="1:2" x14ac:dyDescent="0.2">
      <c r="A1009" t="s">
        <v>417</v>
      </c>
      <c r="B1009" t="s">
        <v>1</v>
      </c>
    </row>
    <row r="1010" spans="1:2" x14ac:dyDescent="0.2">
      <c r="A1010" t="s">
        <v>419</v>
      </c>
      <c r="B1010" t="s">
        <v>1</v>
      </c>
    </row>
    <row r="1011" spans="1:2" x14ac:dyDescent="0.2">
      <c r="A1011" t="s">
        <v>421</v>
      </c>
      <c r="B1011" t="s">
        <v>1</v>
      </c>
    </row>
    <row r="1012" spans="1:2" x14ac:dyDescent="0.2">
      <c r="A1012" t="s">
        <v>423</v>
      </c>
      <c r="B1012" t="s">
        <v>1</v>
      </c>
    </row>
    <row r="1013" spans="1:2" x14ac:dyDescent="0.2">
      <c r="A1013" t="s">
        <v>425</v>
      </c>
      <c r="B1013" t="s">
        <v>1</v>
      </c>
    </row>
    <row r="1014" spans="1:2" x14ac:dyDescent="0.2">
      <c r="A1014" t="s">
        <v>427</v>
      </c>
      <c r="B1014" t="s">
        <v>1</v>
      </c>
    </row>
    <row r="1015" spans="1:2" x14ac:dyDescent="0.2">
      <c r="A1015" t="s">
        <v>429</v>
      </c>
      <c r="B1015" t="s">
        <v>1</v>
      </c>
    </row>
    <row r="1016" spans="1:2" x14ac:dyDescent="0.2">
      <c r="A1016" t="s">
        <v>431</v>
      </c>
      <c r="B1016" t="s">
        <v>1</v>
      </c>
    </row>
    <row r="1017" spans="1:2" x14ac:dyDescent="0.2">
      <c r="A1017" t="s">
        <v>433</v>
      </c>
      <c r="B1017" t="s">
        <v>1</v>
      </c>
    </row>
    <row r="1018" spans="1:2" x14ac:dyDescent="0.2">
      <c r="A1018" t="s">
        <v>435</v>
      </c>
      <c r="B1018" t="s">
        <v>1</v>
      </c>
    </row>
    <row r="1019" spans="1:2" x14ac:dyDescent="0.2">
      <c r="A1019" t="s">
        <v>437</v>
      </c>
      <c r="B1019" t="s">
        <v>1</v>
      </c>
    </row>
    <row r="1020" spans="1:2" x14ac:dyDescent="0.2">
      <c r="A1020" t="s">
        <v>439</v>
      </c>
      <c r="B1020" t="s">
        <v>1</v>
      </c>
    </row>
    <row r="1021" spans="1:2" x14ac:dyDescent="0.2">
      <c r="A1021" t="s">
        <v>441</v>
      </c>
      <c r="B1021" t="s">
        <v>1</v>
      </c>
    </row>
    <row r="1022" spans="1:2" x14ac:dyDescent="0.2">
      <c r="A1022" t="s">
        <v>443</v>
      </c>
      <c r="B1022" t="s">
        <v>1</v>
      </c>
    </row>
    <row r="1023" spans="1:2" x14ac:dyDescent="0.2">
      <c r="A1023" t="s">
        <v>445</v>
      </c>
      <c r="B1023" t="s">
        <v>1</v>
      </c>
    </row>
    <row r="1024" spans="1:2" x14ac:dyDescent="0.2">
      <c r="A1024" t="s">
        <v>447</v>
      </c>
      <c r="B1024" t="s">
        <v>1</v>
      </c>
    </row>
    <row r="1025" spans="1:2" x14ac:dyDescent="0.2">
      <c r="A1025" t="s">
        <v>449</v>
      </c>
      <c r="B1025" t="s">
        <v>1</v>
      </c>
    </row>
    <row r="1026" spans="1:2" x14ac:dyDescent="0.2">
      <c r="A1026" t="s">
        <v>451</v>
      </c>
      <c r="B1026" t="s">
        <v>1</v>
      </c>
    </row>
    <row r="1027" spans="1:2" x14ac:dyDescent="0.2">
      <c r="A1027" t="s">
        <v>453</v>
      </c>
      <c r="B1027" t="s">
        <v>1</v>
      </c>
    </row>
    <row r="1028" spans="1:2" x14ac:dyDescent="0.2">
      <c r="A1028" t="s">
        <v>455</v>
      </c>
      <c r="B1028" t="s">
        <v>1</v>
      </c>
    </row>
    <row r="1029" spans="1:2" x14ac:dyDescent="0.2">
      <c r="A1029" t="s">
        <v>457</v>
      </c>
      <c r="B1029" t="s">
        <v>1</v>
      </c>
    </row>
    <row r="1030" spans="1:2" x14ac:dyDescent="0.2">
      <c r="A1030" t="s">
        <v>459</v>
      </c>
      <c r="B1030" t="s">
        <v>1</v>
      </c>
    </row>
    <row r="1031" spans="1:2" x14ac:dyDescent="0.2">
      <c r="A1031" t="s">
        <v>461</v>
      </c>
      <c r="B1031" t="s">
        <v>1</v>
      </c>
    </row>
    <row r="1032" spans="1:2" x14ac:dyDescent="0.2">
      <c r="A1032" t="s">
        <v>463</v>
      </c>
      <c r="B1032" t="s">
        <v>1</v>
      </c>
    </row>
    <row r="1033" spans="1:2" x14ac:dyDescent="0.2">
      <c r="A1033" t="s">
        <v>465</v>
      </c>
      <c r="B1033" t="s">
        <v>1</v>
      </c>
    </row>
    <row r="1034" spans="1:2" x14ac:dyDescent="0.2">
      <c r="A1034" t="s">
        <v>467</v>
      </c>
      <c r="B1034" t="s">
        <v>1</v>
      </c>
    </row>
    <row r="1035" spans="1:2" x14ac:dyDescent="0.2">
      <c r="A1035" t="s">
        <v>469</v>
      </c>
      <c r="B1035" t="s">
        <v>1</v>
      </c>
    </row>
    <row r="1036" spans="1:2" x14ac:dyDescent="0.2">
      <c r="A1036" t="s">
        <v>471</v>
      </c>
      <c r="B1036" t="s">
        <v>1</v>
      </c>
    </row>
    <row r="1037" spans="1:2" x14ac:dyDescent="0.2">
      <c r="A1037" t="s">
        <v>473</v>
      </c>
      <c r="B1037" t="s">
        <v>1</v>
      </c>
    </row>
    <row r="1038" spans="1:2" x14ac:dyDescent="0.2">
      <c r="A1038" t="s">
        <v>475</v>
      </c>
      <c r="B1038" t="s">
        <v>1</v>
      </c>
    </row>
    <row r="1039" spans="1:2" x14ac:dyDescent="0.2">
      <c r="A1039" t="s">
        <v>477</v>
      </c>
      <c r="B1039" t="s">
        <v>1</v>
      </c>
    </row>
    <row r="1040" spans="1:2" x14ac:dyDescent="0.2">
      <c r="A1040" t="s">
        <v>479</v>
      </c>
      <c r="B1040" t="s">
        <v>1</v>
      </c>
    </row>
    <row r="1041" spans="1:2" x14ac:dyDescent="0.2">
      <c r="A1041" t="s">
        <v>481</v>
      </c>
      <c r="B1041" t="s">
        <v>1</v>
      </c>
    </row>
    <row r="1042" spans="1:2" x14ac:dyDescent="0.2">
      <c r="A1042" t="s">
        <v>483</v>
      </c>
      <c r="B1042" t="s">
        <v>1</v>
      </c>
    </row>
    <row r="1043" spans="1:2" x14ac:dyDescent="0.2">
      <c r="A1043" t="s">
        <v>485</v>
      </c>
      <c r="B1043" t="s">
        <v>1</v>
      </c>
    </row>
    <row r="1044" spans="1:2" x14ac:dyDescent="0.2">
      <c r="A1044" t="s">
        <v>487</v>
      </c>
      <c r="B1044" t="s">
        <v>1</v>
      </c>
    </row>
    <row r="1045" spans="1:2" x14ac:dyDescent="0.2">
      <c r="A1045" t="s">
        <v>489</v>
      </c>
      <c r="B1045" t="s">
        <v>1</v>
      </c>
    </row>
    <row r="1046" spans="1:2" x14ac:dyDescent="0.2">
      <c r="A1046" t="s">
        <v>491</v>
      </c>
      <c r="B1046" t="s">
        <v>1</v>
      </c>
    </row>
    <row r="1047" spans="1:2" x14ac:dyDescent="0.2">
      <c r="A1047" t="s">
        <v>493</v>
      </c>
      <c r="B1047" t="s">
        <v>1</v>
      </c>
    </row>
    <row r="1048" spans="1:2" x14ac:dyDescent="0.2">
      <c r="A1048" t="s">
        <v>495</v>
      </c>
      <c r="B1048" t="s">
        <v>1</v>
      </c>
    </row>
    <row r="1049" spans="1:2" x14ac:dyDescent="0.2">
      <c r="A1049" t="s">
        <v>497</v>
      </c>
      <c r="B1049" t="s">
        <v>1</v>
      </c>
    </row>
    <row r="1050" spans="1:2" x14ac:dyDescent="0.2">
      <c r="A1050" t="s">
        <v>499</v>
      </c>
      <c r="B1050" t="s">
        <v>1</v>
      </c>
    </row>
    <row r="1051" spans="1:2" x14ac:dyDescent="0.2">
      <c r="A1051" t="s">
        <v>501</v>
      </c>
      <c r="B1051" t="s">
        <v>1</v>
      </c>
    </row>
    <row r="1052" spans="1:2" x14ac:dyDescent="0.2">
      <c r="A1052" t="s">
        <v>503</v>
      </c>
      <c r="B1052" t="s">
        <v>1</v>
      </c>
    </row>
    <row r="1053" spans="1:2" x14ac:dyDescent="0.2">
      <c r="A1053" t="s">
        <v>505</v>
      </c>
      <c r="B1053" t="s">
        <v>1</v>
      </c>
    </row>
    <row r="1054" spans="1:2" x14ac:dyDescent="0.2">
      <c r="A1054" t="s">
        <v>507</v>
      </c>
      <c r="B1054" t="s">
        <v>1</v>
      </c>
    </row>
    <row r="1055" spans="1:2" x14ac:dyDescent="0.2">
      <c r="A1055" t="s">
        <v>509</v>
      </c>
      <c r="B1055" t="s">
        <v>1</v>
      </c>
    </row>
    <row r="1056" spans="1:2" x14ac:dyDescent="0.2">
      <c r="A1056" t="s">
        <v>511</v>
      </c>
      <c r="B1056" t="s">
        <v>1</v>
      </c>
    </row>
    <row r="1057" spans="1:2" x14ac:dyDescent="0.2">
      <c r="A1057" t="s">
        <v>513</v>
      </c>
      <c r="B1057" t="s">
        <v>1</v>
      </c>
    </row>
    <row r="1058" spans="1:2" x14ac:dyDescent="0.2">
      <c r="A1058" t="s">
        <v>515</v>
      </c>
      <c r="B1058" t="s">
        <v>1</v>
      </c>
    </row>
    <row r="1059" spans="1:2" x14ac:dyDescent="0.2">
      <c r="A1059" t="s">
        <v>517</v>
      </c>
      <c r="B1059" t="s">
        <v>1</v>
      </c>
    </row>
    <row r="1060" spans="1:2" x14ac:dyDescent="0.2">
      <c r="A1060" t="s">
        <v>519</v>
      </c>
      <c r="B1060" t="s">
        <v>1</v>
      </c>
    </row>
    <row r="1061" spans="1:2" x14ac:dyDescent="0.2">
      <c r="A1061" t="s">
        <v>521</v>
      </c>
      <c r="B1061" t="s">
        <v>1</v>
      </c>
    </row>
    <row r="1062" spans="1:2" x14ac:dyDescent="0.2">
      <c r="A1062" t="s">
        <v>523</v>
      </c>
      <c r="B1062" t="s">
        <v>1</v>
      </c>
    </row>
    <row r="1063" spans="1:2" x14ac:dyDescent="0.2">
      <c r="A1063" t="s">
        <v>525</v>
      </c>
      <c r="B1063" t="s">
        <v>1</v>
      </c>
    </row>
    <row r="1064" spans="1:2" x14ac:dyDescent="0.2">
      <c r="A1064" t="s">
        <v>527</v>
      </c>
      <c r="B1064" t="s">
        <v>1</v>
      </c>
    </row>
    <row r="1065" spans="1:2" x14ac:dyDescent="0.2">
      <c r="A1065" t="s">
        <v>529</v>
      </c>
      <c r="B1065" t="s">
        <v>1</v>
      </c>
    </row>
    <row r="1066" spans="1:2" x14ac:dyDescent="0.2">
      <c r="A1066" t="s">
        <v>531</v>
      </c>
      <c r="B1066" t="s">
        <v>1</v>
      </c>
    </row>
    <row r="1067" spans="1:2" x14ac:dyDescent="0.2">
      <c r="A1067" t="s">
        <v>533</v>
      </c>
      <c r="B1067" t="s">
        <v>1</v>
      </c>
    </row>
    <row r="1068" spans="1:2" x14ac:dyDescent="0.2">
      <c r="A1068" t="s">
        <v>535</v>
      </c>
      <c r="B1068" t="s">
        <v>1</v>
      </c>
    </row>
    <row r="1069" spans="1:2" x14ac:dyDescent="0.2">
      <c r="A1069" t="s">
        <v>537</v>
      </c>
      <c r="B1069" t="s">
        <v>1</v>
      </c>
    </row>
    <row r="1070" spans="1:2" x14ac:dyDescent="0.2">
      <c r="A1070" t="s">
        <v>539</v>
      </c>
      <c r="B1070" t="s">
        <v>1</v>
      </c>
    </row>
    <row r="1071" spans="1:2" x14ac:dyDescent="0.2">
      <c r="A1071" t="s">
        <v>541</v>
      </c>
      <c r="B1071" t="s">
        <v>1</v>
      </c>
    </row>
    <row r="1072" spans="1:2" x14ac:dyDescent="0.2">
      <c r="A1072" t="s">
        <v>543</v>
      </c>
      <c r="B1072" t="s">
        <v>1</v>
      </c>
    </row>
    <row r="1073" spans="1:2" x14ac:dyDescent="0.2">
      <c r="A1073" t="s">
        <v>545</v>
      </c>
      <c r="B1073" t="s">
        <v>1</v>
      </c>
    </row>
    <row r="1074" spans="1:2" x14ac:dyDescent="0.2">
      <c r="A1074" t="s">
        <v>547</v>
      </c>
      <c r="B1074" t="s">
        <v>1</v>
      </c>
    </row>
    <row r="1075" spans="1:2" x14ac:dyDescent="0.2">
      <c r="A1075" t="s">
        <v>549</v>
      </c>
      <c r="B1075" t="s">
        <v>1</v>
      </c>
    </row>
    <row r="1076" spans="1:2" x14ac:dyDescent="0.2">
      <c r="A1076" t="s">
        <v>551</v>
      </c>
      <c r="B1076" t="s">
        <v>1</v>
      </c>
    </row>
    <row r="1077" spans="1:2" x14ac:dyDescent="0.2">
      <c r="A1077" t="s">
        <v>553</v>
      </c>
      <c r="B1077" t="s">
        <v>1</v>
      </c>
    </row>
    <row r="1078" spans="1:2" x14ac:dyDescent="0.2">
      <c r="A1078" t="s">
        <v>555</v>
      </c>
      <c r="B1078" t="s">
        <v>1</v>
      </c>
    </row>
    <row r="1079" spans="1:2" x14ac:dyDescent="0.2">
      <c r="A1079" t="s">
        <v>557</v>
      </c>
      <c r="B1079" t="s">
        <v>1</v>
      </c>
    </row>
    <row r="1080" spans="1:2" x14ac:dyDescent="0.2">
      <c r="A1080" t="s">
        <v>559</v>
      </c>
      <c r="B1080" t="s">
        <v>1</v>
      </c>
    </row>
    <row r="1081" spans="1:2" x14ac:dyDescent="0.2">
      <c r="A1081" t="s">
        <v>561</v>
      </c>
      <c r="B1081" t="s">
        <v>1</v>
      </c>
    </row>
    <row r="1082" spans="1:2" x14ac:dyDescent="0.2">
      <c r="A1082" t="s">
        <v>563</v>
      </c>
      <c r="B1082" t="s">
        <v>1</v>
      </c>
    </row>
    <row r="1083" spans="1:2" x14ac:dyDescent="0.2">
      <c r="A1083" t="s">
        <v>565</v>
      </c>
      <c r="B1083" t="s">
        <v>1</v>
      </c>
    </row>
    <row r="1084" spans="1:2" x14ac:dyDescent="0.2">
      <c r="A1084" t="s">
        <v>567</v>
      </c>
      <c r="B1084" t="s">
        <v>1</v>
      </c>
    </row>
    <row r="1085" spans="1:2" x14ac:dyDescent="0.2">
      <c r="A1085" t="s">
        <v>569</v>
      </c>
      <c r="B1085" t="s">
        <v>1</v>
      </c>
    </row>
    <row r="1086" spans="1:2" x14ac:dyDescent="0.2">
      <c r="A1086" t="s">
        <v>571</v>
      </c>
      <c r="B1086" t="s">
        <v>1</v>
      </c>
    </row>
    <row r="1087" spans="1:2" x14ac:dyDescent="0.2">
      <c r="A1087" t="s">
        <v>573</v>
      </c>
      <c r="B1087" t="s">
        <v>1</v>
      </c>
    </row>
    <row r="1088" spans="1:2" x14ac:dyDescent="0.2">
      <c r="A1088" t="s">
        <v>575</v>
      </c>
      <c r="B1088" t="s">
        <v>1</v>
      </c>
    </row>
    <row r="1089" spans="1:2" x14ac:dyDescent="0.2">
      <c r="A1089" t="s">
        <v>577</v>
      </c>
      <c r="B1089" t="s">
        <v>1</v>
      </c>
    </row>
    <row r="1090" spans="1:2" x14ac:dyDescent="0.2">
      <c r="A1090" t="s">
        <v>579</v>
      </c>
      <c r="B1090" t="s">
        <v>1</v>
      </c>
    </row>
    <row r="1091" spans="1:2" x14ac:dyDescent="0.2">
      <c r="A1091" t="s">
        <v>581</v>
      </c>
      <c r="B1091" t="s">
        <v>1</v>
      </c>
    </row>
    <row r="1092" spans="1:2" x14ac:dyDescent="0.2">
      <c r="A1092" t="s">
        <v>583</v>
      </c>
      <c r="B1092" t="s">
        <v>1</v>
      </c>
    </row>
    <row r="1093" spans="1:2" x14ac:dyDescent="0.2">
      <c r="A1093" t="s">
        <v>585</v>
      </c>
      <c r="B1093" t="s">
        <v>1</v>
      </c>
    </row>
    <row r="1094" spans="1:2" x14ac:dyDescent="0.2">
      <c r="A1094" t="s">
        <v>587</v>
      </c>
      <c r="B1094" t="s">
        <v>1</v>
      </c>
    </row>
    <row r="1095" spans="1:2" x14ac:dyDescent="0.2">
      <c r="A1095" t="s">
        <v>589</v>
      </c>
      <c r="B1095" t="s">
        <v>1</v>
      </c>
    </row>
    <row r="1096" spans="1:2" x14ac:dyDescent="0.2">
      <c r="A1096" t="s">
        <v>591</v>
      </c>
      <c r="B1096" t="s">
        <v>1</v>
      </c>
    </row>
    <row r="1097" spans="1:2" x14ac:dyDescent="0.2">
      <c r="A1097" t="s">
        <v>593</v>
      </c>
      <c r="B1097" t="s">
        <v>1</v>
      </c>
    </row>
    <row r="1098" spans="1:2" x14ac:dyDescent="0.2">
      <c r="A1098" t="s">
        <v>595</v>
      </c>
      <c r="B1098" t="s">
        <v>1</v>
      </c>
    </row>
    <row r="1099" spans="1:2" x14ac:dyDescent="0.2">
      <c r="A1099" t="s">
        <v>597</v>
      </c>
      <c r="B1099" t="s">
        <v>1</v>
      </c>
    </row>
    <row r="1100" spans="1:2" x14ac:dyDescent="0.2">
      <c r="A1100" t="s">
        <v>599</v>
      </c>
      <c r="B1100" t="s">
        <v>1</v>
      </c>
    </row>
    <row r="1101" spans="1:2" x14ac:dyDescent="0.2">
      <c r="A1101" t="s">
        <v>601</v>
      </c>
      <c r="B1101" t="s">
        <v>1</v>
      </c>
    </row>
    <row r="1102" spans="1:2" x14ac:dyDescent="0.2">
      <c r="A1102" t="s">
        <v>603</v>
      </c>
      <c r="B1102" t="s">
        <v>1</v>
      </c>
    </row>
    <row r="1103" spans="1:2" x14ac:dyDescent="0.2">
      <c r="A1103" t="s">
        <v>605</v>
      </c>
      <c r="B1103" t="s">
        <v>1</v>
      </c>
    </row>
    <row r="1104" spans="1:2" x14ac:dyDescent="0.2">
      <c r="A1104" t="s">
        <v>607</v>
      </c>
      <c r="B1104" t="s">
        <v>1</v>
      </c>
    </row>
    <row r="1105" spans="1:2" x14ac:dyDescent="0.2">
      <c r="A1105" t="s">
        <v>609</v>
      </c>
      <c r="B1105" t="s">
        <v>1</v>
      </c>
    </row>
    <row r="1106" spans="1:2" x14ac:dyDescent="0.2">
      <c r="A1106" t="s">
        <v>611</v>
      </c>
      <c r="B1106" t="s">
        <v>1</v>
      </c>
    </row>
    <row r="1107" spans="1:2" x14ac:dyDescent="0.2">
      <c r="A1107" t="s">
        <v>613</v>
      </c>
      <c r="B1107" t="s">
        <v>1</v>
      </c>
    </row>
    <row r="1108" spans="1:2" x14ac:dyDescent="0.2">
      <c r="A1108" t="s">
        <v>615</v>
      </c>
      <c r="B1108" t="s">
        <v>1</v>
      </c>
    </row>
    <row r="1109" spans="1:2" x14ac:dyDescent="0.2">
      <c r="A1109" t="s">
        <v>617</v>
      </c>
      <c r="B1109" t="s">
        <v>1</v>
      </c>
    </row>
    <row r="1110" spans="1:2" x14ac:dyDescent="0.2">
      <c r="A1110" t="s">
        <v>619</v>
      </c>
      <c r="B1110" t="s">
        <v>1</v>
      </c>
    </row>
    <row r="1111" spans="1:2" x14ac:dyDescent="0.2">
      <c r="A1111" t="s">
        <v>621</v>
      </c>
      <c r="B1111" t="s">
        <v>1</v>
      </c>
    </row>
    <row r="1112" spans="1:2" x14ac:dyDescent="0.2">
      <c r="A1112" t="s">
        <v>623</v>
      </c>
      <c r="B1112" t="s">
        <v>1</v>
      </c>
    </row>
    <row r="1113" spans="1:2" x14ac:dyDescent="0.2">
      <c r="A1113" t="s">
        <v>625</v>
      </c>
      <c r="B1113" t="s">
        <v>1</v>
      </c>
    </row>
    <row r="1114" spans="1:2" x14ac:dyDescent="0.2">
      <c r="A1114" t="s">
        <v>627</v>
      </c>
      <c r="B1114" t="s">
        <v>1</v>
      </c>
    </row>
    <row r="1115" spans="1:2" x14ac:dyDescent="0.2">
      <c r="A1115" t="s">
        <v>629</v>
      </c>
      <c r="B1115" t="s">
        <v>1</v>
      </c>
    </row>
    <row r="1116" spans="1:2" x14ac:dyDescent="0.2">
      <c r="A1116" t="s">
        <v>631</v>
      </c>
      <c r="B1116" t="s">
        <v>1</v>
      </c>
    </row>
    <row r="1117" spans="1:2" x14ac:dyDescent="0.2">
      <c r="A1117" t="s">
        <v>633</v>
      </c>
      <c r="B1117" t="s">
        <v>1</v>
      </c>
    </row>
    <row r="1118" spans="1:2" x14ac:dyDescent="0.2">
      <c r="A1118" t="s">
        <v>635</v>
      </c>
      <c r="B1118" t="s">
        <v>1</v>
      </c>
    </row>
    <row r="1119" spans="1:2" x14ac:dyDescent="0.2">
      <c r="A1119" t="s">
        <v>637</v>
      </c>
      <c r="B1119" t="s">
        <v>1</v>
      </c>
    </row>
    <row r="1120" spans="1:2" x14ac:dyDescent="0.2">
      <c r="A1120" t="s">
        <v>639</v>
      </c>
      <c r="B1120" t="s">
        <v>1</v>
      </c>
    </row>
    <row r="1121" spans="1:2" x14ac:dyDescent="0.2">
      <c r="A1121" t="s">
        <v>641</v>
      </c>
      <c r="B1121" t="s">
        <v>1</v>
      </c>
    </row>
    <row r="1122" spans="1:2" x14ac:dyDescent="0.2">
      <c r="A1122" t="s">
        <v>643</v>
      </c>
      <c r="B1122" t="s">
        <v>1</v>
      </c>
    </row>
    <row r="1123" spans="1:2" x14ac:dyDescent="0.2">
      <c r="A1123" t="s">
        <v>645</v>
      </c>
      <c r="B1123" t="s">
        <v>1</v>
      </c>
    </row>
    <row r="1124" spans="1:2" x14ac:dyDescent="0.2">
      <c r="A1124" t="s">
        <v>647</v>
      </c>
      <c r="B1124" t="s">
        <v>1</v>
      </c>
    </row>
    <row r="1125" spans="1:2" x14ac:dyDescent="0.2">
      <c r="A1125" t="s">
        <v>649</v>
      </c>
      <c r="B1125" t="s">
        <v>1</v>
      </c>
    </row>
    <row r="1126" spans="1:2" x14ac:dyDescent="0.2">
      <c r="A1126" t="s">
        <v>651</v>
      </c>
      <c r="B1126" t="s">
        <v>1</v>
      </c>
    </row>
    <row r="1127" spans="1:2" x14ac:dyDescent="0.2">
      <c r="A1127" t="s">
        <v>653</v>
      </c>
      <c r="B1127" t="s">
        <v>1</v>
      </c>
    </row>
    <row r="1128" spans="1:2" x14ac:dyDescent="0.2">
      <c r="A1128" t="s">
        <v>655</v>
      </c>
      <c r="B1128" t="s">
        <v>1</v>
      </c>
    </row>
    <row r="1129" spans="1:2" x14ac:dyDescent="0.2">
      <c r="A1129" t="s">
        <v>657</v>
      </c>
      <c r="B1129" t="s">
        <v>1</v>
      </c>
    </row>
    <row r="1130" spans="1:2" x14ac:dyDescent="0.2">
      <c r="A1130" t="s">
        <v>659</v>
      </c>
      <c r="B1130" t="s">
        <v>1</v>
      </c>
    </row>
    <row r="1131" spans="1:2" x14ac:dyDescent="0.2">
      <c r="A1131" t="s">
        <v>661</v>
      </c>
      <c r="B1131" t="s">
        <v>1</v>
      </c>
    </row>
    <row r="1132" spans="1:2" x14ac:dyDescent="0.2">
      <c r="A1132" t="s">
        <v>663</v>
      </c>
      <c r="B1132" t="s">
        <v>1</v>
      </c>
    </row>
    <row r="1133" spans="1:2" x14ac:dyDescent="0.2">
      <c r="A1133" t="s">
        <v>353</v>
      </c>
      <c r="B1133" t="s">
        <v>1</v>
      </c>
    </row>
    <row r="1134" spans="1:2" x14ac:dyDescent="0.2">
      <c r="A1134" t="s">
        <v>666</v>
      </c>
      <c r="B1134" t="s">
        <v>1</v>
      </c>
    </row>
    <row r="1135" spans="1:2" x14ac:dyDescent="0.2">
      <c r="A1135" t="s">
        <v>364</v>
      </c>
      <c r="B1135" t="s">
        <v>1</v>
      </c>
    </row>
    <row r="1136" spans="1:2" x14ac:dyDescent="0.2">
      <c r="A1136" t="s">
        <v>669</v>
      </c>
      <c r="B1136" t="s">
        <v>1</v>
      </c>
    </row>
    <row r="1137" spans="1:2" x14ac:dyDescent="0.2">
      <c r="A1137" t="s">
        <v>671</v>
      </c>
      <c r="B1137" t="s">
        <v>1</v>
      </c>
    </row>
    <row r="1138" spans="1:2" x14ac:dyDescent="0.2">
      <c r="A1138" t="s">
        <v>673</v>
      </c>
      <c r="B1138" t="s">
        <v>1</v>
      </c>
    </row>
    <row r="1139" spans="1:2" x14ac:dyDescent="0.2">
      <c r="A1139" t="s">
        <v>675</v>
      </c>
      <c r="B1139" t="s">
        <v>1</v>
      </c>
    </row>
    <row r="1140" spans="1:2" x14ac:dyDescent="0.2">
      <c r="A1140" t="s">
        <v>677</v>
      </c>
      <c r="B1140" t="s">
        <v>1</v>
      </c>
    </row>
    <row r="1141" spans="1:2" x14ac:dyDescent="0.2">
      <c r="A1141" t="s">
        <v>353</v>
      </c>
      <c r="B1141" t="s">
        <v>1</v>
      </c>
    </row>
    <row r="1142" spans="1:2" x14ac:dyDescent="0.2">
      <c r="A1142" t="s">
        <v>680</v>
      </c>
      <c r="B1142" t="s">
        <v>1</v>
      </c>
    </row>
    <row r="1143" spans="1:2" x14ac:dyDescent="0.2">
      <c r="A1143" t="s">
        <v>682</v>
      </c>
      <c r="B1143" t="s">
        <v>1</v>
      </c>
    </row>
    <row r="1144" spans="1:2" x14ac:dyDescent="0.2">
      <c r="A1144" t="s">
        <v>684</v>
      </c>
      <c r="B1144" t="s">
        <v>1</v>
      </c>
    </row>
    <row r="1145" spans="1:2" x14ac:dyDescent="0.2">
      <c r="A1145" t="s">
        <v>686</v>
      </c>
      <c r="B1145" t="s">
        <v>1</v>
      </c>
    </row>
    <row r="1146" spans="1:2" x14ac:dyDescent="0.2">
      <c r="A1146" t="s">
        <v>688</v>
      </c>
      <c r="B1146" t="s">
        <v>1</v>
      </c>
    </row>
    <row r="1147" spans="1:2" x14ac:dyDescent="0.2">
      <c r="A1147" t="s">
        <v>669</v>
      </c>
      <c r="B1147" t="s">
        <v>1</v>
      </c>
    </row>
    <row r="1148" spans="1:2" x14ac:dyDescent="0.2">
      <c r="A1148" t="s">
        <v>691</v>
      </c>
      <c r="B1148" t="s">
        <v>1</v>
      </c>
    </row>
    <row r="1149" spans="1:2" x14ac:dyDescent="0.2">
      <c r="A1149" t="s">
        <v>693</v>
      </c>
      <c r="B1149" t="s">
        <v>1</v>
      </c>
    </row>
    <row r="1150" spans="1:2" x14ac:dyDescent="0.2">
      <c r="A1150" t="s">
        <v>695</v>
      </c>
      <c r="B1150" t="s">
        <v>1</v>
      </c>
    </row>
    <row r="1151" spans="1:2" x14ac:dyDescent="0.2">
      <c r="A1151" t="s">
        <v>697</v>
      </c>
      <c r="B1151" t="s">
        <v>1</v>
      </c>
    </row>
    <row r="1152" spans="1:2" x14ac:dyDescent="0.2">
      <c r="A1152" t="s">
        <v>699</v>
      </c>
      <c r="B1152" t="s">
        <v>1</v>
      </c>
    </row>
    <row r="1153" spans="1:2" x14ac:dyDescent="0.2">
      <c r="A1153" t="s">
        <v>701</v>
      </c>
      <c r="B1153" t="s">
        <v>1</v>
      </c>
    </row>
    <row r="1154" spans="1:2" x14ac:dyDescent="0.2">
      <c r="A1154" t="s">
        <v>703</v>
      </c>
      <c r="B1154" t="s">
        <v>1</v>
      </c>
    </row>
    <row r="1155" spans="1:2" x14ac:dyDescent="0.2">
      <c r="A1155" t="s">
        <v>705</v>
      </c>
      <c r="B1155" t="s">
        <v>1</v>
      </c>
    </row>
    <row r="1156" spans="1:2" x14ac:dyDescent="0.2">
      <c r="A1156" t="s">
        <v>707</v>
      </c>
      <c r="B1156" t="s">
        <v>1</v>
      </c>
    </row>
    <row r="1157" spans="1:2" x14ac:dyDescent="0.2">
      <c r="A1157" t="s">
        <v>709</v>
      </c>
      <c r="B1157" t="s">
        <v>1</v>
      </c>
    </row>
    <row r="1158" spans="1:2" x14ac:dyDescent="0.2">
      <c r="A1158" t="s">
        <v>711</v>
      </c>
      <c r="B1158" t="s">
        <v>1</v>
      </c>
    </row>
    <row r="1159" spans="1:2" x14ac:dyDescent="0.2">
      <c r="A1159" t="s">
        <v>713</v>
      </c>
      <c r="B1159" t="s">
        <v>1</v>
      </c>
    </row>
    <row r="1160" spans="1:2" x14ac:dyDescent="0.2">
      <c r="A1160" t="s">
        <v>715</v>
      </c>
      <c r="B1160" t="s">
        <v>1</v>
      </c>
    </row>
    <row r="1161" spans="1:2" x14ac:dyDescent="0.2">
      <c r="A1161" t="s">
        <v>717</v>
      </c>
      <c r="B1161" t="s">
        <v>1</v>
      </c>
    </row>
    <row r="1162" spans="1:2" x14ac:dyDescent="0.2">
      <c r="A1162" t="s">
        <v>719</v>
      </c>
      <c r="B1162" t="s">
        <v>1</v>
      </c>
    </row>
    <row r="1163" spans="1:2" x14ac:dyDescent="0.2">
      <c r="A1163" t="s">
        <v>721</v>
      </c>
      <c r="B1163" t="s">
        <v>1</v>
      </c>
    </row>
    <row r="1164" spans="1:2" x14ac:dyDescent="0.2">
      <c r="A1164" t="s">
        <v>723</v>
      </c>
      <c r="B1164" t="s">
        <v>1</v>
      </c>
    </row>
    <row r="1165" spans="1:2" x14ac:dyDescent="0.2">
      <c r="A1165" t="s">
        <v>725</v>
      </c>
      <c r="B1165" t="s">
        <v>1</v>
      </c>
    </row>
    <row r="1166" spans="1:2" x14ac:dyDescent="0.2">
      <c r="A1166" t="s">
        <v>727</v>
      </c>
      <c r="B1166" t="s">
        <v>1</v>
      </c>
    </row>
    <row r="1167" spans="1:2" x14ac:dyDescent="0.2">
      <c r="A1167" t="s">
        <v>729</v>
      </c>
      <c r="B1167" t="s">
        <v>1</v>
      </c>
    </row>
    <row r="1168" spans="1:2" x14ac:dyDescent="0.2">
      <c r="A1168" t="s">
        <v>731</v>
      </c>
      <c r="B1168" t="s">
        <v>1</v>
      </c>
    </row>
    <row r="1169" spans="1:2" x14ac:dyDescent="0.2">
      <c r="A1169" t="s">
        <v>733</v>
      </c>
      <c r="B1169" t="s">
        <v>1</v>
      </c>
    </row>
    <row r="1170" spans="1:2" x14ac:dyDescent="0.2">
      <c r="A1170" t="s">
        <v>735</v>
      </c>
      <c r="B1170" t="s">
        <v>1</v>
      </c>
    </row>
    <row r="1171" spans="1:2" x14ac:dyDescent="0.2">
      <c r="A1171" t="s">
        <v>737</v>
      </c>
      <c r="B1171" t="s">
        <v>1</v>
      </c>
    </row>
    <row r="1172" spans="1:2" x14ac:dyDescent="0.2">
      <c r="A1172" t="s">
        <v>739</v>
      </c>
      <c r="B1172" t="s">
        <v>1</v>
      </c>
    </row>
    <row r="1173" spans="1:2" x14ac:dyDescent="0.2">
      <c r="A1173" t="s">
        <v>741</v>
      </c>
      <c r="B1173" t="s">
        <v>1</v>
      </c>
    </row>
    <row r="1174" spans="1:2" x14ac:dyDescent="0.2">
      <c r="A1174" t="s">
        <v>743</v>
      </c>
      <c r="B1174" t="s">
        <v>1</v>
      </c>
    </row>
    <row r="1175" spans="1:2" x14ac:dyDescent="0.2">
      <c r="A1175" t="s">
        <v>745</v>
      </c>
      <c r="B1175" t="s">
        <v>1</v>
      </c>
    </row>
    <row r="1176" spans="1:2" x14ac:dyDescent="0.2">
      <c r="A1176" t="s">
        <v>747</v>
      </c>
      <c r="B1176" t="s">
        <v>1</v>
      </c>
    </row>
    <row r="1177" spans="1:2" x14ac:dyDescent="0.2">
      <c r="A1177" t="s">
        <v>749</v>
      </c>
      <c r="B1177" t="s">
        <v>1</v>
      </c>
    </row>
    <row r="1178" spans="1:2" x14ac:dyDescent="0.2">
      <c r="A1178" t="s">
        <v>751</v>
      </c>
      <c r="B1178" t="s">
        <v>1</v>
      </c>
    </row>
    <row r="1179" spans="1:2" x14ac:dyDescent="0.2">
      <c r="A1179" t="s">
        <v>753</v>
      </c>
      <c r="B1179" t="s">
        <v>1</v>
      </c>
    </row>
    <row r="1180" spans="1:2" x14ac:dyDescent="0.2">
      <c r="A1180" t="s">
        <v>755</v>
      </c>
      <c r="B1180" t="s">
        <v>1</v>
      </c>
    </row>
    <row r="1181" spans="1:2" x14ac:dyDescent="0.2">
      <c r="A1181" t="s">
        <v>757</v>
      </c>
      <c r="B1181" t="s">
        <v>1</v>
      </c>
    </row>
    <row r="1182" spans="1:2" x14ac:dyDescent="0.2">
      <c r="A1182" t="s">
        <v>759</v>
      </c>
      <c r="B1182" t="s">
        <v>1</v>
      </c>
    </row>
    <row r="1183" spans="1:2" x14ac:dyDescent="0.2">
      <c r="A1183" t="s">
        <v>761</v>
      </c>
      <c r="B1183" t="s">
        <v>1</v>
      </c>
    </row>
    <row r="1184" spans="1:2" x14ac:dyDescent="0.2">
      <c r="A1184" t="s">
        <v>763</v>
      </c>
      <c r="B1184" t="s">
        <v>1</v>
      </c>
    </row>
    <row r="1185" spans="1:2" x14ac:dyDescent="0.2">
      <c r="A1185" t="s">
        <v>765</v>
      </c>
      <c r="B1185" t="s">
        <v>1</v>
      </c>
    </row>
    <row r="1186" spans="1:2" x14ac:dyDescent="0.2">
      <c r="A1186" t="s">
        <v>767</v>
      </c>
      <c r="B1186" t="s">
        <v>1</v>
      </c>
    </row>
    <row r="1187" spans="1:2" x14ac:dyDescent="0.2">
      <c r="A1187" t="s">
        <v>769</v>
      </c>
      <c r="B1187" t="s">
        <v>1</v>
      </c>
    </row>
    <row r="1188" spans="1:2" x14ac:dyDescent="0.2">
      <c r="A1188" t="s">
        <v>771</v>
      </c>
      <c r="B1188" t="s">
        <v>1</v>
      </c>
    </row>
    <row r="1189" spans="1:2" x14ac:dyDescent="0.2">
      <c r="A1189" t="s">
        <v>773</v>
      </c>
      <c r="B1189" t="s">
        <v>1</v>
      </c>
    </row>
    <row r="1190" spans="1:2" x14ac:dyDescent="0.2">
      <c r="A1190" t="s">
        <v>775</v>
      </c>
      <c r="B1190" t="s">
        <v>1</v>
      </c>
    </row>
    <row r="1191" spans="1:2" x14ac:dyDescent="0.2">
      <c r="A1191" t="s">
        <v>777</v>
      </c>
      <c r="B1191" t="s">
        <v>1</v>
      </c>
    </row>
    <row r="1192" spans="1:2" x14ac:dyDescent="0.2">
      <c r="A1192" t="s">
        <v>779</v>
      </c>
      <c r="B1192" t="s">
        <v>1</v>
      </c>
    </row>
    <row r="1193" spans="1:2" x14ac:dyDescent="0.2">
      <c r="A1193" t="s">
        <v>781</v>
      </c>
      <c r="B1193" t="s">
        <v>1</v>
      </c>
    </row>
    <row r="1194" spans="1:2" x14ac:dyDescent="0.2">
      <c r="A1194" t="s">
        <v>783</v>
      </c>
      <c r="B1194" t="s">
        <v>1</v>
      </c>
    </row>
    <row r="1195" spans="1:2" x14ac:dyDescent="0.2">
      <c r="A1195" t="s">
        <v>785</v>
      </c>
      <c r="B1195" t="s">
        <v>1</v>
      </c>
    </row>
    <row r="1196" spans="1:2" x14ac:dyDescent="0.2">
      <c r="A1196" t="s">
        <v>787</v>
      </c>
      <c r="B1196" t="s">
        <v>1</v>
      </c>
    </row>
    <row r="1197" spans="1:2" x14ac:dyDescent="0.2">
      <c r="A1197" t="s">
        <v>789</v>
      </c>
      <c r="B1197" t="s">
        <v>1</v>
      </c>
    </row>
    <row r="1198" spans="1:2" x14ac:dyDescent="0.2">
      <c r="A1198" t="s">
        <v>791</v>
      </c>
      <c r="B1198" t="s">
        <v>1</v>
      </c>
    </row>
    <row r="1199" spans="1:2" x14ac:dyDescent="0.2">
      <c r="A1199" t="s">
        <v>793</v>
      </c>
      <c r="B1199" t="s">
        <v>1</v>
      </c>
    </row>
    <row r="1200" spans="1:2" x14ac:dyDescent="0.2">
      <c r="A1200" t="s">
        <v>795</v>
      </c>
      <c r="B1200" t="s">
        <v>1</v>
      </c>
    </row>
    <row r="1201" spans="1:2" x14ac:dyDescent="0.2">
      <c r="A1201" t="s">
        <v>797</v>
      </c>
      <c r="B1201" t="s">
        <v>1</v>
      </c>
    </row>
    <row r="1202" spans="1:2" x14ac:dyDescent="0.2">
      <c r="A1202" t="s">
        <v>799</v>
      </c>
      <c r="B1202" t="s">
        <v>1</v>
      </c>
    </row>
    <row r="1203" spans="1:2" x14ac:dyDescent="0.2">
      <c r="A1203" t="s">
        <v>801</v>
      </c>
      <c r="B1203" t="s">
        <v>1</v>
      </c>
    </row>
    <row r="1204" spans="1:2" x14ac:dyDescent="0.2">
      <c r="A1204" t="s">
        <v>803</v>
      </c>
      <c r="B1204" t="s">
        <v>1</v>
      </c>
    </row>
    <row r="1205" spans="1:2" x14ac:dyDescent="0.2">
      <c r="A1205" t="s">
        <v>805</v>
      </c>
      <c r="B1205" t="s">
        <v>1</v>
      </c>
    </row>
    <row r="1206" spans="1:2" x14ac:dyDescent="0.2">
      <c r="A1206" t="s">
        <v>807</v>
      </c>
      <c r="B1206" t="s">
        <v>1</v>
      </c>
    </row>
    <row r="1207" spans="1:2" x14ac:dyDescent="0.2">
      <c r="A1207" t="s">
        <v>809</v>
      </c>
      <c r="B1207" t="s">
        <v>1</v>
      </c>
    </row>
    <row r="1208" spans="1:2" x14ac:dyDescent="0.2">
      <c r="A1208" t="s">
        <v>811</v>
      </c>
      <c r="B1208" t="s">
        <v>1</v>
      </c>
    </row>
    <row r="1209" spans="1:2" x14ac:dyDescent="0.2">
      <c r="A1209" t="s">
        <v>813</v>
      </c>
      <c r="B1209" t="s">
        <v>1</v>
      </c>
    </row>
    <row r="1210" spans="1:2" x14ac:dyDescent="0.2">
      <c r="A1210" t="s">
        <v>815</v>
      </c>
      <c r="B1210" t="s">
        <v>1</v>
      </c>
    </row>
    <row r="1211" spans="1:2" x14ac:dyDescent="0.2">
      <c r="A1211" t="s">
        <v>817</v>
      </c>
      <c r="B1211" t="s">
        <v>1</v>
      </c>
    </row>
    <row r="1212" spans="1:2" x14ac:dyDescent="0.2">
      <c r="A1212" t="s">
        <v>819</v>
      </c>
      <c r="B1212" t="s">
        <v>1</v>
      </c>
    </row>
    <row r="1213" spans="1:2" x14ac:dyDescent="0.2">
      <c r="A1213" t="s">
        <v>821</v>
      </c>
      <c r="B1213" t="s">
        <v>1</v>
      </c>
    </row>
    <row r="1214" spans="1:2" x14ac:dyDescent="0.2">
      <c r="A1214" t="s">
        <v>823</v>
      </c>
      <c r="B1214" t="s">
        <v>1</v>
      </c>
    </row>
    <row r="1215" spans="1:2" x14ac:dyDescent="0.2">
      <c r="A1215" t="s">
        <v>825</v>
      </c>
      <c r="B1215" t="s">
        <v>1</v>
      </c>
    </row>
    <row r="1216" spans="1:2" x14ac:dyDescent="0.2">
      <c r="A1216" t="s">
        <v>827</v>
      </c>
      <c r="B1216" t="s">
        <v>1</v>
      </c>
    </row>
    <row r="1217" spans="1:2" x14ac:dyDescent="0.2">
      <c r="A1217" t="s">
        <v>829</v>
      </c>
      <c r="B1217" t="s">
        <v>1</v>
      </c>
    </row>
    <row r="1218" spans="1:2" x14ac:dyDescent="0.2">
      <c r="A1218" t="s">
        <v>831</v>
      </c>
      <c r="B1218" t="s">
        <v>1</v>
      </c>
    </row>
    <row r="1219" spans="1:2" x14ac:dyDescent="0.2">
      <c r="A1219" t="s">
        <v>833</v>
      </c>
      <c r="B1219" t="s">
        <v>1</v>
      </c>
    </row>
    <row r="1220" spans="1:2" x14ac:dyDescent="0.2">
      <c r="A1220" t="s">
        <v>835</v>
      </c>
      <c r="B1220" t="s">
        <v>1</v>
      </c>
    </row>
    <row r="1221" spans="1:2" x14ac:dyDescent="0.2">
      <c r="A1221" t="s">
        <v>837</v>
      </c>
      <c r="B1221" t="s">
        <v>1</v>
      </c>
    </row>
    <row r="1222" spans="1:2" x14ac:dyDescent="0.2">
      <c r="A1222" t="s">
        <v>839</v>
      </c>
      <c r="B1222" t="s">
        <v>1</v>
      </c>
    </row>
    <row r="1223" spans="1:2" x14ac:dyDescent="0.2">
      <c r="A1223" t="s">
        <v>841</v>
      </c>
      <c r="B1223" t="s">
        <v>1</v>
      </c>
    </row>
    <row r="1224" spans="1:2" x14ac:dyDescent="0.2">
      <c r="A1224" t="s">
        <v>843</v>
      </c>
      <c r="B1224" t="s">
        <v>1</v>
      </c>
    </row>
    <row r="1225" spans="1:2" x14ac:dyDescent="0.2">
      <c r="A1225" t="s">
        <v>845</v>
      </c>
      <c r="B1225" t="s">
        <v>1</v>
      </c>
    </row>
    <row r="1226" spans="1:2" x14ac:dyDescent="0.2">
      <c r="A1226" t="s">
        <v>847</v>
      </c>
      <c r="B1226" t="s">
        <v>1</v>
      </c>
    </row>
    <row r="1227" spans="1:2" x14ac:dyDescent="0.2">
      <c r="A1227" t="s">
        <v>849</v>
      </c>
      <c r="B1227" t="s">
        <v>1</v>
      </c>
    </row>
    <row r="1228" spans="1:2" x14ac:dyDescent="0.2">
      <c r="A1228" t="s">
        <v>851</v>
      </c>
      <c r="B1228" t="s">
        <v>1</v>
      </c>
    </row>
    <row r="1229" spans="1:2" x14ac:dyDescent="0.2">
      <c r="A1229" t="s">
        <v>853</v>
      </c>
      <c r="B1229" t="s">
        <v>1</v>
      </c>
    </row>
    <row r="1230" spans="1:2" x14ac:dyDescent="0.2">
      <c r="A1230" t="s">
        <v>855</v>
      </c>
      <c r="B1230" t="s">
        <v>1</v>
      </c>
    </row>
    <row r="1231" spans="1:2" x14ac:dyDescent="0.2">
      <c r="A1231" t="s">
        <v>857</v>
      </c>
      <c r="B1231" t="s">
        <v>1</v>
      </c>
    </row>
    <row r="1232" spans="1:2" x14ac:dyDescent="0.2">
      <c r="A1232" t="s">
        <v>859</v>
      </c>
      <c r="B1232" t="s">
        <v>1</v>
      </c>
    </row>
    <row r="1233" spans="1:2" x14ac:dyDescent="0.2">
      <c r="A1233" t="s">
        <v>861</v>
      </c>
      <c r="B1233" t="s">
        <v>1</v>
      </c>
    </row>
    <row r="1234" spans="1:2" x14ac:dyDescent="0.2">
      <c r="A1234" t="s">
        <v>863</v>
      </c>
      <c r="B1234" t="s">
        <v>1</v>
      </c>
    </row>
    <row r="1235" spans="1:2" x14ac:dyDescent="0.2">
      <c r="A1235" t="s">
        <v>865</v>
      </c>
      <c r="B1235" t="s">
        <v>1</v>
      </c>
    </row>
    <row r="1236" spans="1:2" x14ac:dyDescent="0.2">
      <c r="A1236" t="s">
        <v>867</v>
      </c>
      <c r="B1236" t="s">
        <v>1</v>
      </c>
    </row>
    <row r="1237" spans="1:2" x14ac:dyDescent="0.2">
      <c r="A1237" t="s">
        <v>869</v>
      </c>
      <c r="B1237" t="s">
        <v>1</v>
      </c>
    </row>
    <row r="1238" spans="1:2" x14ac:dyDescent="0.2">
      <c r="A1238" t="s">
        <v>871</v>
      </c>
      <c r="B1238" t="s">
        <v>1</v>
      </c>
    </row>
    <row r="1239" spans="1:2" x14ac:dyDescent="0.2">
      <c r="A1239" t="s">
        <v>873</v>
      </c>
      <c r="B1239" t="s">
        <v>1</v>
      </c>
    </row>
    <row r="1240" spans="1:2" x14ac:dyDescent="0.2">
      <c r="A1240" t="s">
        <v>875</v>
      </c>
      <c r="B1240" t="s">
        <v>1</v>
      </c>
    </row>
    <row r="1241" spans="1:2" x14ac:dyDescent="0.2">
      <c r="A1241" t="s">
        <v>877</v>
      </c>
      <c r="B1241" t="s">
        <v>1</v>
      </c>
    </row>
    <row r="1242" spans="1:2" x14ac:dyDescent="0.2">
      <c r="A1242" t="s">
        <v>879</v>
      </c>
      <c r="B1242" t="s">
        <v>1</v>
      </c>
    </row>
    <row r="1243" spans="1:2" x14ac:dyDescent="0.2">
      <c r="A1243" t="s">
        <v>881</v>
      </c>
      <c r="B1243" t="s">
        <v>1</v>
      </c>
    </row>
    <row r="1244" spans="1:2" x14ac:dyDescent="0.2">
      <c r="A1244" t="s">
        <v>883</v>
      </c>
      <c r="B1244" t="s">
        <v>1</v>
      </c>
    </row>
    <row r="1245" spans="1:2" x14ac:dyDescent="0.2">
      <c r="A1245" t="s">
        <v>885</v>
      </c>
      <c r="B1245" t="s">
        <v>1</v>
      </c>
    </row>
    <row r="1246" spans="1:2" x14ac:dyDescent="0.2">
      <c r="A1246" t="s">
        <v>887</v>
      </c>
      <c r="B1246" t="s">
        <v>1</v>
      </c>
    </row>
    <row r="1247" spans="1:2" x14ac:dyDescent="0.2">
      <c r="A1247" t="s">
        <v>889</v>
      </c>
      <c r="B1247" t="s">
        <v>1</v>
      </c>
    </row>
    <row r="1248" spans="1:2" x14ac:dyDescent="0.2">
      <c r="A1248" t="s">
        <v>891</v>
      </c>
      <c r="B1248" t="s">
        <v>1</v>
      </c>
    </row>
    <row r="1249" spans="1:2" x14ac:dyDescent="0.2">
      <c r="A1249" t="s">
        <v>893</v>
      </c>
      <c r="B1249" t="s">
        <v>1</v>
      </c>
    </row>
    <row r="1250" spans="1:2" x14ac:dyDescent="0.2">
      <c r="A1250" t="s">
        <v>895</v>
      </c>
      <c r="B1250" t="s">
        <v>1</v>
      </c>
    </row>
    <row r="1251" spans="1:2" x14ac:dyDescent="0.2">
      <c r="A1251" t="s">
        <v>897</v>
      </c>
      <c r="B1251" t="s">
        <v>1</v>
      </c>
    </row>
    <row r="1252" spans="1:2" x14ac:dyDescent="0.2">
      <c r="A1252" t="s">
        <v>899</v>
      </c>
      <c r="B1252" t="s">
        <v>1</v>
      </c>
    </row>
    <row r="1253" spans="1:2" x14ac:dyDescent="0.2">
      <c r="A1253" t="s">
        <v>901</v>
      </c>
      <c r="B1253" t="s">
        <v>1</v>
      </c>
    </row>
    <row r="1254" spans="1:2" x14ac:dyDescent="0.2">
      <c r="A1254" t="s">
        <v>903</v>
      </c>
      <c r="B1254" t="s">
        <v>1</v>
      </c>
    </row>
    <row r="1255" spans="1:2" x14ac:dyDescent="0.2">
      <c r="A1255" t="s">
        <v>905</v>
      </c>
      <c r="B1255" t="s">
        <v>1</v>
      </c>
    </row>
    <row r="1256" spans="1:2" x14ac:dyDescent="0.2">
      <c r="A1256" t="s">
        <v>907</v>
      </c>
      <c r="B1256" t="s">
        <v>1</v>
      </c>
    </row>
    <row r="1257" spans="1:2" x14ac:dyDescent="0.2">
      <c r="A1257" t="s">
        <v>909</v>
      </c>
      <c r="B1257" t="s">
        <v>1</v>
      </c>
    </row>
    <row r="1258" spans="1:2" x14ac:dyDescent="0.2">
      <c r="A1258" t="s">
        <v>911</v>
      </c>
      <c r="B1258" t="s">
        <v>1</v>
      </c>
    </row>
    <row r="1259" spans="1:2" x14ac:dyDescent="0.2">
      <c r="A1259" t="s">
        <v>913</v>
      </c>
      <c r="B1259" t="s">
        <v>1</v>
      </c>
    </row>
    <row r="1260" spans="1:2" x14ac:dyDescent="0.2">
      <c r="A1260" t="s">
        <v>915</v>
      </c>
      <c r="B1260" t="s">
        <v>1</v>
      </c>
    </row>
    <row r="1261" spans="1:2" x14ac:dyDescent="0.2">
      <c r="A1261" t="s">
        <v>917</v>
      </c>
      <c r="B1261" t="s">
        <v>1</v>
      </c>
    </row>
    <row r="1262" spans="1:2" x14ac:dyDescent="0.2">
      <c r="A1262" t="s">
        <v>919</v>
      </c>
      <c r="B1262" t="s">
        <v>1</v>
      </c>
    </row>
    <row r="1263" spans="1:2" x14ac:dyDescent="0.2">
      <c r="A1263" t="s">
        <v>921</v>
      </c>
      <c r="B1263" t="s">
        <v>1</v>
      </c>
    </row>
    <row r="1264" spans="1:2" x14ac:dyDescent="0.2">
      <c r="A1264" t="s">
        <v>923</v>
      </c>
      <c r="B1264" t="s">
        <v>1</v>
      </c>
    </row>
    <row r="1265" spans="1:2" x14ac:dyDescent="0.2">
      <c r="A1265" t="s">
        <v>925</v>
      </c>
      <c r="B1265" t="s">
        <v>1</v>
      </c>
    </row>
    <row r="1266" spans="1:2" x14ac:dyDescent="0.2">
      <c r="A1266" t="s">
        <v>927</v>
      </c>
      <c r="B1266" t="s">
        <v>1</v>
      </c>
    </row>
    <row r="1267" spans="1:2" x14ac:dyDescent="0.2">
      <c r="A1267" t="s">
        <v>929</v>
      </c>
      <c r="B1267" t="s">
        <v>1</v>
      </c>
    </row>
    <row r="1268" spans="1:2" x14ac:dyDescent="0.2">
      <c r="A1268" t="s">
        <v>931</v>
      </c>
      <c r="B1268" t="s">
        <v>1</v>
      </c>
    </row>
    <row r="1269" spans="1:2" x14ac:dyDescent="0.2">
      <c r="A1269" t="s">
        <v>933</v>
      </c>
      <c r="B1269" t="s">
        <v>1</v>
      </c>
    </row>
    <row r="1270" spans="1:2" x14ac:dyDescent="0.2">
      <c r="A1270" t="s">
        <v>935</v>
      </c>
      <c r="B1270" t="s">
        <v>1</v>
      </c>
    </row>
    <row r="1271" spans="1:2" x14ac:dyDescent="0.2">
      <c r="A1271" t="s">
        <v>937</v>
      </c>
      <c r="B1271" t="s">
        <v>1</v>
      </c>
    </row>
    <row r="1272" spans="1:2" x14ac:dyDescent="0.2">
      <c r="A1272" t="s">
        <v>939</v>
      </c>
      <c r="B1272" t="s">
        <v>1</v>
      </c>
    </row>
    <row r="1273" spans="1:2" x14ac:dyDescent="0.2">
      <c r="A1273" t="s">
        <v>941</v>
      </c>
      <c r="B1273" t="s">
        <v>1</v>
      </c>
    </row>
    <row r="1274" spans="1:2" x14ac:dyDescent="0.2">
      <c r="A1274" t="s">
        <v>500</v>
      </c>
      <c r="B1274" t="s">
        <v>1</v>
      </c>
    </row>
    <row r="1275" spans="1:2" x14ac:dyDescent="0.2">
      <c r="A1275" t="s">
        <v>944</v>
      </c>
      <c r="B1275" t="s">
        <v>1</v>
      </c>
    </row>
    <row r="1276" spans="1:2" x14ac:dyDescent="0.2">
      <c r="A1276" t="s">
        <v>946</v>
      </c>
      <c r="B1276" t="s">
        <v>1</v>
      </c>
    </row>
    <row r="1277" spans="1:2" x14ac:dyDescent="0.2">
      <c r="A1277" t="s">
        <v>518</v>
      </c>
      <c r="B1277" t="s">
        <v>1</v>
      </c>
    </row>
    <row r="1278" spans="1:2" x14ac:dyDescent="0.2">
      <c r="A1278" t="s">
        <v>949</v>
      </c>
      <c r="B1278" t="s">
        <v>1</v>
      </c>
    </row>
    <row r="1279" spans="1:2" x14ac:dyDescent="0.2">
      <c r="A1279" t="s">
        <v>951</v>
      </c>
      <c r="B1279" t="s">
        <v>1</v>
      </c>
    </row>
    <row r="1280" spans="1:2" x14ac:dyDescent="0.2">
      <c r="A1280" t="s">
        <v>953</v>
      </c>
      <c r="B1280" t="s">
        <v>1</v>
      </c>
    </row>
    <row r="1281" spans="1:2" x14ac:dyDescent="0.2">
      <c r="A1281" t="s">
        <v>955</v>
      </c>
      <c r="B1281" t="s">
        <v>1</v>
      </c>
    </row>
    <row r="1282" spans="1:2" x14ac:dyDescent="0.2">
      <c r="A1282" t="s">
        <v>957</v>
      </c>
      <c r="B1282" t="s">
        <v>1</v>
      </c>
    </row>
    <row r="1283" spans="1:2" x14ac:dyDescent="0.2">
      <c r="A1283" t="s">
        <v>959</v>
      </c>
      <c r="B1283" t="s">
        <v>1</v>
      </c>
    </row>
    <row r="1284" spans="1:2" x14ac:dyDescent="0.2">
      <c r="A1284" t="s">
        <v>961</v>
      </c>
      <c r="B1284" t="s">
        <v>1</v>
      </c>
    </row>
    <row r="1285" spans="1:2" x14ac:dyDescent="0.2">
      <c r="A1285" t="s">
        <v>963</v>
      </c>
      <c r="B1285" t="s">
        <v>1</v>
      </c>
    </row>
    <row r="1286" spans="1:2" x14ac:dyDescent="0.2">
      <c r="A1286" t="s">
        <v>965</v>
      </c>
      <c r="B1286" t="s">
        <v>1</v>
      </c>
    </row>
    <row r="1287" spans="1:2" x14ac:dyDescent="0.2">
      <c r="A1287" t="s">
        <v>967</v>
      </c>
      <c r="B1287" t="s">
        <v>1</v>
      </c>
    </row>
    <row r="1288" spans="1:2" x14ac:dyDescent="0.2">
      <c r="A1288" t="s">
        <v>969</v>
      </c>
      <c r="B1288" t="s">
        <v>1</v>
      </c>
    </row>
    <row r="1289" spans="1:2" x14ac:dyDescent="0.2">
      <c r="A1289" t="s">
        <v>971</v>
      </c>
      <c r="B1289" t="s">
        <v>1</v>
      </c>
    </row>
    <row r="1290" spans="1:2" x14ac:dyDescent="0.2">
      <c r="A1290" t="s">
        <v>941</v>
      </c>
      <c r="B1290" t="s">
        <v>1</v>
      </c>
    </row>
    <row r="1291" spans="1:2" x14ac:dyDescent="0.2">
      <c r="A1291" t="s">
        <v>974</v>
      </c>
      <c r="B1291" t="s">
        <v>1</v>
      </c>
    </row>
    <row r="1292" spans="1:2" x14ac:dyDescent="0.2">
      <c r="A1292" t="s">
        <v>976</v>
      </c>
      <c r="B1292" t="s">
        <v>1</v>
      </c>
    </row>
    <row r="1293" spans="1:2" x14ac:dyDescent="0.2">
      <c r="A1293" t="s">
        <v>978</v>
      </c>
      <c r="B1293" t="s">
        <v>1</v>
      </c>
    </row>
    <row r="1294" spans="1:2" x14ac:dyDescent="0.2">
      <c r="A1294" t="s">
        <v>980</v>
      </c>
      <c r="B1294" t="s">
        <v>1</v>
      </c>
    </row>
    <row r="1295" spans="1:2" x14ac:dyDescent="0.2">
      <c r="A1295" t="s">
        <v>982</v>
      </c>
      <c r="B1295" t="s">
        <v>1</v>
      </c>
    </row>
    <row r="1296" spans="1:2" x14ac:dyDescent="0.2">
      <c r="A1296" t="s">
        <v>984</v>
      </c>
      <c r="B1296" t="s">
        <v>1</v>
      </c>
    </row>
    <row r="1297" spans="1:2" x14ac:dyDescent="0.2">
      <c r="A1297" t="s">
        <v>986</v>
      </c>
      <c r="B1297" t="s">
        <v>1</v>
      </c>
    </row>
    <row r="1298" spans="1:2" x14ac:dyDescent="0.2">
      <c r="A1298" t="s">
        <v>988</v>
      </c>
      <c r="B1298" t="s">
        <v>1</v>
      </c>
    </row>
    <row r="1299" spans="1:2" x14ac:dyDescent="0.2">
      <c r="A1299" t="s">
        <v>990</v>
      </c>
      <c r="B1299" t="s">
        <v>1</v>
      </c>
    </row>
    <row r="1300" spans="1:2" x14ac:dyDescent="0.2">
      <c r="A1300" t="s">
        <v>992</v>
      </c>
      <c r="B1300" t="s">
        <v>1</v>
      </c>
    </row>
    <row r="1301" spans="1:2" x14ac:dyDescent="0.2">
      <c r="A1301" t="s">
        <v>994</v>
      </c>
      <c r="B1301" t="s">
        <v>1</v>
      </c>
    </row>
    <row r="1302" spans="1:2" x14ac:dyDescent="0.2">
      <c r="A1302" t="s">
        <v>996</v>
      </c>
      <c r="B1302" t="s">
        <v>1</v>
      </c>
    </row>
    <row r="1303" spans="1:2" x14ac:dyDescent="0.2">
      <c r="A1303" t="s">
        <v>998</v>
      </c>
      <c r="B1303" t="s">
        <v>1</v>
      </c>
    </row>
    <row r="1304" spans="1:2" x14ac:dyDescent="0.2">
      <c r="A1304" t="s">
        <v>1000</v>
      </c>
      <c r="B1304" t="s">
        <v>1</v>
      </c>
    </row>
    <row r="1305" spans="1:2" x14ac:dyDescent="0.2">
      <c r="A1305" t="s">
        <v>1002</v>
      </c>
      <c r="B1305" t="s">
        <v>1</v>
      </c>
    </row>
    <row r="1306" spans="1:2" x14ac:dyDescent="0.2">
      <c r="A1306" t="s">
        <v>1004</v>
      </c>
      <c r="B1306" t="s">
        <v>1</v>
      </c>
    </row>
    <row r="1307" spans="1:2" x14ac:dyDescent="0.2">
      <c r="A1307" t="s">
        <v>949</v>
      </c>
      <c r="B1307" t="s">
        <v>1</v>
      </c>
    </row>
    <row r="1308" spans="1:2" x14ac:dyDescent="0.2">
      <c r="A1308" t="s">
        <v>1007</v>
      </c>
      <c r="B1308" t="s">
        <v>1</v>
      </c>
    </row>
    <row r="1309" spans="1:2" x14ac:dyDescent="0.2">
      <c r="A1309" t="s">
        <v>1009</v>
      </c>
      <c r="B1309" t="s">
        <v>1</v>
      </c>
    </row>
    <row r="1310" spans="1:2" x14ac:dyDescent="0.2">
      <c r="A1310" t="s">
        <v>1011</v>
      </c>
      <c r="B1310" t="s">
        <v>1</v>
      </c>
    </row>
    <row r="1311" spans="1:2" x14ac:dyDescent="0.2">
      <c r="A1311" t="s">
        <v>1013</v>
      </c>
      <c r="B1311" t="s">
        <v>1</v>
      </c>
    </row>
    <row r="1312" spans="1:2" x14ac:dyDescent="0.2">
      <c r="A1312" t="s">
        <v>1015</v>
      </c>
      <c r="B1312" t="s">
        <v>1</v>
      </c>
    </row>
    <row r="1313" spans="1:2" x14ac:dyDescent="0.2">
      <c r="A1313" t="s">
        <v>1017</v>
      </c>
      <c r="B1313" t="s">
        <v>1</v>
      </c>
    </row>
    <row r="1314" spans="1:2" x14ac:dyDescent="0.2">
      <c r="A1314" t="s">
        <v>1019</v>
      </c>
      <c r="B1314" t="s">
        <v>1</v>
      </c>
    </row>
    <row r="1315" spans="1:2" x14ac:dyDescent="0.2">
      <c r="A1315" t="s">
        <v>1021</v>
      </c>
      <c r="B1315" t="s">
        <v>1</v>
      </c>
    </row>
    <row r="1316" spans="1:2" x14ac:dyDescent="0.2">
      <c r="A1316" t="s">
        <v>1023</v>
      </c>
      <c r="B1316" t="s">
        <v>1</v>
      </c>
    </row>
    <row r="1317" spans="1:2" x14ac:dyDescent="0.2">
      <c r="A1317" t="s">
        <v>1025</v>
      </c>
      <c r="B1317" t="s">
        <v>1</v>
      </c>
    </row>
    <row r="1318" spans="1:2" x14ac:dyDescent="0.2">
      <c r="A1318" t="s">
        <v>1027</v>
      </c>
      <c r="B1318" t="s">
        <v>1</v>
      </c>
    </row>
    <row r="1319" spans="1:2" x14ac:dyDescent="0.2">
      <c r="A1319" t="s">
        <v>1029</v>
      </c>
      <c r="B1319" t="s">
        <v>1</v>
      </c>
    </row>
    <row r="1320" spans="1:2" x14ac:dyDescent="0.2">
      <c r="A1320" t="s">
        <v>1031</v>
      </c>
      <c r="B1320" t="s">
        <v>1</v>
      </c>
    </row>
    <row r="1321" spans="1:2" x14ac:dyDescent="0.2">
      <c r="A1321" t="s">
        <v>1033</v>
      </c>
      <c r="B1321" t="s">
        <v>1</v>
      </c>
    </row>
    <row r="1322" spans="1:2" x14ac:dyDescent="0.2">
      <c r="A1322" t="s">
        <v>1035</v>
      </c>
      <c r="B1322" t="s">
        <v>1</v>
      </c>
    </row>
    <row r="1323" spans="1:2" x14ac:dyDescent="0.2">
      <c r="A1323" t="s">
        <v>1037</v>
      </c>
      <c r="B1323" t="s">
        <v>1</v>
      </c>
    </row>
    <row r="1324" spans="1:2" x14ac:dyDescent="0.2">
      <c r="A1324" t="s">
        <v>1039</v>
      </c>
      <c r="B1324" t="s">
        <v>1</v>
      </c>
    </row>
    <row r="1325" spans="1:2" x14ac:dyDescent="0.2">
      <c r="A1325" t="s">
        <v>1041</v>
      </c>
      <c r="B1325" t="s">
        <v>1</v>
      </c>
    </row>
    <row r="1326" spans="1:2" x14ac:dyDescent="0.2">
      <c r="A1326" t="s">
        <v>1043</v>
      </c>
      <c r="B1326" t="s">
        <v>1</v>
      </c>
    </row>
    <row r="1327" spans="1:2" x14ac:dyDescent="0.2">
      <c r="A1327" t="s">
        <v>1045</v>
      </c>
      <c r="B1327" t="s">
        <v>1</v>
      </c>
    </row>
    <row r="1328" spans="1:2" x14ac:dyDescent="0.2">
      <c r="A1328" t="s">
        <v>1047</v>
      </c>
      <c r="B1328" t="s">
        <v>1</v>
      </c>
    </row>
    <row r="1329" spans="1:2" x14ac:dyDescent="0.2">
      <c r="A1329" t="s">
        <v>1049</v>
      </c>
      <c r="B1329" t="s">
        <v>1</v>
      </c>
    </row>
    <row r="1330" spans="1:2" x14ac:dyDescent="0.2">
      <c r="A1330" t="s">
        <v>1051</v>
      </c>
      <c r="B1330" t="s">
        <v>1</v>
      </c>
    </row>
    <row r="1331" spans="1:2" x14ac:dyDescent="0.2">
      <c r="A1331" t="s">
        <v>1052</v>
      </c>
      <c r="B1331" t="s">
        <v>1</v>
      </c>
    </row>
    <row r="1332" spans="1:2" x14ac:dyDescent="0.2">
      <c r="A1332" t="s">
        <v>1054</v>
      </c>
      <c r="B1332" t="s">
        <v>1</v>
      </c>
    </row>
    <row r="1333" spans="1:2" x14ac:dyDescent="0.2">
      <c r="A1333" t="s">
        <v>1056</v>
      </c>
      <c r="B1333" t="s">
        <v>1</v>
      </c>
    </row>
    <row r="1334" spans="1:2" x14ac:dyDescent="0.2">
      <c r="A1334" t="s">
        <v>1058</v>
      </c>
      <c r="B1334" t="s">
        <v>1</v>
      </c>
    </row>
    <row r="1335" spans="1:2" x14ac:dyDescent="0.2">
      <c r="A1335" t="s">
        <v>1060</v>
      </c>
      <c r="B1335" t="s">
        <v>1</v>
      </c>
    </row>
    <row r="1336" spans="1:2" x14ac:dyDescent="0.2">
      <c r="A1336" t="s">
        <v>1062</v>
      </c>
      <c r="B1336" t="s">
        <v>1</v>
      </c>
    </row>
    <row r="1337" spans="1:2" x14ac:dyDescent="0.2">
      <c r="A1337" t="s">
        <v>1064</v>
      </c>
      <c r="B1337" t="s">
        <v>1</v>
      </c>
    </row>
    <row r="1338" spans="1:2" x14ac:dyDescent="0.2">
      <c r="A1338" t="s">
        <v>1065</v>
      </c>
      <c r="B1338" t="s">
        <v>1</v>
      </c>
    </row>
    <row r="1339" spans="1:2" x14ac:dyDescent="0.2">
      <c r="A1339" t="s">
        <v>1067</v>
      </c>
      <c r="B1339" t="s">
        <v>1</v>
      </c>
    </row>
    <row r="1340" spans="1:2" x14ac:dyDescent="0.2">
      <c r="A1340" t="s">
        <v>1069</v>
      </c>
      <c r="B1340" t="s">
        <v>1</v>
      </c>
    </row>
    <row r="1341" spans="1:2" x14ac:dyDescent="0.2">
      <c r="A1341" t="s">
        <v>1071</v>
      </c>
      <c r="B1341" t="s">
        <v>1</v>
      </c>
    </row>
    <row r="1342" spans="1:2" x14ac:dyDescent="0.2">
      <c r="A1342" t="s">
        <v>1073</v>
      </c>
      <c r="B1342" t="s">
        <v>1</v>
      </c>
    </row>
    <row r="1343" spans="1:2" x14ac:dyDescent="0.2">
      <c r="A1343" t="s">
        <v>1075</v>
      </c>
      <c r="B1343" t="s">
        <v>1</v>
      </c>
    </row>
    <row r="1344" spans="1:2" x14ac:dyDescent="0.2">
      <c r="A1344" t="s">
        <v>1077</v>
      </c>
      <c r="B1344" t="s">
        <v>1</v>
      </c>
    </row>
    <row r="1345" spans="1:2" x14ac:dyDescent="0.2">
      <c r="A1345" t="s">
        <v>1079</v>
      </c>
      <c r="B1345" t="s">
        <v>1</v>
      </c>
    </row>
    <row r="1346" spans="1:2" x14ac:dyDescent="0.2">
      <c r="A1346" t="s">
        <v>1081</v>
      </c>
      <c r="B1346" t="s">
        <v>1</v>
      </c>
    </row>
    <row r="1347" spans="1:2" x14ac:dyDescent="0.2">
      <c r="A1347" t="s">
        <v>1083</v>
      </c>
      <c r="B1347" t="s">
        <v>1</v>
      </c>
    </row>
    <row r="1348" spans="1:2" x14ac:dyDescent="0.2">
      <c r="A1348" t="s">
        <v>1085</v>
      </c>
      <c r="B1348" t="s">
        <v>1</v>
      </c>
    </row>
    <row r="1349" spans="1:2" x14ac:dyDescent="0.2">
      <c r="A1349" t="s">
        <v>1087</v>
      </c>
      <c r="B1349" t="s">
        <v>1</v>
      </c>
    </row>
    <row r="1350" spans="1:2" x14ac:dyDescent="0.2">
      <c r="A1350" t="s">
        <v>584</v>
      </c>
      <c r="B1350" t="s">
        <v>1</v>
      </c>
    </row>
    <row r="1351" spans="1:2" x14ac:dyDescent="0.2">
      <c r="A1351" t="s">
        <v>1090</v>
      </c>
      <c r="B1351" t="s">
        <v>1</v>
      </c>
    </row>
    <row r="1352" spans="1:2" x14ac:dyDescent="0.2">
      <c r="A1352" t="s">
        <v>1092</v>
      </c>
      <c r="B1352" t="s">
        <v>1</v>
      </c>
    </row>
    <row r="1353" spans="1:2" x14ac:dyDescent="0.2">
      <c r="A1353" t="s">
        <v>1094</v>
      </c>
      <c r="B1353" t="s">
        <v>1</v>
      </c>
    </row>
    <row r="1354" spans="1:2" x14ac:dyDescent="0.2">
      <c r="A1354" t="s">
        <v>1096</v>
      </c>
      <c r="B1354" t="s">
        <v>1</v>
      </c>
    </row>
    <row r="1355" spans="1:2" x14ac:dyDescent="0.2">
      <c r="A1355" t="s">
        <v>1098</v>
      </c>
      <c r="B1355" t="s">
        <v>1</v>
      </c>
    </row>
    <row r="1356" spans="1:2" x14ac:dyDescent="0.2">
      <c r="A1356" t="s">
        <v>1100</v>
      </c>
      <c r="B1356" t="s">
        <v>1</v>
      </c>
    </row>
    <row r="1357" spans="1:2" x14ac:dyDescent="0.2">
      <c r="A1357" t="s">
        <v>1102</v>
      </c>
      <c r="B1357" t="s">
        <v>1</v>
      </c>
    </row>
    <row r="1358" spans="1:2" x14ac:dyDescent="0.2">
      <c r="A1358" t="s">
        <v>1104</v>
      </c>
      <c r="B1358" t="s">
        <v>1</v>
      </c>
    </row>
    <row r="1359" spans="1:2" x14ac:dyDescent="0.2">
      <c r="A1359" t="s">
        <v>1106</v>
      </c>
      <c r="B1359" t="s">
        <v>1</v>
      </c>
    </row>
    <row r="1360" spans="1:2" x14ac:dyDescent="0.2">
      <c r="A1360" t="s">
        <v>1108</v>
      </c>
      <c r="B1360" t="s">
        <v>1</v>
      </c>
    </row>
    <row r="1361" spans="1:2" x14ac:dyDescent="0.2">
      <c r="A1361" t="s">
        <v>1110</v>
      </c>
      <c r="B1361" t="s">
        <v>1</v>
      </c>
    </row>
    <row r="1362" spans="1:2" x14ac:dyDescent="0.2">
      <c r="A1362" t="s">
        <v>1112</v>
      </c>
      <c r="B1362" t="s">
        <v>1</v>
      </c>
    </row>
    <row r="1363" spans="1:2" x14ac:dyDescent="0.2">
      <c r="A1363" t="s">
        <v>1114</v>
      </c>
      <c r="B1363" t="s">
        <v>1</v>
      </c>
    </row>
    <row r="1364" spans="1:2" x14ac:dyDescent="0.2">
      <c r="A1364" t="s">
        <v>1116</v>
      </c>
      <c r="B1364" t="s">
        <v>1</v>
      </c>
    </row>
    <row r="1365" spans="1:2" x14ac:dyDescent="0.2">
      <c r="A1365" t="s">
        <v>1118</v>
      </c>
      <c r="B1365" t="s">
        <v>1</v>
      </c>
    </row>
    <row r="1366" spans="1:2" x14ac:dyDescent="0.2">
      <c r="A1366" t="s">
        <v>1120</v>
      </c>
      <c r="B1366" t="s">
        <v>1</v>
      </c>
    </row>
    <row r="1367" spans="1:2" x14ac:dyDescent="0.2">
      <c r="A1367" t="s">
        <v>1122</v>
      </c>
      <c r="B1367" t="s">
        <v>1</v>
      </c>
    </row>
    <row r="1368" spans="1:2" x14ac:dyDescent="0.2">
      <c r="A1368" t="s">
        <v>1124</v>
      </c>
      <c r="B1368" t="s">
        <v>1</v>
      </c>
    </row>
    <row r="1369" spans="1:2" x14ac:dyDescent="0.2">
      <c r="A1369" t="s">
        <v>1126</v>
      </c>
      <c r="B1369" t="s">
        <v>1</v>
      </c>
    </row>
    <row r="1370" spans="1:2" x14ac:dyDescent="0.2">
      <c r="A1370" t="s">
        <v>1128</v>
      </c>
      <c r="B1370" t="s">
        <v>1</v>
      </c>
    </row>
    <row r="1371" spans="1:2" x14ac:dyDescent="0.2">
      <c r="A1371" t="s">
        <v>1130</v>
      </c>
      <c r="B1371" t="s">
        <v>1</v>
      </c>
    </row>
    <row r="1372" spans="1:2" x14ac:dyDescent="0.2">
      <c r="A1372" t="s">
        <v>1132</v>
      </c>
      <c r="B1372" t="s">
        <v>1</v>
      </c>
    </row>
    <row r="1373" spans="1:2" x14ac:dyDescent="0.2">
      <c r="A1373" t="s">
        <v>1134</v>
      </c>
      <c r="B1373" t="s">
        <v>1</v>
      </c>
    </row>
    <row r="1374" spans="1:2" x14ac:dyDescent="0.2">
      <c r="A1374" t="s">
        <v>1136</v>
      </c>
      <c r="B1374" t="s">
        <v>1</v>
      </c>
    </row>
    <row r="1375" spans="1:2" x14ac:dyDescent="0.2">
      <c r="A1375" t="s">
        <v>1138</v>
      </c>
      <c r="B1375" t="s">
        <v>1</v>
      </c>
    </row>
    <row r="1376" spans="1:2" x14ac:dyDescent="0.2">
      <c r="A1376" t="s">
        <v>1140</v>
      </c>
      <c r="B1376" t="s">
        <v>1</v>
      </c>
    </row>
    <row r="1377" spans="1:2" x14ac:dyDescent="0.2">
      <c r="A1377" t="s">
        <v>1142</v>
      </c>
      <c r="B1377" t="s">
        <v>1</v>
      </c>
    </row>
    <row r="1378" spans="1:2" x14ac:dyDescent="0.2">
      <c r="A1378" t="s">
        <v>1144</v>
      </c>
      <c r="B1378" t="s">
        <v>1</v>
      </c>
    </row>
    <row r="1379" spans="1:2" x14ac:dyDescent="0.2">
      <c r="A1379" t="s">
        <v>1146</v>
      </c>
      <c r="B1379" t="s">
        <v>1</v>
      </c>
    </row>
    <row r="1380" spans="1:2" x14ac:dyDescent="0.2">
      <c r="A1380" t="s">
        <v>1148</v>
      </c>
      <c r="B1380" t="s">
        <v>1</v>
      </c>
    </row>
    <row r="1381" spans="1:2" x14ac:dyDescent="0.2">
      <c r="A1381" t="s">
        <v>1150</v>
      </c>
      <c r="B1381" t="s">
        <v>1</v>
      </c>
    </row>
    <row r="1382" spans="1:2" x14ac:dyDescent="0.2">
      <c r="A1382" t="s">
        <v>1152</v>
      </c>
      <c r="B1382" t="s">
        <v>1</v>
      </c>
    </row>
    <row r="1383" spans="1:2" x14ac:dyDescent="0.2">
      <c r="A1383" t="s">
        <v>1154</v>
      </c>
      <c r="B1383" t="s">
        <v>1</v>
      </c>
    </row>
    <row r="1384" spans="1:2" x14ac:dyDescent="0.2">
      <c r="A1384" t="s">
        <v>1156</v>
      </c>
      <c r="B1384" t="s">
        <v>1</v>
      </c>
    </row>
    <row r="1385" spans="1:2" x14ac:dyDescent="0.2">
      <c r="A1385" t="s">
        <v>1158</v>
      </c>
      <c r="B1385" t="s">
        <v>1</v>
      </c>
    </row>
    <row r="1386" spans="1:2" x14ac:dyDescent="0.2">
      <c r="A1386" t="s">
        <v>1160</v>
      </c>
      <c r="B1386" t="s">
        <v>1</v>
      </c>
    </row>
    <row r="1387" spans="1:2" x14ac:dyDescent="0.2">
      <c r="A1387" t="s">
        <v>1162</v>
      </c>
      <c r="B1387" t="s">
        <v>1</v>
      </c>
    </row>
    <row r="1388" spans="1:2" x14ac:dyDescent="0.2">
      <c r="A1388" t="s">
        <v>1164</v>
      </c>
      <c r="B1388" t="s">
        <v>1</v>
      </c>
    </row>
    <row r="1389" spans="1:2" x14ac:dyDescent="0.2">
      <c r="A1389" t="s">
        <v>1166</v>
      </c>
      <c r="B1389" t="s">
        <v>1</v>
      </c>
    </row>
    <row r="1390" spans="1:2" x14ac:dyDescent="0.2">
      <c r="A1390" t="s">
        <v>1168</v>
      </c>
      <c r="B1390" t="s">
        <v>1</v>
      </c>
    </row>
    <row r="1391" spans="1:2" x14ac:dyDescent="0.2">
      <c r="A1391" t="s">
        <v>1170</v>
      </c>
      <c r="B1391" t="s">
        <v>1</v>
      </c>
    </row>
    <row r="1392" spans="1:2" x14ac:dyDescent="0.2">
      <c r="A1392" t="s">
        <v>1172</v>
      </c>
      <c r="B1392" t="s">
        <v>1</v>
      </c>
    </row>
    <row r="1393" spans="1:2" x14ac:dyDescent="0.2">
      <c r="A1393" t="s">
        <v>1174</v>
      </c>
      <c r="B1393" t="s">
        <v>1</v>
      </c>
    </row>
    <row r="1394" spans="1:2" x14ac:dyDescent="0.2">
      <c r="A1394" t="s">
        <v>1176</v>
      </c>
      <c r="B1394" t="s">
        <v>1</v>
      </c>
    </row>
    <row r="1395" spans="1:2" x14ac:dyDescent="0.2">
      <c r="A1395" t="s">
        <v>1178</v>
      </c>
      <c r="B1395" t="s">
        <v>1</v>
      </c>
    </row>
    <row r="1396" spans="1:2" x14ac:dyDescent="0.2">
      <c r="A1396" t="s">
        <v>1180</v>
      </c>
      <c r="B1396" t="s">
        <v>1</v>
      </c>
    </row>
    <row r="1397" spans="1:2" x14ac:dyDescent="0.2">
      <c r="A1397" t="s">
        <v>1182</v>
      </c>
      <c r="B1397" t="s">
        <v>1</v>
      </c>
    </row>
    <row r="1398" spans="1:2" x14ac:dyDescent="0.2">
      <c r="A1398" t="s">
        <v>1184</v>
      </c>
      <c r="B1398" t="s">
        <v>1</v>
      </c>
    </row>
    <row r="1399" spans="1:2" x14ac:dyDescent="0.2">
      <c r="A1399" t="s">
        <v>1186</v>
      </c>
      <c r="B1399" t="s">
        <v>1</v>
      </c>
    </row>
    <row r="1400" spans="1:2" x14ac:dyDescent="0.2">
      <c r="A1400" t="s">
        <v>1188</v>
      </c>
      <c r="B1400" t="s">
        <v>1</v>
      </c>
    </row>
    <row r="1401" spans="1:2" x14ac:dyDescent="0.2">
      <c r="A1401" t="s">
        <v>1190</v>
      </c>
      <c r="B1401" t="s">
        <v>1</v>
      </c>
    </row>
    <row r="1402" spans="1:2" x14ac:dyDescent="0.2">
      <c r="A1402" t="s">
        <v>1192</v>
      </c>
      <c r="B1402" t="s">
        <v>1</v>
      </c>
    </row>
    <row r="1403" spans="1:2" x14ac:dyDescent="0.2">
      <c r="A1403" t="s">
        <v>1194</v>
      </c>
      <c r="B1403" t="s">
        <v>1</v>
      </c>
    </row>
    <row r="1404" spans="1:2" x14ac:dyDescent="0.2">
      <c r="A1404" t="s">
        <v>1196</v>
      </c>
      <c r="B1404" t="s">
        <v>1</v>
      </c>
    </row>
    <row r="1405" spans="1:2" x14ac:dyDescent="0.2">
      <c r="A1405" t="s">
        <v>1198</v>
      </c>
      <c r="B1405" t="s">
        <v>1</v>
      </c>
    </row>
    <row r="1406" spans="1:2" x14ac:dyDescent="0.2">
      <c r="A1406" t="s">
        <v>1200</v>
      </c>
      <c r="B1406" t="s">
        <v>1</v>
      </c>
    </row>
    <row r="1407" spans="1:2" x14ac:dyDescent="0.2">
      <c r="A1407" t="s">
        <v>1202</v>
      </c>
      <c r="B1407" t="s">
        <v>1</v>
      </c>
    </row>
    <row r="1408" spans="1:2" x14ac:dyDescent="0.2">
      <c r="A1408" t="s">
        <v>1204</v>
      </c>
      <c r="B1408" t="s">
        <v>1</v>
      </c>
    </row>
    <row r="1409" spans="1:2" x14ac:dyDescent="0.2">
      <c r="A1409" t="s">
        <v>1206</v>
      </c>
      <c r="B1409" t="s">
        <v>1</v>
      </c>
    </row>
    <row r="1410" spans="1:2" x14ac:dyDescent="0.2">
      <c r="A1410" t="s">
        <v>1208</v>
      </c>
      <c r="B1410" t="s">
        <v>1</v>
      </c>
    </row>
    <row r="1411" spans="1:2" x14ac:dyDescent="0.2">
      <c r="A1411" t="s">
        <v>1209</v>
      </c>
      <c r="B1411" t="s">
        <v>1</v>
      </c>
    </row>
    <row r="1412" spans="1:2" x14ac:dyDescent="0.2">
      <c r="A1412" t="s">
        <v>1211</v>
      </c>
      <c r="B1412" t="s">
        <v>1</v>
      </c>
    </row>
    <row r="1413" spans="1:2" x14ac:dyDescent="0.2">
      <c r="A1413" t="s">
        <v>1213</v>
      </c>
      <c r="B1413" t="s">
        <v>1</v>
      </c>
    </row>
    <row r="1414" spans="1:2" x14ac:dyDescent="0.2">
      <c r="A1414" t="s">
        <v>1215</v>
      </c>
      <c r="B1414" t="s">
        <v>1</v>
      </c>
    </row>
    <row r="1415" spans="1:2" x14ac:dyDescent="0.2">
      <c r="A1415" t="s">
        <v>1217</v>
      </c>
      <c r="B1415" t="s">
        <v>1</v>
      </c>
    </row>
    <row r="1416" spans="1:2" x14ac:dyDescent="0.2">
      <c r="A1416" t="s">
        <v>1219</v>
      </c>
      <c r="B1416" t="s">
        <v>1</v>
      </c>
    </row>
    <row r="1417" spans="1:2" x14ac:dyDescent="0.2">
      <c r="A1417" t="s">
        <v>1221</v>
      </c>
      <c r="B1417" t="s">
        <v>1</v>
      </c>
    </row>
    <row r="1418" spans="1:2" x14ac:dyDescent="0.2">
      <c r="A1418" t="s">
        <v>1223</v>
      </c>
      <c r="B1418" t="s">
        <v>1</v>
      </c>
    </row>
    <row r="1419" spans="1:2" x14ac:dyDescent="0.2">
      <c r="A1419" t="s">
        <v>1225</v>
      </c>
      <c r="B1419" t="s">
        <v>1</v>
      </c>
    </row>
    <row r="1420" spans="1:2" x14ac:dyDescent="0.2">
      <c r="A1420" t="s">
        <v>1227</v>
      </c>
      <c r="B1420" t="s">
        <v>1</v>
      </c>
    </row>
    <row r="1421" spans="1:2" x14ac:dyDescent="0.2">
      <c r="A1421" t="s">
        <v>1229</v>
      </c>
      <c r="B1421" t="s">
        <v>1</v>
      </c>
    </row>
    <row r="1422" spans="1:2" x14ac:dyDescent="0.2">
      <c r="A1422" t="s">
        <v>1231</v>
      </c>
      <c r="B1422" t="s">
        <v>1</v>
      </c>
    </row>
    <row r="1423" spans="1:2" x14ac:dyDescent="0.2">
      <c r="A1423" t="s">
        <v>1233</v>
      </c>
      <c r="B1423" t="s">
        <v>1</v>
      </c>
    </row>
    <row r="1424" spans="1:2" x14ac:dyDescent="0.2">
      <c r="A1424" t="s">
        <v>1235</v>
      </c>
      <c r="B1424" t="s">
        <v>1</v>
      </c>
    </row>
    <row r="1425" spans="1:2" x14ac:dyDescent="0.2">
      <c r="A1425" t="s">
        <v>1237</v>
      </c>
      <c r="B1425" t="s">
        <v>1</v>
      </c>
    </row>
    <row r="1426" spans="1:2" x14ac:dyDescent="0.2">
      <c r="A1426" t="s">
        <v>1239</v>
      </c>
      <c r="B1426" t="s">
        <v>1</v>
      </c>
    </row>
    <row r="1427" spans="1:2" x14ac:dyDescent="0.2">
      <c r="A1427" t="s">
        <v>1241</v>
      </c>
      <c r="B1427" t="s">
        <v>1</v>
      </c>
    </row>
    <row r="1428" spans="1:2" x14ac:dyDescent="0.2">
      <c r="A1428" t="s">
        <v>1242</v>
      </c>
      <c r="B1428" t="s">
        <v>1</v>
      </c>
    </row>
    <row r="1429" spans="1:2" x14ac:dyDescent="0.2">
      <c r="A1429" t="s">
        <v>1244</v>
      </c>
      <c r="B1429" t="s">
        <v>1</v>
      </c>
    </row>
    <row r="1430" spans="1:2" x14ac:dyDescent="0.2">
      <c r="A1430" t="s">
        <v>1245</v>
      </c>
      <c r="B1430" t="s">
        <v>1</v>
      </c>
    </row>
    <row r="1431" spans="1:2" x14ac:dyDescent="0.2">
      <c r="A1431" t="s">
        <v>1247</v>
      </c>
      <c r="B1431" t="s">
        <v>1</v>
      </c>
    </row>
    <row r="1432" spans="1:2" x14ac:dyDescent="0.2">
      <c r="A1432" t="s">
        <v>1249</v>
      </c>
      <c r="B1432" t="s">
        <v>1</v>
      </c>
    </row>
    <row r="1433" spans="1:2" x14ac:dyDescent="0.2">
      <c r="A1433" t="s">
        <v>1251</v>
      </c>
      <c r="B1433" t="s">
        <v>1</v>
      </c>
    </row>
    <row r="1434" spans="1:2" x14ac:dyDescent="0.2">
      <c r="A1434" t="s">
        <v>1253</v>
      </c>
      <c r="B1434" t="s">
        <v>1</v>
      </c>
    </row>
    <row r="1435" spans="1:2" x14ac:dyDescent="0.2">
      <c r="A1435" t="s">
        <v>1255</v>
      </c>
      <c r="B1435" t="s">
        <v>1</v>
      </c>
    </row>
    <row r="1436" spans="1:2" x14ac:dyDescent="0.2">
      <c r="A1436" t="s">
        <v>1257</v>
      </c>
      <c r="B1436" t="s">
        <v>1</v>
      </c>
    </row>
    <row r="1437" spans="1:2" x14ac:dyDescent="0.2">
      <c r="A1437" t="s">
        <v>1259</v>
      </c>
      <c r="B1437" t="s">
        <v>1</v>
      </c>
    </row>
    <row r="1438" spans="1:2" x14ac:dyDescent="0.2">
      <c r="A1438" t="s">
        <v>1261</v>
      </c>
      <c r="B1438" t="s">
        <v>1</v>
      </c>
    </row>
    <row r="1439" spans="1:2" x14ac:dyDescent="0.2">
      <c r="A1439" t="s">
        <v>1263</v>
      </c>
      <c r="B1439" t="s">
        <v>1</v>
      </c>
    </row>
    <row r="1440" spans="1:2" x14ac:dyDescent="0.2">
      <c r="A1440" t="s">
        <v>1265</v>
      </c>
      <c r="B1440" t="s">
        <v>1</v>
      </c>
    </row>
    <row r="1441" spans="1:2" x14ac:dyDescent="0.2">
      <c r="A1441" t="s">
        <v>1267</v>
      </c>
      <c r="B1441" t="s">
        <v>1</v>
      </c>
    </row>
    <row r="1442" spans="1:2" x14ac:dyDescent="0.2">
      <c r="A1442" t="s">
        <v>1269</v>
      </c>
      <c r="B1442" t="s">
        <v>1</v>
      </c>
    </row>
    <row r="1443" spans="1:2" x14ac:dyDescent="0.2">
      <c r="A1443" t="s">
        <v>1271</v>
      </c>
      <c r="B1443" t="s">
        <v>1</v>
      </c>
    </row>
    <row r="1444" spans="1:2" x14ac:dyDescent="0.2">
      <c r="A1444" t="s">
        <v>1273</v>
      </c>
      <c r="B1444" t="s">
        <v>1</v>
      </c>
    </row>
    <row r="1445" spans="1:2" x14ac:dyDescent="0.2">
      <c r="A1445" t="s">
        <v>1275</v>
      </c>
      <c r="B1445" t="s">
        <v>1</v>
      </c>
    </row>
    <row r="1446" spans="1:2" x14ac:dyDescent="0.2">
      <c r="A1446" t="s">
        <v>1277</v>
      </c>
      <c r="B1446" t="s">
        <v>1</v>
      </c>
    </row>
    <row r="1447" spans="1:2" x14ac:dyDescent="0.2">
      <c r="A1447" t="s">
        <v>1279</v>
      </c>
      <c r="B1447" t="s">
        <v>1</v>
      </c>
    </row>
    <row r="1448" spans="1:2" x14ac:dyDescent="0.2">
      <c r="A1448" t="s">
        <v>1281</v>
      </c>
      <c r="B1448" t="s">
        <v>1</v>
      </c>
    </row>
    <row r="1449" spans="1:2" x14ac:dyDescent="0.2">
      <c r="A1449" t="s">
        <v>1283</v>
      </c>
      <c r="B1449" t="s">
        <v>1</v>
      </c>
    </row>
    <row r="1450" spans="1:2" x14ac:dyDescent="0.2">
      <c r="A1450" t="s">
        <v>1285</v>
      </c>
      <c r="B1450" t="s">
        <v>1</v>
      </c>
    </row>
    <row r="1451" spans="1:2" x14ac:dyDescent="0.2">
      <c r="A1451" t="s">
        <v>1287</v>
      </c>
      <c r="B1451" t="s">
        <v>1</v>
      </c>
    </row>
    <row r="1452" spans="1:2" x14ac:dyDescent="0.2">
      <c r="A1452" t="s">
        <v>1289</v>
      </c>
      <c r="B1452" t="s">
        <v>1</v>
      </c>
    </row>
    <row r="1453" spans="1:2" x14ac:dyDescent="0.2">
      <c r="A1453" t="s">
        <v>1290</v>
      </c>
      <c r="B1453" t="s">
        <v>1</v>
      </c>
    </row>
    <row r="1454" spans="1:2" x14ac:dyDescent="0.2">
      <c r="A1454" t="s">
        <v>1292</v>
      </c>
      <c r="B1454" t="s">
        <v>1</v>
      </c>
    </row>
    <row r="1455" spans="1:2" x14ac:dyDescent="0.2">
      <c r="A1455" t="s">
        <v>1294</v>
      </c>
      <c r="B1455" t="s">
        <v>1</v>
      </c>
    </row>
    <row r="1456" spans="1:2" x14ac:dyDescent="0.2">
      <c r="A1456" t="s">
        <v>1296</v>
      </c>
      <c r="B1456" t="s">
        <v>1</v>
      </c>
    </row>
    <row r="1457" spans="1:2" x14ac:dyDescent="0.2">
      <c r="A1457" t="s">
        <v>1298</v>
      </c>
      <c r="B1457" t="s">
        <v>1</v>
      </c>
    </row>
    <row r="1458" spans="1:2" x14ac:dyDescent="0.2">
      <c r="A1458" t="s">
        <v>1300</v>
      </c>
      <c r="B1458" t="s">
        <v>1</v>
      </c>
    </row>
    <row r="1459" spans="1:2" x14ac:dyDescent="0.2">
      <c r="A1459" t="s">
        <v>1302</v>
      </c>
      <c r="B1459" t="s">
        <v>1</v>
      </c>
    </row>
    <row r="1460" spans="1:2" x14ac:dyDescent="0.2">
      <c r="A1460" t="s">
        <v>1304</v>
      </c>
      <c r="B1460" t="s">
        <v>1</v>
      </c>
    </row>
    <row r="1461" spans="1:2" x14ac:dyDescent="0.2">
      <c r="A1461" t="s">
        <v>1306</v>
      </c>
      <c r="B1461" t="s">
        <v>1</v>
      </c>
    </row>
    <row r="1462" spans="1:2" x14ac:dyDescent="0.2">
      <c r="A1462" t="s">
        <v>1308</v>
      </c>
      <c r="B1462" t="s">
        <v>1</v>
      </c>
    </row>
    <row r="1463" spans="1:2" x14ac:dyDescent="0.2">
      <c r="A1463" t="s">
        <v>1310</v>
      </c>
      <c r="B1463" t="s">
        <v>1</v>
      </c>
    </row>
    <row r="1464" spans="1:2" x14ac:dyDescent="0.2">
      <c r="A1464" t="s">
        <v>1312</v>
      </c>
      <c r="B1464" t="s">
        <v>1</v>
      </c>
    </row>
    <row r="1465" spans="1:2" x14ac:dyDescent="0.2">
      <c r="A1465" t="s">
        <v>1314</v>
      </c>
      <c r="B1465" t="s">
        <v>1</v>
      </c>
    </row>
    <row r="1466" spans="1:2" x14ac:dyDescent="0.2">
      <c r="A1466" t="s">
        <v>1316</v>
      </c>
      <c r="B1466" t="s">
        <v>1</v>
      </c>
    </row>
    <row r="1467" spans="1:2" x14ac:dyDescent="0.2">
      <c r="A1467" t="s">
        <v>1318</v>
      </c>
      <c r="B1467" t="s">
        <v>1</v>
      </c>
    </row>
    <row r="1468" spans="1:2" x14ac:dyDescent="0.2">
      <c r="A1468" t="s">
        <v>1320</v>
      </c>
      <c r="B1468" t="s">
        <v>1</v>
      </c>
    </row>
    <row r="1469" spans="1:2" x14ac:dyDescent="0.2">
      <c r="A1469" t="s">
        <v>1322</v>
      </c>
      <c r="B1469" t="s">
        <v>1</v>
      </c>
    </row>
    <row r="1470" spans="1:2" x14ac:dyDescent="0.2">
      <c r="A1470" t="s">
        <v>1324</v>
      </c>
      <c r="B1470" t="s">
        <v>1</v>
      </c>
    </row>
    <row r="1471" spans="1:2" x14ac:dyDescent="0.2">
      <c r="A1471" t="s">
        <v>1326</v>
      </c>
      <c r="B1471" t="s">
        <v>1</v>
      </c>
    </row>
    <row r="1472" spans="1:2" x14ac:dyDescent="0.2">
      <c r="A1472" t="s">
        <v>1328</v>
      </c>
      <c r="B1472" t="s">
        <v>1</v>
      </c>
    </row>
    <row r="1473" spans="1:2" x14ac:dyDescent="0.2">
      <c r="A1473" t="s">
        <v>1330</v>
      </c>
      <c r="B1473" t="s">
        <v>1</v>
      </c>
    </row>
    <row r="1474" spans="1:2" x14ac:dyDescent="0.2">
      <c r="A1474" t="s">
        <v>1332</v>
      </c>
      <c r="B1474" t="s">
        <v>1</v>
      </c>
    </row>
    <row r="1475" spans="1:2" x14ac:dyDescent="0.2">
      <c r="A1475" t="s">
        <v>1334</v>
      </c>
      <c r="B1475" t="s">
        <v>1</v>
      </c>
    </row>
    <row r="1476" spans="1:2" x14ac:dyDescent="0.2">
      <c r="A1476" t="s">
        <v>1336</v>
      </c>
      <c r="B1476" t="s">
        <v>1</v>
      </c>
    </row>
    <row r="1477" spans="1:2" x14ac:dyDescent="0.2">
      <c r="A1477" t="s">
        <v>1338</v>
      </c>
      <c r="B1477" t="s">
        <v>1</v>
      </c>
    </row>
    <row r="1478" spans="1:2" x14ac:dyDescent="0.2">
      <c r="A1478" t="s">
        <v>1340</v>
      </c>
      <c r="B1478" t="s">
        <v>1</v>
      </c>
    </row>
    <row r="1479" spans="1:2" x14ac:dyDescent="0.2">
      <c r="A1479" t="s">
        <v>1342</v>
      </c>
      <c r="B1479" t="s">
        <v>1</v>
      </c>
    </row>
    <row r="1480" spans="1:2" x14ac:dyDescent="0.2">
      <c r="A1480" t="s">
        <v>1344</v>
      </c>
      <c r="B1480" t="s">
        <v>1</v>
      </c>
    </row>
    <row r="1481" spans="1:2" x14ac:dyDescent="0.2">
      <c r="A1481" t="s">
        <v>1346</v>
      </c>
      <c r="B1481" t="s">
        <v>1</v>
      </c>
    </row>
    <row r="1482" spans="1:2" x14ac:dyDescent="0.2">
      <c r="A1482" t="s">
        <v>1348</v>
      </c>
      <c r="B1482" t="s">
        <v>1</v>
      </c>
    </row>
    <row r="1483" spans="1:2" x14ac:dyDescent="0.2">
      <c r="A1483" t="s">
        <v>1350</v>
      </c>
      <c r="B1483" t="s">
        <v>1</v>
      </c>
    </row>
    <row r="1484" spans="1:2" x14ac:dyDescent="0.2">
      <c r="A1484" t="s">
        <v>1352</v>
      </c>
      <c r="B1484" t="s">
        <v>1</v>
      </c>
    </row>
    <row r="1485" spans="1:2" x14ac:dyDescent="0.2">
      <c r="A1485" t="s">
        <v>1354</v>
      </c>
      <c r="B1485" t="s">
        <v>1</v>
      </c>
    </row>
    <row r="1486" spans="1:2" x14ac:dyDescent="0.2">
      <c r="A1486" t="s">
        <v>1356</v>
      </c>
      <c r="B1486" t="s">
        <v>1</v>
      </c>
    </row>
    <row r="1487" spans="1:2" x14ac:dyDescent="0.2">
      <c r="A1487" t="s">
        <v>1358</v>
      </c>
      <c r="B1487" t="s">
        <v>1</v>
      </c>
    </row>
    <row r="1488" spans="1:2" x14ac:dyDescent="0.2">
      <c r="A1488" t="s">
        <v>1360</v>
      </c>
      <c r="B1488" t="s">
        <v>1</v>
      </c>
    </row>
    <row r="1489" spans="1:2" x14ac:dyDescent="0.2">
      <c r="A1489" t="s">
        <v>1362</v>
      </c>
      <c r="B1489" t="s">
        <v>1</v>
      </c>
    </row>
    <row r="1490" spans="1:2" x14ac:dyDescent="0.2">
      <c r="A1490" t="s">
        <v>1364</v>
      </c>
      <c r="B1490" t="s">
        <v>1</v>
      </c>
    </row>
    <row r="1491" spans="1:2" x14ac:dyDescent="0.2">
      <c r="A1491" t="s">
        <v>1366</v>
      </c>
      <c r="B1491" t="s">
        <v>1</v>
      </c>
    </row>
    <row r="1492" spans="1:2" x14ac:dyDescent="0.2">
      <c r="A1492" t="s">
        <v>1368</v>
      </c>
      <c r="B1492" t="s">
        <v>1</v>
      </c>
    </row>
    <row r="1493" spans="1:2" x14ac:dyDescent="0.2">
      <c r="A1493" t="s">
        <v>1370</v>
      </c>
      <c r="B1493" t="s">
        <v>1</v>
      </c>
    </row>
    <row r="1494" spans="1:2" x14ac:dyDescent="0.2">
      <c r="A1494" t="s">
        <v>1372</v>
      </c>
      <c r="B1494" t="s">
        <v>1</v>
      </c>
    </row>
    <row r="1495" spans="1:2" x14ac:dyDescent="0.2">
      <c r="A1495" t="s">
        <v>1374</v>
      </c>
      <c r="B1495" t="s">
        <v>1</v>
      </c>
    </row>
    <row r="1496" spans="1:2" x14ac:dyDescent="0.2">
      <c r="A1496" t="s">
        <v>1376</v>
      </c>
      <c r="B1496" t="s">
        <v>1</v>
      </c>
    </row>
    <row r="1497" spans="1:2" x14ac:dyDescent="0.2">
      <c r="A1497" t="s">
        <v>1378</v>
      </c>
      <c r="B1497" t="s">
        <v>1</v>
      </c>
    </row>
    <row r="1498" spans="1:2" x14ac:dyDescent="0.2">
      <c r="A1498" t="s">
        <v>1380</v>
      </c>
      <c r="B1498" t="s">
        <v>1</v>
      </c>
    </row>
    <row r="1499" spans="1:2" x14ac:dyDescent="0.2">
      <c r="A1499" t="s">
        <v>1382</v>
      </c>
      <c r="B1499" t="s">
        <v>1</v>
      </c>
    </row>
    <row r="1500" spans="1:2" x14ac:dyDescent="0.2">
      <c r="A1500" t="s">
        <v>1383</v>
      </c>
      <c r="B1500" t="s">
        <v>1</v>
      </c>
    </row>
    <row r="1501" spans="1:2" x14ac:dyDescent="0.2">
      <c r="A1501" t="s">
        <v>1385</v>
      </c>
      <c r="B1501" t="s">
        <v>1</v>
      </c>
    </row>
    <row r="1502" spans="1:2" x14ac:dyDescent="0.2">
      <c r="A1502" t="s">
        <v>1387</v>
      </c>
      <c r="B1502" t="s">
        <v>1</v>
      </c>
    </row>
    <row r="1503" spans="1:2" x14ac:dyDescent="0.2">
      <c r="A1503" t="s">
        <v>1389</v>
      </c>
      <c r="B1503" t="s">
        <v>1</v>
      </c>
    </row>
    <row r="1504" spans="1:2" x14ac:dyDescent="0.2">
      <c r="A1504" t="s">
        <v>1391</v>
      </c>
      <c r="B1504" t="s">
        <v>1</v>
      </c>
    </row>
    <row r="1505" spans="1:2" x14ac:dyDescent="0.2">
      <c r="A1505" t="s">
        <v>1393</v>
      </c>
      <c r="B1505" t="s">
        <v>1</v>
      </c>
    </row>
    <row r="1506" spans="1:2" x14ac:dyDescent="0.2">
      <c r="A1506" t="s">
        <v>1395</v>
      </c>
      <c r="B1506" t="s">
        <v>1</v>
      </c>
    </row>
    <row r="1507" spans="1:2" x14ac:dyDescent="0.2">
      <c r="A1507" t="s">
        <v>1397</v>
      </c>
      <c r="B1507" t="s">
        <v>1</v>
      </c>
    </row>
    <row r="1508" spans="1:2" x14ac:dyDescent="0.2">
      <c r="A1508" t="s">
        <v>1399</v>
      </c>
      <c r="B1508" t="s">
        <v>1</v>
      </c>
    </row>
    <row r="1509" spans="1:2" x14ac:dyDescent="0.2">
      <c r="A1509" t="s">
        <v>1401</v>
      </c>
      <c r="B1509" t="s">
        <v>1</v>
      </c>
    </row>
    <row r="1510" spans="1:2" x14ac:dyDescent="0.2">
      <c r="A1510" t="s">
        <v>1403</v>
      </c>
      <c r="B1510" t="s">
        <v>1</v>
      </c>
    </row>
    <row r="1511" spans="1:2" x14ac:dyDescent="0.2">
      <c r="A1511" t="s">
        <v>1405</v>
      </c>
      <c r="B1511" t="s">
        <v>1</v>
      </c>
    </row>
    <row r="1512" spans="1:2" x14ac:dyDescent="0.2">
      <c r="A1512" t="s">
        <v>1407</v>
      </c>
      <c r="B1512" t="s">
        <v>1</v>
      </c>
    </row>
    <row r="1513" spans="1:2" x14ac:dyDescent="0.2">
      <c r="A1513" t="s">
        <v>1409</v>
      </c>
      <c r="B1513" t="s">
        <v>1</v>
      </c>
    </row>
    <row r="1514" spans="1:2" x14ac:dyDescent="0.2">
      <c r="A1514" t="s">
        <v>1411</v>
      </c>
      <c r="B1514" t="s">
        <v>1</v>
      </c>
    </row>
    <row r="1515" spans="1:2" x14ac:dyDescent="0.2">
      <c r="A1515" t="s">
        <v>1413</v>
      </c>
      <c r="B1515" t="s">
        <v>1</v>
      </c>
    </row>
    <row r="1516" spans="1:2" x14ac:dyDescent="0.2">
      <c r="A1516" t="s">
        <v>1415</v>
      </c>
      <c r="B1516" t="s">
        <v>1</v>
      </c>
    </row>
    <row r="1517" spans="1:2" x14ac:dyDescent="0.2">
      <c r="A1517" t="s">
        <v>1417</v>
      </c>
      <c r="B1517" t="s">
        <v>1</v>
      </c>
    </row>
    <row r="1518" spans="1:2" x14ac:dyDescent="0.2">
      <c r="A1518" t="s">
        <v>1419</v>
      </c>
      <c r="B1518" t="s">
        <v>1</v>
      </c>
    </row>
    <row r="1519" spans="1:2" x14ac:dyDescent="0.2">
      <c r="A1519" t="s">
        <v>1421</v>
      </c>
      <c r="B1519" t="s">
        <v>1</v>
      </c>
    </row>
    <row r="1520" spans="1:2" x14ac:dyDescent="0.2">
      <c r="A1520" t="s">
        <v>1423</v>
      </c>
      <c r="B1520" t="s">
        <v>1</v>
      </c>
    </row>
    <row r="1521" spans="1:2" x14ac:dyDescent="0.2">
      <c r="A1521" t="s">
        <v>1425</v>
      </c>
      <c r="B1521" t="s">
        <v>1</v>
      </c>
    </row>
    <row r="1522" spans="1:2" x14ac:dyDescent="0.2">
      <c r="A1522" t="s">
        <v>1427</v>
      </c>
      <c r="B1522" t="s">
        <v>1</v>
      </c>
    </row>
    <row r="1523" spans="1:2" x14ac:dyDescent="0.2">
      <c r="A1523" t="s">
        <v>1429</v>
      </c>
      <c r="B1523" t="s">
        <v>1</v>
      </c>
    </row>
    <row r="1524" spans="1:2" x14ac:dyDescent="0.2">
      <c r="A1524" t="s">
        <v>1431</v>
      </c>
      <c r="B1524" t="s">
        <v>1</v>
      </c>
    </row>
    <row r="1525" spans="1:2" x14ac:dyDescent="0.2">
      <c r="A1525" t="s">
        <v>1433</v>
      </c>
      <c r="B1525" t="s">
        <v>1</v>
      </c>
    </row>
    <row r="1526" spans="1:2" x14ac:dyDescent="0.2">
      <c r="A1526" t="s">
        <v>1435</v>
      </c>
      <c r="B1526" t="s">
        <v>1</v>
      </c>
    </row>
    <row r="1527" spans="1:2" x14ac:dyDescent="0.2">
      <c r="A1527" t="s">
        <v>1437</v>
      </c>
      <c r="B1527" t="s">
        <v>1</v>
      </c>
    </row>
    <row r="1528" spans="1:2" x14ac:dyDescent="0.2">
      <c r="A1528" t="s">
        <v>1439</v>
      </c>
      <c r="B1528" t="s">
        <v>1</v>
      </c>
    </row>
    <row r="1529" spans="1:2" x14ac:dyDescent="0.2">
      <c r="A1529" t="s">
        <v>1441</v>
      </c>
      <c r="B1529" t="s">
        <v>1</v>
      </c>
    </row>
    <row r="1530" spans="1:2" x14ac:dyDescent="0.2">
      <c r="A1530" t="s">
        <v>1443</v>
      </c>
      <c r="B1530" t="s">
        <v>1</v>
      </c>
    </row>
    <row r="1531" spans="1:2" x14ac:dyDescent="0.2">
      <c r="A1531" t="s">
        <v>1445</v>
      </c>
      <c r="B1531" t="s">
        <v>1</v>
      </c>
    </row>
    <row r="1532" spans="1:2" x14ac:dyDescent="0.2">
      <c r="A1532" t="s">
        <v>1447</v>
      </c>
      <c r="B1532" t="s">
        <v>1</v>
      </c>
    </row>
    <row r="1533" spans="1:2" x14ac:dyDescent="0.2">
      <c r="A1533" t="s">
        <v>1449</v>
      </c>
      <c r="B1533" t="s">
        <v>1</v>
      </c>
    </row>
    <row r="1534" spans="1:2" x14ac:dyDescent="0.2">
      <c r="A1534" t="s">
        <v>1451</v>
      </c>
      <c r="B1534" t="s">
        <v>1</v>
      </c>
    </row>
    <row r="1535" spans="1:2" x14ac:dyDescent="0.2">
      <c r="A1535" t="s">
        <v>1453</v>
      </c>
      <c r="B1535" t="s">
        <v>1</v>
      </c>
    </row>
    <row r="1536" spans="1:2" x14ac:dyDescent="0.2">
      <c r="A1536" t="s">
        <v>1455</v>
      </c>
      <c r="B1536" t="s">
        <v>1</v>
      </c>
    </row>
    <row r="1537" spans="1:2" x14ac:dyDescent="0.2">
      <c r="A1537" t="s">
        <v>1457</v>
      </c>
      <c r="B1537" t="s">
        <v>1</v>
      </c>
    </row>
    <row r="1538" spans="1:2" x14ac:dyDescent="0.2">
      <c r="A1538" t="s">
        <v>1459</v>
      </c>
      <c r="B1538" t="s">
        <v>1</v>
      </c>
    </row>
    <row r="1539" spans="1:2" x14ac:dyDescent="0.2">
      <c r="A1539" t="s">
        <v>1461</v>
      </c>
      <c r="B1539" t="s">
        <v>1</v>
      </c>
    </row>
    <row r="1540" spans="1:2" x14ac:dyDescent="0.2">
      <c r="A1540" t="s">
        <v>1463</v>
      </c>
      <c r="B1540" t="s">
        <v>1</v>
      </c>
    </row>
    <row r="1541" spans="1:2" x14ac:dyDescent="0.2">
      <c r="A1541" t="s">
        <v>1465</v>
      </c>
      <c r="B1541" t="s">
        <v>1</v>
      </c>
    </row>
    <row r="1542" spans="1:2" x14ac:dyDescent="0.2">
      <c r="A1542" t="s">
        <v>1467</v>
      </c>
      <c r="B1542" t="s">
        <v>1</v>
      </c>
    </row>
    <row r="1543" spans="1:2" x14ac:dyDescent="0.2">
      <c r="A1543" t="s">
        <v>1469</v>
      </c>
      <c r="B1543" t="s">
        <v>1</v>
      </c>
    </row>
    <row r="1544" spans="1:2" x14ac:dyDescent="0.2">
      <c r="A1544" t="s">
        <v>1471</v>
      </c>
      <c r="B1544" t="s">
        <v>1</v>
      </c>
    </row>
    <row r="1545" spans="1:2" x14ac:dyDescent="0.2">
      <c r="A1545" t="s">
        <v>1473</v>
      </c>
      <c r="B1545" t="s">
        <v>1</v>
      </c>
    </row>
    <row r="1546" spans="1:2" x14ac:dyDescent="0.2">
      <c r="A1546" t="s">
        <v>1475</v>
      </c>
      <c r="B1546" t="s">
        <v>1</v>
      </c>
    </row>
    <row r="1547" spans="1:2" x14ac:dyDescent="0.2">
      <c r="A1547" t="s">
        <v>1477</v>
      </c>
      <c r="B1547" t="s">
        <v>1</v>
      </c>
    </row>
    <row r="1548" spans="1:2" x14ac:dyDescent="0.2">
      <c r="A1548" t="s">
        <v>1479</v>
      </c>
      <c r="B1548" t="s">
        <v>1</v>
      </c>
    </row>
    <row r="1549" spans="1:2" x14ac:dyDescent="0.2">
      <c r="A1549" t="s">
        <v>1481</v>
      </c>
      <c r="B1549" t="s">
        <v>1</v>
      </c>
    </row>
    <row r="1550" spans="1:2" x14ac:dyDescent="0.2">
      <c r="A1550" t="s">
        <v>1483</v>
      </c>
      <c r="B1550" t="s">
        <v>1</v>
      </c>
    </row>
    <row r="1551" spans="1:2" x14ac:dyDescent="0.2">
      <c r="A1551" t="s">
        <v>1485</v>
      </c>
      <c r="B1551" t="s">
        <v>1</v>
      </c>
    </row>
    <row r="1552" spans="1:2" x14ac:dyDescent="0.2">
      <c r="A1552" t="s">
        <v>1487</v>
      </c>
      <c r="B1552" t="s">
        <v>1</v>
      </c>
    </row>
    <row r="1553" spans="1:2" x14ac:dyDescent="0.2">
      <c r="A1553" t="s">
        <v>1488</v>
      </c>
      <c r="B1553" t="s">
        <v>1</v>
      </c>
    </row>
    <row r="1554" spans="1:2" x14ac:dyDescent="0.2">
      <c r="A1554" t="s">
        <v>1490</v>
      </c>
      <c r="B1554" t="s">
        <v>1</v>
      </c>
    </row>
    <row r="1555" spans="1:2" x14ac:dyDescent="0.2">
      <c r="A1555" t="s">
        <v>1492</v>
      </c>
      <c r="B1555" t="s">
        <v>1</v>
      </c>
    </row>
    <row r="1556" spans="1:2" x14ac:dyDescent="0.2">
      <c r="A1556" t="s">
        <v>1494</v>
      </c>
      <c r="B1556" t="s">
        <v>1</v>
      </c>
    </row>
    <row r="1557" spans="1:2" x14ac:dyDescent="0.2">
      <c r="A1557" t="s">
        <v>1496</v>
      </c>
      <c r="B1557" t="s">
        <v>1</v>
      </c>
    </row>
    <row r="1558" spans="1:2" x14ac:dyDescent="0.2">
      <c r="A1558" t="s">
        <v>1498</v>
      </c>
      <c r="B1558" t="s">
        <v>1</v>
      </c>
    </row>
    <row r="1559" spans="1:2" x14ac:dyDescent="0.2">
      <c r="A1559" t="s">
        <v>1500</v>
      </c>
      <c r="B1559" t="s">
        <v>1</v>
      </c>
    </row>
    <row r="1560" spans="1:2" x14ac:dyDescent="0.2">
      <c r="A1560" t="s">
        <v>1502</v>
      </c>
      <c r="B1560" t="s">
        <v>1</v>
      </c>
    </row>
    <row r="1561" spans="1:2" x14ac:dyDescent="0.2">
      <c r="A1561" t="s">
        <v>1504</v>
      </c>
      <c r="B1561" t="s">
        <v>1</v>
      </c>
    </row>
    <row r="1562" spans="1:2" x14ac:dyDescent="0.2">
      <c r="A1562" t="s">
        <v>1506</v>
      </c>
      <c r="B1562" t="s">
        <v>1</v>
      </c>
    </row>
    <row r="1563" spans="1:2" x14ac:dyDescent="0.2">
      <c r="A1563" t="s">
        <v>1508</v>
      </c>
      <c r="B1563" t="s">
        <v>1</v>
      </c>
    </row>
    <row r="1564" spans="1:2" x14ac:dyDescent="0.2">
      <c r="A1564" t="s">
        <v>1510</v>
      </c>
      <c r="B1564" t="s">
        <v>1</v>
      </c>
    </row>
    <row r="1565" spans="1:2" x14ac:dyDescent="0.2">
      <c r="A1565" t="s">
        <v>1512</v>
      </c>
      <c r="B1565" t="s">
        <v>1</v>
      </c>
    </row>
    <row r="1566" spans="1:2" x14ac:dyDescent="0.2">
      <c r="A1566" t="s">
        <v>1514</v>
      </c>
      <c r="B1566" t="s">
        <v>1</v>
      </c>
    </row>
    <row r="1567" spans="1:2" x14ac:dyDescent="0.2">
      <c r="A1567" t="s">
        <v>1516</v>
      </c>
      <c r="B1567" t="s">
        <v>1</v>
      </c>
    </row>
    <row r="1568" spans="1:2" x14ac:dyDescent="0.2">
      <c r="A1568" t="s">
        <v>1518</v>
      </c>
      <c r="B1568" t="s">
        <v>1</v>
      </c>
    </row>
    <row r="1569" spans="1:2" x14ac:dyDescent="0.2">
      <c r="A1569" t="s">
        <v>1520</v>
      </c>
      <c r="B1569" t="s">
        <v>1</v>
      </c>
    </row>
    <row r="1570" spans="1:2" x14ac:dyDescent="0.2">
      <c r="A1570" t="s">
        <v>1212</v>
      </c>
      <c r="B1570" t="s">
        <v>1</v>
      </c>
    </row>
    <row r="1571" spans="1:2" x14ac:dyDescent="0.2">
      <c r="A1571" t="s">
        <v>1214</v>
      </c>
      <c r="B1571" t="s">
        <v>1</v>
      </c>
    </row>
    <row r="1572" spans="1:2" x14ac:dyDescent="0.2">
      <c r="A1572" t="s">
        <v>1524</v>
      </c>
      <c r="B1572" t="s">
        <v>1</v>
      </c>
    </row>
    <row r="1573" spans="1:2" x14ac:dyDescent="0.2">
      <c r="A1573" t="s">
        <v>1526</v>
      </c>
      <c r="B1573" t="s">
        <v>1</v>
      </c>
    </row>
    <row r="1574" spans="1:2" x14ac:dyDescent="0.2">
      <c r="A1574" t="s">
        <v>1528</v>
      </c>
      <c r="B1574" t="s">
        <v>1</v>
      </c>
    </row>
    <row r="1575" spans="1:2" x14ac:dyDescent="0.2">
      <c r="A1575" t="s">
        <v>1530</v>
      </c>
      <c r="B1575" t="s">
        <v>1</v>
      </c>
    </row>
    <row r="1576" spans="1:2" x14ac:dyDescent="0.2">
      <c r="A1576" t="s">
        <v>1532</v>
      </c>
      <c r="B1576" t="s">
        <v>1</v>
      </c>
    </row>
    <row r="1577" spans="1:2" x14ac:dyDescent="0.2">
      <c r="A1577" t="s">
        <v>1534</v>
      </c>
      <c r="B1577" t="s">
        <v>1</v>
      </c>
    </row>
    <row r="1578" spans="1:2" x14ac:dyDescent="0.2">
      <c r="A1578" t="s">
        <v>1536</v>
      </c>
      <c r="B1578" t="s">
        <v>1</v>
      </c>
    </row>
    <row r="1579" spans="1:2" x14ac:dyDescent="0.2">
      <c r="A1579" t="s">
        <v>1538</v>
      </c>
      <c r="B1579" t="s">
        <v>1</v>
      </c>
    </row>
    <row r="1580" spans="1:2" x14ac:dyDescent="0.2">
      <c r="A1580" t="s">
        <v>1540</v>
      </c>
      <c r="B1580" t="s">
        <v>1</v>
      </c>
    </row>
    <row r="1581" spans="1:2" x14ac:dyDescent="0.2">
      <c r="A1581" t="s">
        <v>1542</v>
      </c>
      <c r="B1581" t="s">
        <v>1</v>
      </c>
    </row>
    <row r="1582" spans="1:2" x14ac:dyDescent="0.2">
      <c r="A1582" t="s">
        <v>1544</v>
      </c>
      <c r="B1582" t="s">
        <v>1</v>
      </c>
    </row>
    <row r="1583" spans="1:2" x14ac:dyDescent="0.2">
      <c r="A1583" t="s">
        <v>1546</v>
      </c>
      <c r="B1583" t="s">
        <v>1</v>
      </c>
    </row>
    <row r="1584" spans="1:2" x14ac:dyDescent="0.2">
      <c r="A1584" t="s">
        <v>1548</v>
      </c>
      <c r="B1584" t="s">
        <v>1</v>
      </c>
    </row>
    <row r="1585" spans="1:2" x14ac:dyDescent="0.2">
      <c r="A1585" t="s">
        <v>1550</v>
      </c>
      <c r="B1585" t="s">
        <v>1</v>
      </c>
    </row>
    <row r="1586" spans="1:2" x14ac:dyDescent="0.2">
      <c r="A1586" t="s">
        <v>1552</v>
      </c>
      <c r="B1586" t="s">
        <v>1</v>
      </c>
    </row>
    <row r="1587" spans="1:2" x14ac:dyDescent="0.2">
      <c r="A1587" t="s">
        <v>1554</v>
      </c>
      <c r="B1587" t="s">
        <v>1</v>
      </c>
    </row>
    <row r="1588" spans="1:2" x14ac:dyDescent="0.2">
      <c r="A1588" t="s">
        <v>1556</v>
      </c>
      <c r="B1588" t="s">
        <v>1</v>
      </c>
    </row>
    <row r="1589" spans="1:2" x14ac:dyDescent="0.2">
      <c r="A1589" t="s">
        <v>1558</v>
      </c>
      <c r="B1589" t="s">
        <v>1</v>
      </c>
    </row>
    <row r="1590" spans="1:2" x14ac:dyDescent="0.2">
      <c r="A1590" t="s">
        <v>1560</v>
      </c>
      <c r="B1590" t="s">
        <v>1</v>
      </c>
    </row>
    <row r="1591" spans="1:2" x14ac:dyDescent="0.2">
      <c r="A1591" t="s">
        <v>1562</v>
      </c>
      <c r="B1591" t="s">
        <v>1</v>
      </c>
    </row>
    <row r="1592" spans="1:2" x14ac:dyDescent="0.2">
      <c r="A1592" t="s">
        <v>1564</v>
      </c>
      <c r="B1592" t="s">
        <v>1</v>
      </c>
    </row>
    <row r="1593" spans="1:2" x14ac:dyDescent="0.2">
      <c r="A1593" t="s">
        <v>1566</v>
      </c>
      <c r="B1593" t="s">
        <v>1</v>
      </c>
    </row>
    <row r="1594" spans="1:2" x14ac:dyDescent="0.2">
      <c r="A1594" t="s">
        <v>1568</v>
      </c>
      <c r="B1594" t="s">
        <v>1</v>
      </c>
    </row>
    <row r="1595" spans="1:2" x14ac:dyDescent="0.2">
      <c r="A1595" t="s">
        <v>1570</v>
      </c>
      <c r="B1595" t="s">
        <v>1</v>
      </c>
    </row>
    <row r="1596" spans="1:2" x14ac:dyDescent="0.2">
      <c r="A1596" t="s">
        <v>1572</v>
      </c>
      <c r="B1596" t="s">
        <v>1</v>
      </c>
    </row>
    <row r="1597" spans="1:2" x14ac:dyDescent="0.2">
      <c r="A1597" t="s">
        <v>1574</v>
      </c>
      <c r="B1597" t="s">
        <v>1</v>
      </c>
    </row>
    <row r="1598" spans="1:2" x14ac:dyDescent="0.2">
      <c r="A1598" t="s">
        <v>1576</v>
      </c>
      <c r="B1598" t="s">
        <v>1</v>
      </c>
    </row>
    <row r="1599" spans="1:2" x14ac:dyDescent="0.2">
      <c r="A1599" t="s">
        <v>1578</v>
      </c>
      <c r="B1599" t="s">
        <v>1</v>
      </c>
    </row>
    <row r="1600" spans="1:2" x14ac:dyDescent="0.2">
      <c r="A1600" t="s">
        <v>1579</v>
      </c>
      <c r="B1600" t="s">
        <v>1</v>
      </c>
    </row>
    <row r="1601" spans="1:2" x14ac:dyDescent="0.2">
      <c r="A1601" t="s">
        <v>1580</v>
      </c>
      <c r="B1601" t="s">
        <v>1</v>
      </c>
    </row>
    <row r="1602" spans="1:2" x14ac:dyDescent="0.2">
      <c r="A1602" t="s">
        <v>1581</v>
      </c>
      <c r="B1602" t="s">
        <v>1</v>
      </c>
    </row>
    <row r="1603" spans="1:2" x14ac:dyDescent="0.2">
      <c r="A1603" t="s">
        <v>1582</v>
      </c>
      <c r="B1603" t="s">
        <v>1</v>
      </c>
    </row>
    <row r="1604" spans="1:2" x14ac:dyDescent="0.2">
      <c r="A1604" t="s">
        <v>1583</v>
      </c>
      <c r="B1604" t="s">
        <v>1</v>
      </c>
    </row>
    <row r="1605" spans="1:2" x14ac:dyDescent="0.2">
      <c r="A1605" t="s">
        <v>1584</v>
      </c>
      <c r="B1605" t="s">
        <v>1</v>
      </c>
    </row>
    <row r="1606" spans="1:2" x14ac:dyDescent="0.2">
      <c r="A1606" t="s">
        <v>1585</v>
      </c>
      <c r="B1606" t="s">
        <v>1</v>
      </c>
    </row>
    <row r="1607" spans="1:2" x14ac:dyDescent="0.2">
      <c r="A1607" t="s">
        <v>1586</v>
      </c>
      <c r="B1607" t="s">
        <v>1</v>
      </c>
    </row>
    <row r="1608" spans="1:2" x14ac:dyDescent="0.2">
      <c r="A1608" t="s">
        <v>1587</v>
      </c>
      <c r="B1608" t="s">
        <v>1</v>
      </c>
    </row>
    <row r="1609" spans="1:2" x14ac:dyDescent="0.2">
      <c r="A1609" t="s">
        <v>1588</v>
      </c>
      <c r="B1609" t="s">
        <v>1</v>
      </c>
    </row>
    <row r="1610" spans="1:2" x14ac:dyDescent="0.2">
      <c r="A1610" t="s">
        <v>1589</v>
      </c>
      <c r="B1610" t="s">
        <v>1</v>
      </c>
    </row>
    <row r="1611" spans="1:2" x14ac:dyDescent="0.2">
      <c r="A1611" t="s">
        <v>1590</v>
      </c>
      <c r="B1611" t="s">
        <v>1</v>
      </c>
    </row>
    <row r="1612" spans="1:2" x14ac:dyDescent="0.2">
      <c r="A1612" t="s">
        <v>1591</v>
      </c>
      <c r="B1612" t="s">
        <v>1</v>
      </c>
    </row>
    <row r="1613" spans="1:2" x14ac:dyDescent="0.2">
      <c r="A1613" t="s">
        <v>1592</v>
      </c>
      <c r="B1613" t="s">
        <v>1</v>
      </c>
    </row>
    <row r="1614" spans="1:2" x14ac:dyDescent="0.2">
      <c r="A1614" t="s">
        <v>1593</v>
      </c>
      <c r="B1614" t="s">
        <v>1</v>
      </c>
    </row>
    <row r="1615" spans="1:2" x14ac:dyDescent="0.2">
      <c r="A1615" t="s">
        <v>1594</v>
      </c>
      <c r="B1615" t="s">
        <v>1</v>
      </c>
    </row>
    <row r="1616" spans="1:2" x14ac:dyDescent="0.2">
      <c r="A1616" t="s">
        <v>1595</v>
      </c>
      <c r="B1616" t="s">
        <v>1</v>
      </c>
    </row>
    <row r="1617" spans="1:2" x14ac:dyDescent="0.2">
      <c r="A1617" t="s">
        <v>1596</v>
      </c>
      <c r="B1617" t="s">
        <v>1</v>
      </c>
    </row>
    <row r="1618" spans="1:2" x14ac:dyDescent="0.2">
      <c r="A1618" t="s">
        <v>1597</v>
      </c>
      <c r="B1618" t="s">
        <v>1</v>
      </c>
    </row>
    <row r="1619" spans="1:2" x14ac:dyDescent="0.2">
      <c r="A1619" t="s">
        <v>1598</v>
      </c>
      <c r="B1619" t="s">
        <v>1</v>
      </c>
    </row>
    <row r="1620" spans="1:2" x14ac:dyDescent="0.2">
      <c r="A1620" t="s">
        <v>1599</v>
      </c>
      <c r="B1620" t="s">
        <v>1</v>
      </c>
    </row>
    <row r="1621" spans="1:2" x14ac:dyDescent="0.2">
      <c r="A1621" t="s">
        <v>1600</v>
      </c>
      <c r="B1621" t="s">
        <v>1</v>
      </c>
    </row>
    <row r="1622" spans="1:2" x14ac:dyDescent="0.2">
      <c r="A1622" t="s">
        <v>1601</v>
      </c>
      <c r="B1622" t="s">
        <v>1</v>
      </c>
    </row>
    <row r="1623" spans="1:2" x14ac:dyDescent="0.2">
      <c r="A1623" t="s">
        <v>1602</v>
      </c>
      <c r="B1623" t="s">
        <v>1</v>
      </c>
    </row>
    <row r="1624" spans="1:2" x14ac:dyDescent="0.2">
      <c r="A1624" t="s">
        <v>1603</v>
      </c>
      <c r="B1624" t="s">
        <v>1</v>
      </c>
    </row>
    <row r="1625" spans="1:2" x14ac:dyDescent="0.2">
      <c r="A1625" t="s">
        <v>1604</v>
      </c>
      <c r="B1625" t="s">
        <v>1</v>
      </c>
    </row>
    <row r="1626" spans="1:2" x14ac:dyDescent="0.2">
      <c r="A1626" t="s">
        <v>1605</v>
      </c>
      <c r="B1626" t="s">
        <v>1</v>
      </c>
    </row>
    <row r="1627" spans="1:2" x14ac:dyDescent="0.2">
      <c r="A1627" t="s">
        <v>1043</v>
      </c>
      <c r="B1627" t="s">
        <v>1</v>
      </c>
    </row>
    <row r="1628" spans="1:2" x14ac:dyDescent="0.2">
      <c r="A1628" t="s">
        <v>1606</v>
      </c>
      <c r="B1628" t="s">
        <v>1</v>
      </c>
    </row>
    <row r="1629" spans="1:2" x14ac:dyDescent="0.2">
      <c r="A1629" t="s">
        <v>1607</v>
      </c>
      <c r="B1629" t="s">
        <v>1</v>
      </c>
    </row>
    <row r="1630" spans="1:2" x14ac:dyDescent="0.2">
      <c r="A1630" t="s">
        <v>1608</v>
      </c>
      <c r="B1630" t="s">
        <v>1</v>
      </c>
    </row>
    <row r="1631" spans="1:2" x14ac:dyDescent="0.2">
      <c r="A1631" t="s">
        <v>1609</v>
      </c>
      <c r="B1631" t="s">
        <v>1</v>
      </c>
    </row>
    <row r="1632" spans="1:2" x14ac:dyDescent="0.2">
      <c r="A1632" t="s">
        <v>1610</v>
      </c>
      <c r="B1632" t="s">
        <v>1</v>
      </c>
    </row>
    <row r="1633" spans="1:2" x14ac:dyDescent="0.2">
      <c r="A1633" t="s">
        <v>1611</v>
      </c>
      <c r="B1633" t="s">
        <v>1</v>
      </c>
    </row>
    <row r="1634" spans="1:2" x14ac:dyDescent="0.2">
      <c r="A1634" t="s">
        <v>1612</v>
      </c>
      <c r="B1634" t="s">
        <v>1</v>
      </c>
    </row>
    <row r="1635" spans="1:2" x14ac:dyDescent="0.2">
      <c r="A1635" t="s">
        <v>1613</v>
      </c>
      <c r="B1635" t="s">
        <v>1</v>
      </c>
    </row>
    <row r="1636" spans="1:2" x14ac:dyDescent="0.2">
      <c r="A1636" t="s">
        <v>1614</v>
      </c>
      <c r="B1636" t="s">
        <v>1</v>
      </c>
    </row>
    <row r="1637" spans="1:2" x14ac:dyDescent="0.2">
      <c r="A1637" t="s">
        <v>1615</v>
      </c>
      <c r="B1637" t="s">
        <v>1</v>
      </c>
    </row>
    <row r="1638" spans="1:2" x14ac:dyDescent="0.2">
      <c r="A1638" t="s">
        <v>1616</v>
      </c>
      <c r="B1638" t="s">
        <v>1</v>
      </c>
    </row>
    <row r="1639" spans="1:2" x14ac:dyDescent="0.2">
      <c r="A1639" t="s">
        <v>1617</v>
      </c>
      <c r="B1639" t="s">
        <v>1</v>
      </c>
    </row>
    <row r="1640" spans="1:2" x14ac:dyDescent="0.2">
      <c r="A1640" t="s">
        <v>1618</v>
      </c>
      <c r="B1640" t="s">
        <v>1</v>
      </c>
    </row>
    <row r="1641" spans="1:2" x14ac:dyDescent="0.2">
      <c r="A1641" t="s">
        <v>1619</v>
      </c>
      <c r="B1641" t="s">
        <v>1</v>
      </c>
    </row>
    <row r="1642" spans="1:2" x14ac:dyDescent="0.2">
      <c r="A1642" t="s">
        <v>1620</v>
      </c>
      <c r="B1642" t="s">
        <v>1</v>
      </c>
    </row>
    <row r="1643" spans="1:2" x14ac:dyDescent="0.2">
      <c r="A1643" t="s">
        <v>1621</v>
      </c>
      <c r="B1643" t="s">
        <v>1</v>
      </c>
    </row>
    <row r="1644" spans="1:2" x14ac:dyDescent="0.2">
      <c r="A1644" t="s">
        <v>1622</v>
      </c>
      <c r="B1644" t="s">
        <v>1</v>
      </c>
    </row>
    <row r="1645" spans="1:2" x14ac:dyDescent="0.2">
      <c r="A1645" t="s">
        <v>1623</v>
      </c>
      <c r="B1645" t="s">
        <v>1</v>
      </c>
    </row>
    <row r="1646" spans="1:2" x14ac:dyDescent="0.2">
      <c r="A1646" t="s">
        <v>1624</v>
      </c>
      <c r="B1646" t="s">
        <v>1</v>
      </c>
    </row>
    <row r="1647" spans="1:2" x14ac:dyDescent="0.2">
      <c r="A1647" t="s">
        <v>1625</v>
      </c>
      <c r="B1647" t="s">
        <v>1</v>
      </c>
    </row>
    <row r="1648" spans="1:2" x14ac:dyDescent="0.2">
      <c r="A1648" t="s">
        <v>1626</v>
      </c>
      <c r="B1648" t="s">
        <v>1</v>
      </c>
    </row>
    <row r="1649" spans="1:2" x14ac:dyDescent="0.2">
      <c r="A1649" t="s">
        <v>1627</v>
      </c>
      <c r="B1649" t="s">
        <v>1</v>
      </c>
    </row>
    <row r="1650" spans="1:2" x14ac:dyDescent="0.2">
      <c r="A1650" t="s">
        <v>1628</v>
      </c>
      <c r="B1650" t="s">
        <v>1</v>
      </c>
    </row>
    <row r="1651" spans="1:2" x14ac:dyDescent="0.2">
      <c r="A1651" t="s">
        <v>1629</v>
      </c>
      <c r="B1651" t="s">
        <v>1</v>
      </c>
    </row>
    <row r="1652" spans="1:2" x14ac:dyDescent="0.2">
      <c r="A1652" t="s">
        <v>1630</v>
      </c>
      <c r="B1652" t="s">
        <v>1</v>
      </c>
    </row>
    <row r="1653" spans="1:2" x14ac:dyDescent="0.2">
      <c r="A1653" t="s">
        <v>1631</v>
      </c>
      <c r="B1653" t="s">
        <v>1</v>
      </c>
    </row>
    <row r="1654" spans="1:2" x14ac:dyDescent="0.2">
      <c r="A1654" t="s">
        <v>1632</v>
      </c>
      <c r="B1654" t="s">
        <v>1</v>
      </c>
    </row>
    <row r="1655" spans="1:2" x14ac:dyDescent="0.2">
      <c r="A1655" t="s">
        <v>1633</v>
      </c>
      <c r="B1655" t="s">
        <v>1</v>
      </c>
    </row>
    <row r="1656" spans="1:2" x14ac:dyDescent="0.2">
      <c r="A1656" t="s">
        <v>1634</v>
      </c>
      <c r="B1656" t="s">
        <v>1</v>
      </c>
    </row>
    <row r="1657" spans="1:2" x14ac:dyDescent="0.2">
      <c r="A1657" t="s">
        <v>1635</v>
      </c>
      <c r="B1657" t="s">
        <v>1</v>
      </c>
    </row>
    <row r="1658" spans="1:2" x14ac:dyDescent="0.2">
      <c r="A1658" t="s">
        <v>1636</v>
      </c>
      <c r="B1658" t="s">
        <v>1</v>
      </c>
    </row>
    <row r="1659" spans="1:2" x14ac:dyDescent="0.2">
      <c r="A1659" t="s">
        <v>1637</v>
      </c>
      <c r="B1659" t="s">
        <v>1</v>
      </c>
    </row>
    <row r="1660" spans="1:2" x14ac:dyDescent="0.2">
      <c r="A1660" t="s">
        <v>1638</v>
      </c>
      <c r="B1660" t="s">
        <v>1</v>
      </c>
    </row>
    <row r="1661" spans="1:2" x14ac:dyDescent="0.2">
      <c r="A1661" t="s">
        <v>1639</v>
      </c>
      <c r="B1661" t="s">
        <v>1</v>
      </c>
    </row>
    <row r="1662" spans="1:2" x14ac:dyDescent="0.2">
      <c r="A1662" t="s">
        <v>1640</v>
      </c>
      <c r="B1662" t="s">
        <v>1</v>
      </c>
    </row>
    <row r="1663" spans="1:2" x14ac:dyDescent="0.2">
      <c r="A1663" t="s">
        <v>1641</v>
      </c>
      <c r="B1663" t="s">
        <v>1</v>
      </c>
    </row>
    <row r="1664" spans="1:2" x14ac:dyDescent="0.2">
      <c r="A1664" t="s">
        <v>1642</v>
      </c>
      <c r="B1664" t="s">
        <v>1</v>
      </c>
    </row>
    <row r="1665" spans="1:2" x14ac:dyDescent="0.2">
      <c r="A1665" t="s">
        <v>1643</v>
      </c>
      <c r="B1665" t="s">
        <v>1</v>
      </c>
    </row>
    <row r="1666" spans="1:2" x14ac:dyDescent="0.2">
      <c r="A1666" t="s">
        <v>1644</v>
      </c>
      <c r="B1666" t="s">
        <v>1</v>
      </c>
    </row>
    <row r="1667" spans="1:2" x14ac:dyDescent="0.2">
      <c r="A1667" t="s">
        <v>1645</v>
      </c>
      <c r="B1667" t="s">
        <v>1</v>
      </c>
    </row>
    <row r="1668" spans="1:2" x14ac:dyDescent="0.2">
      <c r="A1668" t="s">
        <v>1646</v>
      </c>
      <c r="B1668" t="s">
        <v>1</v>
      </c>
    </row>
    <row r="1669" spans="1:2" x14ac:dyDescent="0.2">
      <c r="A1669" t="s">
        <v>1647</v>
      </c>
      <c r="B1669" t="s">
        <v>1</v>
      </c>
    </row>
    <row r="1670" spans="1:2" x14ac:dyDescent="0.2">
      <c r="A1670" t="s">
        <v>1648</v>
      </c>
      <c r="B1670" t="s">
        <v>1</v>
      </c>
    </row>
    <row r="1671" spans="1:2" x14ac:dyDescent="0.2">
      <c r="A1671" t="s">
        <v>1649</v>
      </c>
      <c r="B1671" t="s">
        <v>1</v>
      </c>
    </row>
    <row r="1672" spans="1:2" x14ac:dyDescent="0.2">
      <c r="A1672" t="s">
        <v>1650</v>
      </c>
      <c r="B1672" t="s">
        <v>1</v>
      </c>
    </row>
    <row r="1673" spans="1:2" x14ac:dyDescent="0.2">
      <c r="A1673" t="s">
        <v>1651</v>
      </c>
      <c r="B1673" t="s">
        <v>1</v>
      </c>
    </row>
    <row r="1674" spans="1:2" x14ac:dyDescent="0.2">
      <c r="A1674" t="s">
        <v>1652</v>
      </c>
      <c r="B1674" t="s">
        <v>1</v>
      </c>
    </row>
    <row r="1675" spans="1:2" x14ac:dyDescent="0.2">
      <c r="A1675" t="s">
        <v>1653</v>
      </c>
      <c r="B1675" t="s">
        <v>1</v>
      </c>
    </row>
    <row r="1676" spans="1:2" x14ac:dyDescent="0.2">
      <c r="A1676" t="s">
        <v>1654</v>
      </c>
      <c r="B1676" t="s">
        <v>1</v>
      </c>
    </row>
    <row r="1677" spans="1:2" x14ac:dyDescent="0.2">
      <c r="A1677" t="s">
        <v>1655</v>
      </c>
      <c r="B1677" t="s">
        <v>1</v>
      </c>
    </row>
    <row r="1678" spans="1:2" x14ac:dyDescent="0.2">
      <c r="A1678" t="s">
        <v>1656</v>
      </c>
      <c r="B1678" t="s">
        <v>1</v>
      </c>
    </row>
    <row r="1679" spans="1:2" x14ac:dyDescent="0.2">
      <c r="A1679" t="s">
        <v>1657</v>
      </c>
      <c r="B1679" t="s">
        <v>1</v>
      </c>
    </row>
    <row r="1680" spans="1:2" x14ac:dyDescent="0.2">
      <c r="A1680" t="s">
        <v>1658</v>
      </c>
      <c r="B1680" t="s">
        <v>1</v>
      </c>
    </row>
    <row r="1681" spans="1:2" x14ac:dyDescent="0.2">
      <c r="A1681" t="s">
        <v>1659</v>
      </c>
      <c r="B1681" t="s">
        <v>1</v>
      </c>
    </row>
    <row r="1682" spans="1:2" x14ac:dyDescent="0.2">
      <c r="A1682" t="s">
        <v>1660</v>
      </c>
      <c r="B1682" t="s">
        <v>1</v>
      </c>
    </row>
    <row r="1683" spans="1:2" x14ac:dyDescent="0.2">
      <c r="A1683" t="s">
        <v>1661</v>
      </c>
      <c r="B1683" t="s">
        <v>1</v>
      </c>
    </row>
    <row r="1684" spans="1:2" x14ac:dyDescent="0.2">
      <c r="A1684" t="s">
        <v>1662</v>
      </c>
      <c r="B1684" t="s">
        <v>1</v>
      </c>
    </row>
    <row r="1685" spans="1:2" x14ac:dyDescent="0.2">
      <c r="A1685" t="s">
        <v>970</v>
      </c>
      <c r="B1685" t="s">
        <v>1</v>
      </c>
    </row>
    <row r="1686" spans="1:2" x14ac:dyDescent="0.2">
      <c r="A1686" t="s">
        <v>1663</v>
      </c>
      <c r="B1686" t="s">
        <v>1</v>
      </c>
    </row>
    <row r="1687" spans="1:2" x14ac:dyDescent="0.2">
      <c r="A1687" t="s">
        <v>1664</v>
      </c>
      <c r="B1687" t="s">
        <v>1</v>
      </c>
    </row>
    <row r="1688" spans="1:2" x14ac:dyDescent="0.2">
      <c r="A1688" t="s">
        <v>1665</v>
      </c>
      <c r="B1688" t="s">
        <v>1</v>
      </c>
    </row>
    <row r="1689" spans="1:2" x14ac:dyDescent="0.2">
      <c r="A1689" t="s">
        <v>1666</v>
      </c>
      <c r="B1689" t="s">
        <v>1</v>
      </c>
    </row>
    <row r="1690" spans="1:2" x14ac:dyDescent="0.2">
      <c r="A1690" t="s">
        <v>1667</v>
      </c>
      <c r="B1690" t="s">
        <v>1</v>
      </c>
    </row>
    <row r="1691" spans="1:2" x14ac:dyDescent="0.2">
      <c r="A1691" t="s">
        <v>1668</v>
      </c>
      <c r="B1691" t="s">
        <v>1</v>
      </c>
    </row>
    <row r="1692" spans="1:2" x14ac:dyDescent="0.2">
      <c r="A1692" t="s">
        <v>1669</v>
      </c>
      <c r="B1692" t="s">
        <v>1</v>
      </c>
    </row>
    <row r="1693" spans="1:2" x14ac:dyDescent="0.2">
      <c r="A1693" t="s">
        <v>1670</v>
      </c>
      <c r="B1693" t="s">
        <v>1</v>
      </c>
    </row>
    <row r="1694" spans="1:2" x14ac:dyDescent="0.2">
      <c r="A1694" t="s">
        <v>1671</v>
      </c>
      <c r="B1694" t="s">
        <v>1</v>
      </c>
    </row>
    <row r="1695" spans="1:2" x14ac:dyDescent="0.2">
      <c r="A1695" t="s">
        <v>1672</v>
      </c>
      <c r="B1695" t="s">
        <v>1</v>
      </c>
    </row>
    <row r="1696" spans="1:2" x14ac:dyDescent="0.2">
      <c r="A1696" t="s">
        <v>1673</v>
      </c>
      <c r="B1696" t="s">
        <v>1</v>
      </c>
    </row>
    <row r="1697" spans="1:2" x14ac:dyDescent="0.2">
      <c r="A1697" t="s">
        <v>1674</v>
      </c>
      <c r="B1697" t="s">
        <v>1</v>
      </c>
    </row>
    <row r="1698" spans="1:2" x14ac:dyDescent="0.2">
      <c r="A1698" t="s">
        <v>1675</v>
      </c>
      <c r="B1698" t="s">
        <v>1</v>
      </c>
    </row>
    <row r="1699" spans="1:2" x14ac:dyDescent="0.2">
      <c r="A1699" t="s">
        <v>1676</v>
      </c>
      <c r="B1699" t="s">
        <v>1</v>
      </c>
    </row>
    <row r="1700" spans="1:2" x14ac:dyDescent="0.2">
      <c r="A1700" t="s">
        <v>1677</v>
      </c>
      <c r="B1700" t="s">
        <v>1</v>
      </c>
    </row>
    <row r="1701" spans="1:2" x14ac:dyDescent="0.2">
      <c r="A1701" t="s">
        <v>1678</v>
      </c>
      <c r="B1701" t="s">
        <v>1</v>
      </c>
    </row>
    <row r="1702" spans="1:2" x14ac:dyDescent="0.2">
      <c r="A1702" t="s">
        <v>1679</v>
      </c>
      <c r="B1702" t="s">
        <v>1</v>
      </c>
    </row>
    <row r="1703" spans="1:2" x14ac:dyDescent="0.2">
      <c r="A1703" t="s">
        <v>1680</v>
      </c>
      <c r="B1703" t="s">
        <v>1</v>
      </c>
    </row>
    <row r="1704" spans="1:2" x14ac:dyDescent="0.2">
      <c r="A1704" t="s">
        <v>1681</v>
      </c>
      <c r="B1704" t="s">
        <v>1</v>
      </c>
    </row>
    <row r="1705" spans="1:2" x14ac:dyDescent="0.2">
      <c r="A1705" t="s">
        <v>1682</v>
      </c>
      <c r="B1705" t="s">
        <v>1</v>
      </c>
    </row>
    <row r="1706" spans="1:2" x14ac:dyDescent="0.2">
      <c r="A1706" t="s">
        <v>1683</v>
      </c>
      <c r="B1706" t="s">
        <v>1</v>
      </c>
    </row>
    <row r="1707" spans="1:2" x14ac:dyDescent="0.2">
      <c r="A1707" t="s">
        <v>1684</v>
      </c>
      <c r="B1707" t="s">
        <v>1</v>
      </c>
    </row>
    <row r="1708" spans="1:2" x14ac:dyDescent="0.2">
      <c r="A1708" t="s">
        <v>1685</v>
      </c>
      <c r="B1708" t="s">
        <v>1</v>
      </c>
    </row>
    <row r="1709" spans="1:2" x14ac:dyDescent="0.2">
      <c r="A1709" t="s">
        <v>1686</v>
      </c>
      <c r="B1709" t="s">
        <v>1</v>
      </c>
    </row>
    <row r="1710" spans="1:2" x14ac:dyDescent="0.2">
      <c r="A1710" t="s">
        <v>1687</v>
      </c>
      <c r="B1710" t="s">
        <v>1</v>
      </c>
    </row>
    <row r="1711" spans="1:2" x14ac:dyDescent="0.2">
      <c r="A1711" t="s">
        <v>1688</v>
      </c>
      <c r="B1711" t="s">
        <v>1</v>
      </c>
    </row>
    <row r="1712" spans="1:2" x14ac:dyDescent="0.2">
      <c r="A1712" t="s">
        <v>1689</v>
      </c>
      <c r="B1712" t="s">
        <v>1</v>
      </c>
    </row>
    <row r="1713" spans="1:2" x14ac:dyDescent="0.2">
      <c r="A1713" t="s">
        <v>1690</v>
      </c>
      <c r="B1713" t="s">
        <v>1</v>
      </c>
    </row>
    <row r="1714" spans="1:2" x14ac:dyDescent="0.2">
      <c r="A1714" t="s">
        <v>1691</v>
      </c>
      <c r="B1714" t="s">
        <v>1</v>
      </c>
    </row>
    <row r="1715" spans="1:2" x14ac:dyDescent="0.2">
      <c r="A1715" t="s">
        <v>1692</v>
      </c>
      <c r="B1715" t="s">
        <v>1</v>
      </c>
    </row>
    <row r="1716" spans="1:2" x14ac:dyDescent="0.2">
      <c r="A1716" t="s">
        <v>1693</v>
      </c>
      <c r="B1716" t="s">
        <v>1</v>
      </c>
    </row>
    <row r="1717" spans="1:2" x14ac:dyDescent="0.2">
      <c r="A1717" t="s">
        <v>1694</v>
      </c>
      <c r="B1717" t="s">
        <v>1</v>
      </c>
    </row>
    <row r="1718" spans="1:2" x14ac:dyDescent="0.2">
      <c r="A1718" t="s">
        <v>1695</v>
      </c>
      <c r="B1718" t="s">
        <v>1</v>
      </c>
    </row>
    <row r="1719" spans="1:2" x14ac:dyDescent="0.2">
      <c r="A1719" t="s">
        <v>1696</v>
      </c>
      <c r="B1719" t="s">
        <v>1</v>
      </c>
    </row>
    <row r="1720" spans="1:2" x14ac:dyDescent="0.2">
      <c r="A1720" t="s">
        <v>1697</v>
      </c>
      <c r="B1720" t="s">
        <v>1</v>
      </c>
    </row>
    <row r="1721" spans="1:2" x14ac:dyDescent="0.2">
      <c r="A1721" t="s">
        <v>1698</v>
      </c>
      <c r="B1721" t="s">
        <v>1</v>
      </c>
    </row>
    <row r="1722" spans="1:2" x14ac:dyDescent="0.2">
      <c r="A1722" t="s">
        <v>1699</v>
      </c>
      <c r="B1722" t="s">
        <v>1</v>
      </c>
    </row>
    <row r="1723" spans="1:2" x14ac:dyDescent="0.2">
      <c r="A1723" t="s">
        <v>1700</v>
      </c>
      <c r="B1723" t="s">
        <v>1</v>
      </c>
    </row>
    <row r="1724" spans="1:2" x14ac:dyDescent="0.2">
      <c r="A1724" t="s">
        <v>1701</v>
      </c>
      <c r="B1724" t="s">
        <v>1</v>
      </c>
    </row>
    <row r="1725" spans="1:2" x14ac:dyDescent="0.2">
      <c r="A1725" t="s">
        <v>1702</v>
      </c>
      <c r="B1725" t="s">
        <v>1</v>
      </c>
    </row>
    <row r="1726" spans="1:2" x14ac:dyDescent="0.2">
      <c r="A1726" t="s">
        <v>1703</v>
      </c>
      <c r="B1726" t="s">
        <v>1</v>
      </c>
    </row>
    <row r="1727" spans="1:2" x14ac:dyDescent="0.2">
      <c r="A1727" t="s">
        <v>1704</v>
      </c>
      <c r="B1727" t="s">
        <v>1</v>
      </c>
    </row>
    <row r="1728" spans="1:2" x14ac:dyDescent="0.2">
      <c r="A1728" t="s">
        <v>1705</v>
      </c>
      <c r="B1728" t="s">
        <v>1</v>
      </c>
    </row>
    <row r="1729" spans="1:2" x14ac:dyDescent="0.2">
      <c r="A1729" t="s">
        <v>1706</v>
      </c>
      <c r="B1729" t="s">
        <v>1</v>
      </c>
    </row>
    <row r="1730" spans="1:2" x14ac:dyDescent="0.2">
      <c r="A1730" t="s">
        <v>1707</v>
      </c>
      <c r="B1730" t="s">
        <v>1</v>
      </c>
    </row>
    <row r="1731" spans="1:2" x14ac:dyDescent="0.2">
      <c r="A1731" t="s">
        <v>1708</v>
      </c>
      <c r="B1731" t="s">
        <v>1</v>
      </c>
    </row>
    <row r="1732" spans="1:2" x14ac:dyDescent="0.2">
      <c r="A1732" t="s">
        <v>1709</v>
      </c>
      <c r="B1732" t="s">
        <v>1</v>
      </c>
    </row>
    <row r="1733" spans="1:2" x14ac:dyDescent="0.2">
      <c r="A1733" t="s">
        <v>1710</v>
      </c>
      <c r="B1733" t="s">
        <v>1</v>
      </c>
    </row>
    <row r="1734" spans="1:2" x14ac:dyDescent="0.2">
      <c r="A1734" t="s">
        <v>1476</v>
      </c>
      <c r="B1734" t="s">
        <v>1</v>
      </c>
    </row>
    <row r="1735" spans="1:2" x14ac:dyDescent="0.2">
      <c r="A1735" t="s">
        <v>1711</v>
      </c>
      <c r="B1735" t="s">
        <v>1</v>
      </c>
    </row>
    <row r="1736" spans="1:2" x14ac:dyDescent="0.2">
      <c r="A1736" t="s">
        <v>1712</v>
      </c>
      <c r="B1736" t="s">
        <v>1</v>
      </c>
    </row>
    <row r="1737" spans="1:2" x14ac:dyDescent="0.2">
      <c r="A1737" t="s">
        <v>1713</v>
      </c>
      <c r="B1737" t="s">
        <v>1</v>
      </c>
    </row>
    <row r="1738" spans="1:2" x14ac:dyDescent="0.2">
      <c r="A1738" t="s">
        <v>1714</v>
      </c>
      <c r="B1738" t="s">
        <v>1</v>
      </c>
    </row>
    <row r="1739" spans="1:2" x14ac:dyDescent="0.2">
      <c r="A1739" t="s">
        <v>1715</v>
      </c>
      <c r="B1739" t="s">
        <v>1</v>
      </c>
    </row>
    <row r="1740" spans="1:2" x14ac:dyDescent="0.2">
      <c r="A1740" t="s">
        <v>1716</v>
      </c>
      <c r="B1740" t="s">
        <v>1</v>
      </c>
    </row>
    <row r="1741" spans="1:2" x14ac:dyDescent="0.2">
      <c r="A1741" t="s">
        <v>1717</v>
      </c>
      <c r="B1741" t="s">
        <v>1</v>
      </c>
    </row>
    <row r="1742" spans="1:2" x14ac:dyDescent="0.2">
      <c r="A1742" t="s">
        <v>1718</v>
      </c>
      <c r="B1742" t="s">
        <v>1</v>
      </c>
    </row>
    <row r="1743" spans="1:2" x14ac:dyDescent="0.2">
      <c r="A1743" t="s">
        <v>1719</v>
      </c>
      <c r="B1743" t="s">
        <v>1</v>
      </c>
    </row>
    <row r="1744" spans="1:2" x14ac:dyDescent="0.2">
      <c r="A1744" t="s">
        <v>1720</v>
      </c>
      <c r="B1744" t="s">
        <v>1</v>
      </c>
    </row>
    <row r="1745" spans="1:2" x14ac:dyDescent="0.2">
      <c r="A1745" t="s">
        <v>1721</v>
      </c>
      <c r="B1745" t="s">
        <v>1</v>
      </c>
    </row>
    <row r="1746" spans="1:2" x14ac:dyDescent="0.2">
      <c r="A1746" t="s">
        <v>1722</v>
      </c>
      <c r="B1746" t="s">
        <v>1</v>
      </c>
    </row>
    <row r="1747" spans="1:2" x14ac:dyDescent="0.2">
      <c r="A1747" t="s">
        <v>1723</v>
      </c>
      <c r="B1747" t="s">
        <v>1</v>
      </c>
    </row>
    <row r="1748" spans="1:2" x14ac:dyDescent="0.2">
      <c r="A1748" t="s">
        <v>1724</v>
      </c>
      <c r="B1748" t="s">
        <v>1</v>
      </c>
    </row>
    <row r="1749" spans="1:2" x14ac:dyDescent="0.2">
      <c r="A1749" t="s">
        <v>1725</v>
      </c>
      <c r="B1749" t="s">
        <v>1</v>
      </c>
    </row>
    <row r="1750" spans="1:2" x14ac:dyDescent="0.2">
      <c r="A1750" t="s">
        <v>1726</v>
      </c>
      <c r="B1750" t="s">
        <v>1</v>
      </c>
    </row>
    <row r="1751" spans="1:2" x14ac:dyDescent="0.2">
      <c r="A1751" t="s">
        <v>1727</v>
      </c>
      <c r="B1751" t="s">
        <v>1</v>
      </c>
    </row>
    <row r="1752" spans="1:2" x14ac:dyDescent="0.2">
      <c r="A1752" t="s">
        <v>1728</v>
      </c>
      <c r="B1752" t="s">
        <v>1</v>
      </c>
    </row>
    <row r="1753" spans="1:2" x14ac:dyDescent="0.2">
      <c r="A1753" t="s">
        <v>1729</v>
      </c>
      <c r="B1753" t="s">
        <v>1</v>
      </c>
    </row>
    <row r="1754" spans="1:2" x14ac:dyDescent="0.2">
      <c r="A1754" t="s">
        <v>1730</v>
      </c>
      <c r="B1754" t="s">
        <v>1</v>
      </c>
    </row>
    <row r="1755" spans="1:2" x14ac:dyDescent="0.2">
      <c r="A1755" t="s">
        <v>1731</v>
      </c>
      <c r="B1755" t="s">
        <v>1</v>
      </c>
    </row>
    <row r="1756" spans="1:2" x14ac:dyDescent="0.2">
      <c r="A1756" t="s">
        <v>1732</v>
      </c>
      <c r="B1756" t="s">
        <v>1</v>
      </c>
    </row>
    <row r="1757" spans="1:2" x14ac:dyDescent="0.2">
      <c r="A1757" t="s">
        <v>1733</v>
      </c>
      <c r="B1757" t="s">
        <v>1</v>
      </c>
    </row>
    <row r="1758" spans="1:2" x14ac:dyDescent="0.2">
      <c r="A1758" t="s">
        <v>1734</v>
      </c>
      <c r="B1758" t="s">
        <v>1</v>
      </c>
    </row>
    <row r="1759" spans="1:2" x14ac:dyDescent="0.2">
      <c r="A1759" t="s">
        <v>1735</v>
      </c>
      <c r="B1759" t="s">
        <v>1</v>
      </c>
    </row>
    <row r="1760" spans="1:2" x14ac:dyDescent="0.2">
      <c r="A1760" t="s">
        <v>1736</v>
      </c>
      <c r="B1760" t="s">
        <v>1</v>
      </c>
    </row>
    <row r="1761" spans="1:2" x14ac:dyDescent="0.2">
      <c r="A1761" t="s">
        <v>1737</v>
      </c>
      <c r="B1761" t="s">
        <v>1</v>
      </c>
    </row>
    <row r="1762" spans="1:2" x14ac:dyDescent="0.2">
      <c r="A1762" t="s">
        <v>1738</v>
      </c>
      <c r="B1762" t="s">
        <v>1</v>
      </c>
    </row>
    <row r="1763" spans="1:2" x14ac:dyDescent="0.2">
      <c r="A1763" t="s">
        <v>1739</v>
      </c>
      <c r="B1763" t="s">
        <v>1</v>
      </c>
    </row>
    <row r="1764" spans="1:2" x14ac:dyDescent="0.2">
      <c r="A1764" t="s">
        <v>1740</v>
      </c>
      <c r="B1764" t="s">
        <v>1</v>
      </c>
    </row>
    <row r="1765" spans="1:2" x14ac:dyDescent="0.2">
      <c r="A1765" t="s">
        <v>1741</v>
      </c>
      <c r="B1765" t="s">
        <v>1</v>
      </c>
    </row>
    <row r="1766" spans="1:2" x14ac:dyDescent="0.2">
      <c r="A1766" t="s">
        <v>1742</v>
      </c>
      <c r="B1766" t="s">
        <v>1</v>
      </c>
    </row>
    <row r="1767" spans="1:2" x14ac:dyDescent="0.2">
      <c r="A1767" t="s">
        <v>1743</v>
      </c>
      <c r="B1767" t="s">
        <v>1</v>
      </c>
    </row>
    <row r="1768" spans="1:2" x14ac:dyDescent="0.2">
      <c r="A1768" t="s">
        <v>1744</v>
      </c>
      <c r="B1768" t="s">
        <v>1</v>
      </c>
    </row>
    <row r="1769" spans="1:2" x14ac:dyDescent="0.2">
      <c r="A1769" t="s">
        <v>1745</v>
      </c>
      <c r="B1769" t="s">
        <v>1</v>
      </c>
    </row>
    <row r="1770" spans="1:2" x14ac:dyDescent="0.2">
      <c r="A1770" t="s">
        <v>1746</v>
      </c>
      <c r="B1770" t="s">
        <v>1</v>
      </c>
    </row>
    <row r="1771" spans="1:2" x14ac:dyDescent="0.2">
      <c r="A1771" t="s">
        <v>1747</v>
      </c>
      <c r="B1771" t="s">
        <v>1</v>
      </c>
    </row>
    <row r="1772" spans="1:2" x14ac:dyDescent="0.2">
      <c r="A1772" t="s">
        <v>1748</v>
      </c>
      <c r="B1772" t="s">
        <v>1</v>
      </c>
    </row>
    <row r="1773" spans="1:2" x14ac:dyDescent="0.2">
      <c r="A1773" t="s">
        <v>1749</v>
      </c>
      <c r="B1773" t="s">
        <v>1</v>
      </c>
    </row>
    <row r="1774" spans="1:2" x14ac:dyDescent="0.2">
      <c r="A1774" t="s">
        <v>1750</v>
      </c>
      <c r="B1774" t="s">
        <v>1</v>
      </c>
    </row>
    <row r="1775" spans="1:2" x14ac:dyDescent="0.2">
      <c r="A1775" t="s">
        <v>1751</v>
      </c>
      <c r="B1775" t="s">
        <v>1</v>
      </c>
    </row>
    <row r="1776" spans="1:2" x14ac:dyDescent="0.2">
      <c r="A1776" t="s">
        <v>1752</v>
      </c>
      <c r="B1776" t="s">
        <v>1</v>
      </c>
    </row>
    <row r="1777" spans="1:2" x14ac:dyDescent="0.2">
      <c r="A1777" t="s">
        <v>1753</v>
      </c>
      <c r="B1777" t="s">
        <v>1</v>
      </c>
    </row>
    <row r="1778" spans="1:2" x14ac:dyDescent="0.2">
      <c r="A1778" t="s">
        <v>1754</v>
      </c>
      <c r="B1778" t="s">
        <v>1</v>
      </c>
    </row>
    <row r="1779" spans="1:2" x14ac:dyDescent="0.2">
      <c r="A1779" t="s">
        <v>1755</v>
      </c>
      <c r="B1779" t="s">
        <v>1</v>
      </c>
    </row>
    <row r="1780" spans="1:2" x14ac:dyDescent="0.2">
      <c r="A1780" t="s">
        <v>1756</v>
      </c>
      <c r="B1780" t="s">
        <v>1</v>
      </c>
    </row>
    <row r="1781" spans="1:2" x14ac:dyDescent="0.2">
      <c r="A1781" t="s">
        <v>1757</v>
      </c>
      <c r="B1781" t="s">
        <v>1</v>
      </c>
    </row>
    <row r="1782" spans="1:2" x14ac:dyDescent="0.2">
      <c r="A1782" t="s">
        <v>1758</v>
      </c>
      <c r="B1782" t="s">
        <v>1</v>
      </c>
    </row>
    <row r="1783" spans="1:2" x14ac:dyDescent="0.2">
      <c r="A1783" t="s">
        <v>1759</v>
      </c>
      <c r="B1783" t="s">
        <v>1</v>
      </c>
    </row>
    <row r="1784" spans="1:2" x14ac:dyDescent="0.2">
      <c r="A1784" t="s">
        <v>1760</v>
      </c>
      <c r="B1784" t="s">
        <v>1</v>
      </c>
    </row>
    <row r="1785" spans="1:2" x14ac:dyDescent="0.2">
      <c r="A1785" t="s">
        <v>1761</v>
      </c>
      <c r="B1785" t="s">
        <v>1</v>
      </c>
    </row>
    <row r="1786" spans="1:2" x14ac:dyDescent="0.2">
      <c r="A1786" t="s">
        <v>1762</v>
      </c>
      <c r="B1786" t="s">
        <v>1</v>
      </c>
    </row>
    <row r="1787" spans="1:2" x14ac:dyDescent="0.2">
      <c r="A1787" t="s">
        <v>1763</v>
      </c>
      <c r="B1787" t="s">
        <v>1</v>
      </c>
    </row>
    <row r="1788" spans="1:2" x14ac:dyDescent="0.2">
      <c r="A1788" t="s">
        <v>1764</v>
      </c>
      <c r="B1788" t="s">
        <v>1</v>
      </c>
    </row>
    <row r="1789" spans="1:2" x14ac:dyDescent="0.2">
      <c r="A1789" t="s">
        <v>1765</v>
      </c>
      <c r="B1789" t="s">
        <v>1</v>
      </c>
    </row>
    <row r="1790" spans="1:2" x14ac:dyDescent="0.2">
      <c r="A1790" t="s">
        <v>1766</v>
      </c>
      <c r="B1790" t="s">
        <v>1</v>
      </c>
    </row>
    <row r="1791" spans="1:2" x14ac:dyDescent="0.2">
      <c r="A1791" t="s">
        <v>1767</v>
      </c>
      <c r="B1791" t="s">
        <v>1</v>
      </c>
    </row>
    <row r="1792" spans="1:2" x14ac:dyDescent="0.2">
      <c r="A1792" t="s">
        <v>1768</v>
      </c>
      <c r="B1792" t="s">
        <v>1</v>
      </c>
    </row>
    <row r="1793" spans="1:2" x14ac:dyDescent="0.2">
      <c r="A1793" t="s">
        <v>1769</v>
      </c>
      <c r="B1793" t="s">
        <v>1</v>
      </c>
    </row>
    <row r="1794" spans="1:2" x14ac:dyDescent="0.2">
      <c r="A1794" t="s">
        <v>1770</v>
      </c>
      <c r="B1794" t="s">
        <v>1</v>
      </c>
    </row>
    <row r="1795" spans="1:2" x14ac:dyDescent="0.2">
      <c r="A1795" t="s">
        <v>1771</v>
      </c>
      <c r="B1795" t="s">
        <v>1</v>
      </c>
    </row>
    <row r="1796" spans="1:2" x14ac:dyDescent="0.2">
      <c r="A1796" t="s">
        <v>1772</v>
      </c>
      <c r="B1796" t="s">
        <v>1</v>
      </c>
    </row>
    <row r="1797" spans="1:2" x14ac:dyDescent="0.2">
      <c r="A1797" t="s">
        <v>1773</v>
      </c>
      <c r="B1797" t="s">
        <v>1</v>
      </c>
    </row>
    <row r="1798" spans="1:2" x14ac:dyDescent="0.2">
      <c r="A1798" t="s">
        <v>1774</v>
      </c>
      <c r="B1798" t="s">
        <v>1</v>
      </c>
    </row>
    <row r="1799" spans="1:2" x14ac:dyDescent="0.2">
      <c r="A1799" t="s">
        <v>1775</v>
      </c>
      <c r="B1799" t="s">
        <v>1</v>
      </c>
    </row>
    <row r="1800" spans="1:2" x14ac:dyDescent="0.2">
      <c r="A1800" t="s">
        <v>1776</v>
      </c>
      <c r="B1800" t="s">
        <v>1</v>
      </c>
    </row>
    <row r="1801" spans="1:2" x14ac:dyDescent="0.2">
      <c r="A1801" t="s">
        <v>1777</v>
      </c>
      <c r="B1801" t="s">
        <v>1</v>
      </c>
    </row>
    <row r="1802" spans="1:2" x14ac:dyDescent="0.2">
      <c r="A1802" t="s">
        <v>1778</v>
      </c>
      <c r="B1802" t="s">
        <v>1</v>
      </c>
    </row>
    <row r="1803" spans="1:2" x14ac:dyDescent="0.2">
      <c r="A1803" t="s">
        <v>1779</v>
      </c>
      <c r="B1803" t="s">
        <v>1</v>
      </c>
    </row>
    <row r="1804" spans="1:2" x14ac:dyDescent="0.2">
      <c r="A1804" t="s">
        <v>1780</v>
      </c>
      <c r="B1804" t="s">
        <v>1</v>
      </c>
    </row>
    <row r="1805" spans="1:2" x14ac:dyDescent="0.2">
      <c r="A1805" t="s">
        <v>1781</v>
      </c>
      <c r="B1805" t="s">
        <v>1</v>
      </c>
    </row>
    <row r="1806" spans="1:2" x14ac:dyDescent="0.2">
      <c r="A1806" t="s">
        <v>1782</v>
      </c>
      <c r="B1806" t="s">
        <v>1</v>
      </c>
    </row>
    <row r="1807" spans="1:2" x14ac:dyDescent="0.2">
      <c r="A1807" t="s">
        <v>1783</v>
      </c>
      <c r="B1807" t="s">
        <v>1</v>
      </c>
    </row>
    <row r="1808" spans="1:2" x14ac:dyDescent="0.2">
      <c r="A1808" t="s">
        <v>1784</v>
      </c>
      <c r="B1808" t="s">
        <v>1</v>
      </c>
    </row>
    <row r="1809" spans="1:2" x14ac:dyDescent="0.2">
      <c r="A1809" t="s">
        <v>1785</v>
      </c>
      <c r="B1809" t="s">
        <v>1</v>
      </c>
    </row>
    <row r="1810" spans="1:2" x14ac:dyDescent="0.2">
      <c r="A1810" t="s">
        <v>1786</v>
      </c>
      <c r="B1810" t="s">
        <v>1</v>
      </c>
    </row>
    <row r="1811" spans="1:2" x14ac:dyDescent="0.2">
      <c r="A1811" t="s">
        <v>1787</v>
      </c>
      <c r="B1811" t="s">
        <v>1</v>
      </c>
    </row>
    <row r="1812" spans="1:2" x14ac:dyDescent="0.2">
      <c r="A1812" t="s">
        <v>1788</v>
      </c>
      <c r="B1812" t="s">
        <v>1</v>
      </c>
    </row>
    <row r="1813" spans="1:2" x14ac:dyDescent="0.2">
      <c r="A1813" t="s">
        <v>1789</v>
      </c>
      <c r="B1813" t="s">
        <v>1</v>
      </c>
    </row>
    <row r="1814" spans="1:2" x14ac:dyDescent="0.2">
      <c r="A1814" t="s">
        <v>1790</v>
      </c>
      <c r="B1814" t="s">
        <v>1</v>
      </c>
    </row>
    <row r="1815" spans="1:2" x14ac:dyDescent="0.2">
      <c r="A1815" t="s">
        <v>1791</v>
      </c>
      <c r="B1815" t="s">
        <v>1</v>
      </c>
    </row>
    <row r="1816" spans="1:2" x14ac:dyDescent="0.2">
      <c r="A1816" t="s">
        <v>1792</v>
      </c>
      <c r="B1816" t="s">
        <v>1</v>
      </c>
    </row>
    <row r="1817" spans="1:2" x14ac:dyDescent="0.2">
      <c r="A1817" t="s">
        <v>1793</v>
      </c>
      <c r="B1817" t="s">
        <v>1</v>
      </c>
    </row>
    <row r="1818" spans="1:2" x14ac:dyDescent="0.2">
      <c r="A1818" t="s">
        <v>1794</v>
      </c>
      <c r="B1818" t="s">
        <v>1</v>
      </c>
    </row>
    <row r="1819" spans="1:2" x14ac:dyDescent="0.2">
      <c r="A1819" t="s">
        <v>1795</v>
      </c>
      <c r="B1819" t="s">
        <v>1</v>
      </c>
    </row>
    <row r="1820" spans="1:2" x14ac:dyDescent="0.2">
      <c r="A1820" t="s">
        <v>1796</v>
      </c>
      <c r="B1820" t="s">
        <v>1</v>
      </c>
    </row>
    <row r="1821" spans="1:2" x14ac:dyDescent="0.2">
      <c r="A1821" t="s">
        <v>1797</v>
      </c>
      <c r="B1821" t="s">
        <v>1</v>
      </c>
    </row>
    <row r="1822" spans="1:2" x14ac:dyDescent="0.2">
      <c r="A1822" t="s">
        <v>1798</v>
      </c>
      <c r="B1822" t="s">
        <v>1</v>
      </c>
    </row>
    <row r="1823" spans="1:2" x14ac:dyDescent="0.2">
      <c r="A1823" t="s">
        <v>1799</v>
      </c>
      <c r="B1823" t="s">
        <v>1</v>
      </c>
    </row>
    <row r="1824" spans="1:2" x14ac:dyDescent="0.2">
      <c r="A1824" t="s">
        <v>1800</v>
      </c>
      <c r="B1824" t="s">
        <v>1</v>
      </c>
    </row>
    <row r="1825" spans="1:2" x14ac:dyDescent="0.2">
      <c r="A1825" t="s">
        <v>1801</v>
      </c>
      <c r="B1825" t="s">
        <v>1</v>
      </c>
    </row>
    <row r="1826" spans="1:2" x14ac:dyDescent="0.2">
      <c r="A1826" t="s">
        <v>1802</v>
      </c>
      <c r="B1826" t="s">
        <v>1</v>
      </c>
    </row>
    <row r="1827" spans="1:2" x14ac:dyDescent="0.2">
      <c r="A1827" t="s">
        <v>1803</v>
      </c>
      <c r="B1827" t="s">
        <v>1</v>
      </c>
    </row>
    <row r="1828" spans="1:2" x14ac:dyDescent="0.2">
      <c r="A1828" t="s">
        <v>1804</v>
      </c>
      <c r="B1828" t="s">
        <v>1</v>
      </c>
    </row>
    <row r="1829" spans="1:2" x14ac:dyDescent="0.2">
      <c r="A1829" t="s">
        <v>1805</v>
      </c>
      <c r="B1829" t="s">
        <v>1</v>
      </c>
    </row>
    <row r="1830" spans="1:2" x14ac:dyDescent="0.2">
      <c r="A1830" t="s">
        <v>1806</v>
      </c>
      <c r="B1830" t="s">
        <v>1</v>
      </c>
    </row>
    <row r="1831" spans="1:2" x14ac:dyDescent="0.2">
      <c r="A1831" t="s">
        <v>1807</v>
      </c>
      <c r="B1831" t="s">
        <v>1</v>
      </c>
    </row>
    <row r="1832" spans="1:2" x14ac:dyDescent="0.2">
      <c r="A1832" t="s">
        <v>1808</v>
      </c>
      <c r="B1832" t="s">
        <v>1</v>
      </c>
    </row>
    <row r="1833" spans="1:2" x14ac:dyDescent="0.2">
      <c r="A1833" t="s">
        <v>1809</v>
      </c>
      <c r="B1833" t="s">
        <v>1</v>
      </c>
    </row>
    <row r="1834" spans="1:2" x14ac:dyDescent="0.2">
      <c r="A1834" t="s">
        <v>1810</v>
      </c>
      <c r="B1834" t="s">
        <v>1</v>
      </c>
    </row>
    <row r="1835" spans="1:2" x14ac:dyDescent="0.2">
      <c r="A1835" t="s">
        <v>1811</v>
      </c>
      <c r="B1835" t="s">
        <v>1</v>
      </c>
    </row>
    <row r="1836" spans="1:2" x14ac:dyDescent="0.2">
      <c r="A1836" t="s">
        <v>1812</v>
      </c>
      <c r="B1836" t="s">
        <v>1</v>
      </c>
    </row>
    <row r="1837" spans="1:2" x14ac:dyDescent="0.2">
      <c r="A1837" t="s">
        <v>1813</v>
      </c>
      <c r="B1837" t="s">
        <v>1</v>
      </c>
    </row>
    <row r="1838" spans="1:2" x14ac:dyDescent="0.2">
      <c r="A1838" t="s">
        <v>1814</v>
      </c>
      <c r="B1838" t="s">
        <v>1</v>
      </c>
    </row>
    <row r="1839" spans="1:2" x14ac:dyDescent="0.2">
      <c r="A1839" t="s">
        <v>1815</v>
      </c>
      <c r="B1839" t="s">
        <v>1</v>
      </c>
    </row>
    <row r="1840" spans="1:2" x14ac:dyDescent="0.2">
      <c r="A1840" t="s">
        <v>1816</v>
      </c>
      <c r="B1840" t="s">
        <v>1</v>
      </c>
    </row>
    <row r="1841" spans="1:2" x14ac:dyDescent="0.2">
      <c r="A1841" t="s">
        <v>1817</v>
      </c>
      <c r="B1841" t="s">
        <v>1</v>
      </c>
    </row>
    <row r="1842" spans="1:2" x14ac:dyDescent="0.2">
      <c r="A1842" t="s">
        <v>1193</v>
      </c>
      <c r="B1842" t="s">
        <v>1</v>
      </c>
    </row>
    <row r="1843" spans="1:2" x14ac:dyDescent="0.2">
      <c r="A1843" t="s">
        <v>1818</v>
      </c>
      <c r="B1843" t="s">
        <v>1</v>
      </c>
    </row>
    <row r="1844" spans="1:2" x14ac:dyDescent="0.2">
      <c r="A1844" t="s">
        <v>1819</v>
      </c>
      <c r="B1844" t="s">
        <v>1</v>
      </c>
    </row>
    <row r="1845" spans="1:2" x14ac:dyDescent="0.2">
      <c r="A1845" t="s">
        <v>1820</v>
      </c>
      <c r="B1845" t="s">
        <v>1</v>
      </c>
    </row>
    <row r="1846" spans="1:2" x14ac:dyDescent="0.2">
      <c r="A1846" t="s">
        <v>1821</v>
      </c>
      <c r="B1846" t="s">
        <v>1</v>
      </c>
    </row>
    <row r="1847" spans="1:2" x14ac:dyDescent="0.2">
      <c r="A1847" t="s">
        <v>1822</v>
      </c>
      <c r="B1847" t="s">
        <v>1</v>
      </c>
    </row>
    <row r="1848" spans="1:2" x14ac:dyDescent="0.2">
      <c r="A1848" t="s">
        <v>1823</v>
      </c>
      <c r="B1848" t="s">
        <v>1</v>
      </c>
    </row>
    <row r="1849" spans="1:2" x14ac:dyDescent="0.2">
      <c r="A1849" t="s">
        <v>1824</v>
      </c>
      <c r="B1849" t="s">
        <v>1</v>
      </c>
    </row>
    <row r="1850" spans="1:2" x14ac:dyDescent="0.2">
      <c r="A1850" t="s">
        <v>1825</v>
      </c>
      <c r="B1850" t="s">
        <v>1</v>
      </c>
    </row>
    <row r="1851" spans="1:2" x14ac:dyDescent="0.2">
      <c r="A1851" t="s">
        <v>1826</v>
      </c>
      <c r="B1851" t="s">
        <v>1</v>
      </c>
    </row>
    <row r="1852" spans="1:2" x14ac:dyDescent="0.2">
      <c r="A1852" t="s">
        <v>1827</v>
      </c>
      <c r="B1852" t="s">
        <v>1</v>
      </c>
    </row>
    <row r="1853" spans="1:2" x14ac:dyDescent="0.2">
      <c r="A1853" t="s">
        <v>1828</v>
      </c>
      <c r="B1853" t="s">
        <v>1</v>
      </c>
    </row>
    <row r="1854" spans="1:2" x14ac:dyDescent="0.2">
      <c r="A1854" t="s">
        <v>1829</v>
      </c>
      <c r="B1854" t="s">
        <v>1</v>
      </c>
    </row>
    <row r="1855" spans="1:2" x14ac:dyDescent="0.2">
      <c r="A1855" t="s">
        <v>1830</v>
      </c>
      <c r="B1855" t="s">
        <v>1</v>
      </c>
    </row>
    <row r="1856" spans="1:2" x14ac:dyDescent="0.2">
      <c r="A1856" t="s">
        <v>1831</v>
      </c>
      <c r="B1856" t="s">
        <v>1</v>
      </c>
    </row>
    <row r="1857" spans="1:2" x14ac:dyDescent="0.2">
      <c r="A1857" t="s">
        <v>1832</v>
      </c>
      <c r="B1857" t="s">
        <v>1</v>
      </c>
    </row>
    <row r="1858" spans="1:2" x14ac:dyDescent="0.2">
      <c r="A1858" t="s">
        <v>1833</v>
      </c>
      <c r="B1858" t="s">
        <v>1</v>
      </c>
    </row>
    <row r="1859" spans="1:2" x14ac:dyDescent="0.2">
      <c r="A1859" t="s">
        <v>1834</v>
      </c>
      <c r="B1859" t="s">
        <v>1</v>
      </c>
    </row>
    <row r="1860" spans="1:2" x14ac:dyDescent="0.2">
      <c r="A1860" t="s">
        <v>1835</v>
      </c>
      <c r="B1860" t="s">
        <v>1</v>
      </c>
    </row>
    <row r="1861" spans="1:2" x14ac:dyDescent="0.2">
      <c r="A1861" t="s">
        <v>1836</v>
      </c>
      <c r="B1861" t="s">
        <v>1</v>
      </c>
    </row>
    <row r="1862" spans="1:2" x14ac:dyDescent="0.2">
      <c r="A1862" t="s">
        <v>1837</v>
      </c>
      <c r="B1862" t="s">
        <v>1</v>
      </c>
    </row>
    <row r="1863" spans="1:2" x14ac:dyDescent="0.2">
      <c r="A1863" t="s">
        <v>1838</v>
      </c>
      <c r="B1863" t="s">
        <v>1</v>
      </c>
    </row>
    <row r="1864" spans="1:2" x14ac:dyDescent="0.2">
      <c r="A1864" t="s">
        <v>1839</v>
      </c>
      <c r="B1864" t="s">
        <v>1</v>
      </c>
    </row>
    <row r="1865" spans="1:2" x14ac:dyDescent="0.2">
      <c r="A1865" t="s">
        <v>1840</v>
      </c>
      <c r="B1865" t="s">
        <v>1</v>
      </c>
    </row>
    <row r="1866" spans="1:2" x14ac:dyDescent="0.2">
      <c r="A1866" t="s">
        <v>1841</v>
      </c>
      <c r="B1866" t="s">
        <v>1</v>
      </c>
    </row>
    <row r="1867" spans="1:2" x14ac:dyDescent="0.2">
      <c r="A1867" t="s">
        <v>1842</v>
      </c>
      <c r="B1867" t="s">
        <v>1</v>
      </c>
    </row>
    <row r="1868" spans="1:2" x14ac:dyDescent="0.2">
      <c r="A1868" t="s">
        <v>1843</v>
      </c>
      <c r="B1868" t="s">
        <v>1</v>
      </c>
    </row>
    <row r="1869" spans="1:2" x14ac:dyDescent="0.2">
      <c r="A1869" t="s">
        <v>1844</v>
      </c>
      <c r="B1869" t="s">
        <v>1</v>
      </c>
    </row>
    <row r="1870" spans="1:2" x14ac:dyDescent="0.2">
      <c r="A1870" t="s">
        <v>1845</v>
      </c>
      <c r="B1870" t="s">
        <v>1</v>
      </c>
    </row>
    <row r="1871" spans="1:2" x14ac:dyDescent="0.2">
      <c r="A1871" t="s">
        <v>1846</v>
      </c>
      <c r="B1871" t="s">
        <v>1</v>
      </c>
    </row>
    <row r="1872" spans="1:2" x14ac:dyDescent="0.2">
      <c r="A1872" t="s">
        <v>1847</v>
      </c>
      <c r="B1872" t="s">
        <v>1</v>
      </c>
    </row>
    <row r="1873" spans="1:2" x14ac:dyDescent="0.2">
      <c r="A1873" t="s">
        <v>1848</v>
      </c>
      <c r="B1873" t="s">
        <v>1</v>
      </c>
    </row>
    <row r="1874" spans="1:2" x14ac:dyDescent="0.2">
      <c r="A1874" t="s">
        <v>1849</v>
      </c>
      <c r="B1874" t="s">
        <v>1</v>
      </c>
    </row>
    <row r="1875" spans="1:2" x14ac:dyDescent="0.2">
      <c r="A1875" t="s">
        <v>1850</v>
      </c>
      <c r="B1875" t="s">
        <v>1</v>
      </c>
    </row>
    <row r="1876" spans="1:2" x14ac:dyDescent="0.2">
      <c r="A1876" t="s">
        <v>1851</v>
      </c>
      <c r="B1876" t="s">
        <v>1</v>
      </c>
    </row>
    <row r="1877" spans="1:2" x14ac:dyDescent="0.2">
      <c r="A1877" t="s">
        <v>1852</v>
      </c>
      <c r="B1877" t="s">
        <v>1</v>
      </c>
    </row>
    <row r="1878" spans="1:2" x14ac:dyDescent="0.2">
      <c r="A1878" t="s">
        <v>1853</v>
      </c>
      <c r="B1878" t="s">
        <v>1</v>
      </c>
    </row>
    <row r="1879" spans="1:2" x14ac:dyDescent="0.2">
      <c r="A1879" t="s">
        <v>1854</v>
      </c>
      <c r="B1879" t="s">
        <v>1</v>
      </c>
    </row>
    <row r="1880" spans="1:2" x14ac:dyDescent="0.2">
      <c r="A1880" t="s">
        <v>1855</v>
      </c>
      <c r="B1880" t="s">
        <v>1</v>
      </c>
    </row>
    <row r="1881" spans="1:2" x14ac:dyDescent="0.2">
      <c r="A1881" t="s">
        <v>1856</v>
      </c>
      <c r="B1881" t="s">
        <v>1</v>
      </c>
    </row>
    <row r="1882" spans="1:2" x14ac:dyDescent="0.2">
      <c r="A1882" t="s">
        <v>1857</v>
      </c>
      <c r="B1882" t="s">
        <v>1</v>
      </c>
    </row>
    <row r="1883" spans="1:2" x14ac:dyDescent="0.2">
      <c r="A1883" t="s">
        <v>1858</v>
      </c>
      <c r="B1883" t="s">
        <v>1</v>
      </c>
    </row>
    <row r="1884" spans="1:2" x14ac:dyDescent="0.2">
      <c r="A1884" t="s">
        <v>1859</v>
      </c>
      <c r="B1884" t="s">
        <v>1</v>
      </c>
    </row>
    <row r="1885" spans="1:2" x14ac:dyDescent="0.2">
      <c r="A1885" t="s">
        <v>1860</v>
      </c>
      <c r="B1885" t="s">
        <v>1</v>
      </c>
    </row>
    <row r="1886" spans="1:2" x14ac:dyDescent="0.2">
      <c r="A1886" t="s">
        <v>1861</v>
      </c>
      <c r="B1886" t="s">
        <v>1</v>
      </c>
    </row>
    <row r="1887" spans="1:2" x14ac:dyDescent="0.2">
      <c r="A1887" t="s">
        <v>1862</v>
      </c>
      <c r="B1887" t="s">
        <v>1</v>
      </c>
    </row>
    <row r="1888" spans="1:2" x14ac:dyDescent="0.2">
      <c r="A1888" t="s">
        <v>1050</v>
      </c>
      <c r="B1888" t="s">
        <v>1</v>
      </c>
    </row>
    <row r="1889" spans="1:2" x14ac:dyDescent="0.2">
      <c r="A1889" t="s">
        <v>1863</v>
      </c>
      <c r="B1889" t="s">
        <v>1</v>
      </c>
    </row>
    <row r="1890" spans="1:2" x14ac:dyDescent="0.2">
      <c r="A1890" t="s">
        <v>1864</v>
      </c>
      <c r="B1890" t="s">
        <v>1</v>
      </c>
    </row>
    <row r="1891" spans="1:2" x14ac:dyDescent="0.2">
      <c r="A1891" t="s">
        <v>1865</v>
      </c>
      <c r="B1891" t="s">
        <v>1</v>
      </c>
    </row>
    <row r="1892" spans="1:2" x14ac:dyDescent="0.2">
      <c r="A1892" t="s">
        <v>1866</v>
      </c>
      <c r="B1892" t="s">
        <v>1</v>
      </c>
    </row>
    <row r="1893" spans="1:2" x14ac:dyDescent="0.2">
      <c r="A1893" t="s">
        <v>1867</v>
      </c>
      <c r="B1893" t="s">
        <v>1</v>
      </c>
    </row>
    <row r="1894" spans="1:2" x14ac:dyDescent="0.2">
      <c r="A1894" t="s">
        <v>1124</v>
      </c>
      <c r="B1894" t="s">
        <v>1</v>
      </c>
    </row>
    <row r="1895" spans="1:2" x14ac:dyDescent="0.2">
      <c r="A1895" t="s">
        <v>1868</v>
      </c>
      <c r="B1895" t="s">
        <v>1</v>
      </c>
    </row>
    <row r="1896" spans="1:2" x14ac:dyDescent="0.2">
      <c r="A1896" t="s">
        <v>1869</v>
      </c>
      <c r="B1896" t="s">
        <v>1</v>
      </c>
    </row>
    <row r="1897" spans="1:2" x14ac:dyDescent="0.2">
      <c r="A1897" t="s">
        <v>1870</v>
      </c>
      <c r="B1897" t="s">
        <v>1</v>
      </c>
    </row>
    <row r="1898" spans="1:2" x14ac:dyDescent="0.2">
      <c r="A1898" t="s">
        <v>1871</v>
      </c>
      <c r="B1898" t="s">
        <v>1</v>
      </c>
    </row>
    <row r="1899" spans="1:2" x14ac:dyDescent="0.2">
      <c r="A1899" t="s">
        <v>1872</v>
      </c>
      <c r="B1899" t="s">
        <v>1</v>
      </c>
    </row>
    <row r="1900" spans="1:2" x14ac:dyDescent="0.2">
      <c r="A1900" t="s">
        <v>1873</v>
      </c>
      <c r="B1900" t="s">
        <v>1</v>
      </c>
    </row>
    <row r="1901" spans="1:2" x14ac:dyDescent="0.2">
      <c r="A1901" t="s">
        <v>1874</v>
      </c>
      <c r="B1901" t="s">
        <v>1</v>
      </c>
    </row>
    <row r="1902" spans="1:2" x14ac:dyDescent="0.2">
      <c r="A1902" t="s">
        <v>1874</v>
      </c>
      <c r="B1902" t="s">
        <v>1</v>
      </c>
    </row>
    <row r="1903" spans="1:2" x14ac:dyDescent="0.2">
      <c r="A1903" t="s">
        <v>1875</v>
      </c>
      <c r="B1903" t="s">
        <v>1</v>
      </c>
    </row>
    <row r="1904" spans="1:2" x14ac:dyDescent="0.2">
      <c r="A1904" t="s">
        <v>1876</v>
      </c>
      <c r="B1904" t="s">
        <v>1</v>
      </c>
    </row>
    <row r="1905" spans="1:2" x14ac:dyDescent="0.2">
      <c r="A1905" t="s">
        <v>1877</v>
      </c>
      <c r="B1905" t="s">
        <v>1</v>
      </c>
    </row>
    <row r="1906" spans="1:2" x14ac:dyDescent="0.2">
      <c r="A1906" t="s">
        <v>1878</v>
      </c>
      <c r="B1906" t="s">
        <v>1</v>
      </c>
    </row>
    <row r="1907" spans="1:2" x14ac:dyDescent="0.2">
      <c r="A1907" t="s">
        <v>1879</v>
      </c>
      <c r="B1907" t="s">
        <v>1</v>
      </c>
    </row>
    <row r="1908" spans="1:2" x14ac:dyDescent="0.2">
      <c r="A1908" t="s">
        <v>1880</v>
      </c>
      <c r="B1908" t="s">
        <v>1</v>
      </c>
    </row>
    <row r="1909" spans="1:2" x14ac:dyDescent="0.2">
      <c r="A1909" t="s">
        <v>1881</v>
      </c>
      <c r="B1909" t="s">
        <v>1</v>
      </c>
    </row>
    <row r="1910" spans="1:2" x14ac:dyDescent="0.2">
      <c r="A1910" t="s">
        <v>1882</v>
      </c>
      <c r="B1910" t="s">
        <v>1</v>
      </c>
    </row>
    <row r="1911" spans="1:2" x14ac:dyDescent="0.2">
      <c r="A1911" t="s">
        <v>1883</v>
      </c>
      <c r="B1911" t="s">
        <v>1</v>
      </c>
    </row>
    <row r="1912" spans="1:2" x14ac:dyDescent="0.2">
      <c r="A1912" t="s">
        <v>1884</v>
      </c>
      <c r="B1912" t="s">
        <v>1</v>
      </c>
    </row>
    <row r="1913" spans="1:2" x14ac:dyDescent="0.2">
      <c r="A1913" t="s">
        <v>1885</v>
      </c>
      <c r="B1913" t="s">
        <v>1</v>
      </c>
    </row>
    <row r="1914" spans="1:2" x14ac:dyDescent="0.2">
      <c r="A1914" t="s">
        <v>1886</v>
      </c>
      <c r="B1914" t="s">
        <v>1</v>
      </c>
    </row>
    <row r="1915" spans="1:2" x14ac:dyDescent="0.2">
      <c r="A1915" t="s">
        <v>1887</v>
      </c>
      <c r="B1915" t="s">
        <v>1</v>
      </c>
    </row>
    <row r="1916" spans="1:2" x14ac:dyDescent="0.2">
      <c r="A1916" t="s">
        <v>1888</v>
      </c>
      <c r="B1916" t="s">
        <v>1</v>
      </c>
    </row>
    <row r="1917" spans="1:2" x14ac:dyDescent="0.2">
      <c r="A1917" t="s">
        <v>1889</v>
      </c>
      <c r="B1917" t="s">
        <v>1</v>
      </c>
    </row>
    <row r="1918" spans="1:2" x14ac:dyDescent="0.2">
      <c r="A1918" t="s">
        <v>1890</v>
      </c>
      <c r="B1918" t="s">
        <v>1</v>
      </c>
    </row>
    <row r="1919" spans="1:2" x14ac:dyDescent="0.2">
      <c r="A1919" t="s">
        <v>1891</v>
      </c>
      <c r="B1919" t="s">
        <v>1</v>
      </c>
    </row>
    <row r="1920" spans="1:2" x14ac:dyDescent="0.2">
      <c r="A1920" t="s">
        <v>1892</v>
      </c>
      <c r="B1920" t="s">
        <v>1</v>
      </c>
    </row>
    <row r="1921" spans="1:2" x14ac:dyDescent="0.2">
      <c r="A1921" t="s">
        <v>1893</v>
      </c>
      <c r="B1921" t="s">
        <v>1</v>
      </c>
    </row>
    <row r="1922" spans="1:2" x14ac:dyDescent="0.2">
      <c r="A1922" t="s">
        <v>1894</v>
      </c>
      <c r="B1922" t="s">
        <v>1</v>
      </c>
    </row>
    <row r="1923" spans="1:2" x14ac:dyDescent="0.2">
      <c r="A1923" t="s">
        <v>1895</v>
      </c>
      <c r="B1923" t="s">
        <v>1</v>
      </c>
    </row>
    <row r="1924" spans="1:2" x14ac:dyDescent="0.2">
      <c r="A1924" t="s">
        <v>1896</v>
      </c>
      <c r="B1924" t="s">
        <v>1</v>
      </c>
    </row>
    <row r="1925" spans="1:2" x14ac:dyDescent="0.2">
      <c r="A1925" t="s">
        <v>1897</v>
      </c>
      <c r="B1925" t="s">
        <v>1</v>
      </c>
    </row>
    <row r="1926" spans="1:2" x14ac:dyDescent="0.2">
      <c r="A1926" t="s">
        <v>1898</v>
      </c>
      <c r="B1926" t="s">
        <v>1</v>
      </c>
    </row>
    <row r="1927" spans="1:2" x14ac:dyDescent="0.2">
      <c r="A1927" t="s">
        <v>1899</v>
      </c>
      <c r="B1927" t="s">
        <v>1</v>
      </c>
    </row>
    <row r="1928" spans="1:2" x14ac:dyDescent="0.2">
      <c r="A1928" t="s">
        <v>1900</v>
      </c>
      <c r="B1928" t="s">
        <v>1</v>
      </c>
    </row>
    <row r="1929" spans="1:2" x14ac:dyDescent="0.2">
      <c r="A1929" t="s">
        <v>1901</v>
      </c>
      <c r="B1929" t="s">
        <v>1</v>
      </c>
    </row>
    <row r="1930" spans="1:2" x14ac:dyDescent="0.2">
      <c r="A1930" t="s">
        <v>1207</v>
      </c>
      <c r="B1930" t="s">
        <v>1</v>
      </c>
    </row>
    <row r="1931" spans="1:2" x14ac:dyDescent="0.2">
      <c r="A1931" t="s">
        <v>1902</v>
      </c>
      <c r="B1931" t="s">
        <v>1</v>
      </c>
    </row>
    <row r="1932" spans="1:2" x14ac:dyDescent="0.2">
      <c r="A1932" t="s">
        <v>1903</v>
      </c>
      <c r="B1932" t="s">
        <v>1</v>
      </c>
    </row>
    <row r="1933" spans="1:2" x14ac:dyDescent="0.2">
      <c r="A1933" t="s">
        <v>1904</v>
      </c>
      <c r="B1933" t="s">
        <v>1</v>
      </c>
    </row>
    <row r="1934" spans="1:2" x14ac:dyDescent="0.2">
      <c r="A1934" t="s">
        <v>1905</v>
      </c>
      <c r="B1934" t="s">
        <v>1</v>
      </c>
    </row>
    <row r="1935" spans="1:2" x14ac:dyDescent="0.2">
      <c r="A1935" t="s">
        <v>1906</v>
      </c>
      <c r="B1935" t="s">
        <v>1</v>
      </c>
    </row>
    <row r="1936" spans="1:2" x14ac:dyDescent="0.2">
      <c r="A1936" t="s">
        <v>1907</v>
      </c>
      <c r="B1936" t="s">
        <v>1</v>
      </c>
    </row>
    <row r="1937" spans="1:2" x14ac:dyDescent="0.2">
      <c r="A1937" t="s">
        <v>1908</v>
      </c>
      <c r="B1937" t="s">
        <v>1</v>
      </c>
    </row>
    <row r="1938" spans="1:2" x14ac:dyDescent="0.2">
      <c r="A1938" t="s">
        <v>1909</v>
      </c>
      <c r="B1938" t="s">
        <v>1</v>
      </c>
    </row>
    <row r="1939" spans="1:2" x14ac:dyDescent="0.2">
      <c r="A1939" t="s">
        <v>1910</v>
      </c>
      <c r="B1939" t="s">
        <v>1</v>
      </c>
    </row>
    <row r="1940" spans="1:2" x14ac:dyDescent="0.2">
      <c r="A1940" t="s">
        <v>1911</v>
      </c>
      <c r="B1940" t="s">
        <v>1</v>
      </c>
    </row>
    <row r="1941" spans="1:2" x14ac:dyDescent="0.2">
      <c r="A1941" t="s">
        <v>1912</v>
      </c>
      <c r="B1941" t="s">
        <v>1</v>
      </c>
    </row>
    <row r="1942" spans="1:2" x14ac:dyDescent="0.2">
      <c r="A1942" t="s">
        <v>1913</v>
      </c>
      <c r="B1942" t="s">
        <v>1</v>
      </c>
    </row>
    <row r="1943" spans="1:2" x14ac:dyDescent="0.2">
      <c r="A1943" t="s">
        <v>1914</v>
      </c>
      <c r="B1943" t="s">
        <v>1</v>
      </c>
    </row>
    <row r="1944" spans="1:2" x14ac:dyDescent="0.2">
      <c r="A1944" t="s">
        <v>1915</v>
      </c>
      <c r="B1944" t="s">
        <v>1</v>
      </c>
    </row>
    <row r="1945" spans="1:2" x14ac:dyDescent="0.2">
      <c r="A1945" t="s">
        <v>1916</v>
      </c>
      <c r="B1945" t="s">
        <v>1</v>
      </c>
    </row>
    <row r="1946" spans="1:2" x14ac:dyDescent="0.2">
      <c r="A1946" t="s">
        <v>1917</v>
      </c>
      <c r="B1946" t="s">
        <v>1</v>
      </c>
    </row>
    <row r="1947" spans="1:2" x14ac:dyDescent="0.2">
      <c r="A1947" t="s">
        <v>1918</v>
      </c>
      <c r="B1947" t="s">
        <v>1</v>
      </c>
    </row>
    <row r="1948" spans="1:2" x14ac:dyDescent="0.2">
      <c r="A1948" t="s">
        <v>1919</v>
      </c>
      <c r="B1948" t="s">
        <v>1</v>
      </c>
    </row>
    <row r="1949" spans="1:2" x14ac:dyDescent="0.2">
      <c r="A1949" t="s">
        <v>1920</v>
      </c>
      <c r="B1949" t="s">
        <v>1</v>
      </c>
    </row>
    <row r="1950" spans="1:2" x14ac:dyDescent="0.2">
      <c r="A1950" t="s">
        <v>1921</v>
      </c>
      <c r="B1950" t="s">
        <v>1</v>
      </c>
    </row>
    <row r="1951" spans="1:2" x14ac:dyDescent="0.2">
      <c r="A1951" t="s">
        <v>1922</v>
      </c>
      <c r="B1951" t="s">
        <v>1</v>
      </c>
    </row>
    <row r="1952" spans="1:2" x14ac:dyDescent="0.2">
      <c r="A1952" t="s">
        <v>1923</v>
      </c>
      <c r="B1952" t="s">
        <v>1</v>
      </c>
    </row>
    <row r="1953" spans="1:2" x14ac:dyDescent="0.2">
      <c r="A1953" t="s">
        <v>1924</v>
      </c>
      <c r="B1953" t="s">
        <v>1</v>
      </c>
    </row>
    <row r="1954" spans="1:2" x14ac:dyDescent="0.2">
      <c r="A1954" t="s">
        <v>1925</v>
      </c>
      <c r="B1954" t="s">
        <v>1</v>
      </c>
    </row>
    <row r="1955" spans="1:2" x14ac:dyDescent="0.2">
      <c r="A1955" t="s">
        <v>1926</v>
      </c>
      <c r="B1955" t="s">
        <v>1</v>
      </c>
    </row>
    <row r="1956" spans="1:2" x14ac:dyDescent="0.2">
      <c r="A1956" t="s">
        <v>1927</v>
      </c>
      <c r="B1956" t="s">
        <v>1</v>
      </c>
    </row>
    <row r="1957" spans="1:2" x14ac:dyDescent="0.2">
      <c r="A1957" t="s">
        <v>1928</v>
      </c>
      <c r="B1957" t="s">
        <v>1</v>
      </c>
    </row>
    <row r="1958" spans="1:2" x14ac:dyDescent="0.2">
      <c r="A1958" t="s">
        <v>1929</v>
      </c>
      <c r="B1958" t="s">
        <v>1</v>
      </c>
    </row>
    <row r="1959" spans="1:2" x14ac:dyDescent="0.2">
      <c r="A1959" t="s">
        <v>1930</v>
      </c>
      <c r="B1959" t="s">
        <v>1</v>
      </c>
    </row>
    <row r="1960" spans="1:2" x14ac:dyDescent="0.2">
      <c r="A1960" t="s">
        <v>1931</v>
      </c>
      <c r="B1960" t="s">
        <v>1</v>
      </c>
    </row>
    <row r="1961" spans="1:2" x14ac:dyDescent="0.2">
      <c r="A1961" t="s">
        <v>1932</v>
      </c>
      <c r="B1961" t="s">
        <v>1</v>
      </c>
    </row>
    <row r="1962" spans="1:2" x14ac:dyDescent="0.2">
      <c r="A1962" t="s">
        <v>1933</v>
      </c>
      <c r="B1962" t="s">
        <v>1</v>
      </c>
    </row>
    <row r="1963" spans="1:2" x14ac:dyDescent="0.2">
      <c r="A1963" t="s">
        <v>1934</v>
      </c>
      <c r="B1963" t="s">
        <v>1</v>
      </c>
    </row>
    <row r="1964" spans="1:2" x14ac:dyDescent="0.2">
      <c r="A1964" t="s">
        <v>1935</v>
      </c>
      <c r="B1964" t="s">
        <v>1</v>
      </c>
    </row>
    <row r="1965" spans="1:2" x14ac:dyDescent="0.2">
      <c r="A1965" t="s">
        <v>1936</v>
      </c>
      <c r="B1965" t="s">
        <v>1</v>
      </c>
    </row>
    <row r="1966" spans="1:2" x14ac:dyDescent="0.2">
      <c r="A1966" t="s">
        <v>1937</v>
      </c>
      <c r="B1966" t="s">
        <v>1</v>
      </c>
    </row>
    <row r="1967" spans="1:2" x14ac:dyDescent="0.2">
      <c r="A1967" t="s">
        <v>1938</v>
      </c>
      <c r="B1967" t="s">
        <v>1</v>
      </c>
    </row>
    <row r="1968" spans="1:2" x14ac:dyDescent="0.2">
      <c r="A1968" t="s">
        <v>1939</v>
      </c>
      <c r="B1968" t="s">
        <v>1</v>
      </c>
    </row>
    <row r="1969" spans="1:2" x14ac:dyDescent="0.2">
      <c r="A1969" t="s">
        <v>1940</v>
      </c>
      <c r="B1969" t="s">
        <v>1</v>
      </c>
    </row>
    <row r="1970" spans="1:2" x14ac:dyDescent="0.2">
      <c r="A1970" t="s">
        <v>1941</v>
      </c>
      <c r="B1970" t="s">
        <v>1</v>
      </c>
    </row>
    <row r="1971" spans="1:2" x14ac:dyDescent="0.2">
      <c r="A1971" t="s">
        <v>1942</v>
      </c>
      <c r="B1971" t="s">
        <v>1</v>
      </c>
    </row>
    <row r="1972" spans="1:2" x14ac:dyDescent="0.2">
      <c r="A1972" t="s">
        <v>1943</v>
      </c>
      <c r="B1972" t="s">
        <v>1</v>
      </c>
    </row>
    <row r="1973" spans="1:2" x14ac:dyDescent="0.2">
      <c r="A1973" t="s">
        <v>1944</v>
      </c>
      <c r="B1973" t="s">
        <v>1</v>
      </c>
    </row>
    <row r="1974" spans="1:2" x14ac:dyDescent="0.2">
      <c r="A1974" t="s">
        <v>1945</v>
      </c>
      <c r="B1974" t="s">
        <v>1</v>
      </c>
    </row>
    <row r="1975" spans="1:2" x14ac:dyDescent="0.2">
      <c r="A1975" t="s">
        <v>1946</v>
      </c>
      <c r="B1975" t="s">
        <v>1</v>
      </c>
    </row>
    <row r="1976" spans="1:2" x14ac:dyDescent="0.2">
      <c r="A1976" t="s">
        <v>1947</v>
      </c>
      <c r="B1976" t="s">
        <v>1</v>
      </c>
    </row>
    <row r="1977" spans="1:2" x14ac:dyDescent="0.2">
      <c r="A1977" t="s">
        <v>1948</v>
      </c>
      <c r="B1977" t="s">
        <v>1</v>
      </c>
    </row>
    <row r="1978" spans="1:2" x14ac:dyDescent="0.2">
      <c r="A1978" t="s">
        <v>1949</v>
      </c>
      <c r="B1978" t="s">
        <v>1</v>
      </c>
    </row>
    <row r="1979" spans="1:2" x14ac:dyDescent="0.2">
      <c r="A1979" t="s">
        <v>1950</v>
      </c>
      <c r="B1979" t="s">
        <v>1</v>
      </c>
    </row>
    <row r="1980" spans="1:2" x14ac:dyDescent="0.2">
      <c r="A1980" t="s">
        <v>1951</v>
      </c>
      <c r="B1980" t="s">
        <v>1</v>
      </c>
    </row>
    <row r="1981" spans="1:2" x14ac:dyDescent="0.2">
      <c r="A1981" t="s">
        <v>1952</v>
      </c>
      <c r="B1981" t="s">
        <v>1</v>
      </c>
    </row>
    <row r="1982" spans="1:2" x14ac:dyDescent="0.2">
      <c r="A1982" t="s">
        <v>1953</v>
      </c>
      <c r="B1982" t="s">
        <v>1</v>
      </c>
    </row>
    <row r="1983" spans="1:2" x14ac:dyDescent="0.2">
      <c r="A1983" t="s">
        <v>1954</v>
      </c>
      <c r="B1983" t="s">
        <v>1</v>
      </c>
    </row>
    <row r="1984" spans="1:2" x14ac:dyDescent="0.2">
      <c r="A1984" t="s">
        <v>1955</v>
      </c>
      <c r="B1984" t="s">
        <v>1</v>
      </c>
    </row>
    <row r="1985" spans="1:2" x14ac:dyDescent="0.2">
      <c r="A1985" t="s">
        <v>1956</v>
      </c>
      <c r="B1985" t="s">
        <v>1</v>
      </c>
    </row>
    <row r="1986" spans="1:2" x14ac:dyDescent="0.2">
      <c r="A1986" t="s">
        <v>1957</v>
      </c>
      <c r="B1986" t="s">
        <v>1</v>
      </c>
    </row>
    <row r="1987" spans="1:2" x14ac:dyDescent="0.2">
      <c r="A1987" t="s">
        <v>1958</v>
      </c>
      <c r="B1987" t="s">
        <v>1</v>
      </c>
    </row>
    <row r="1988" spans="1:2" x14ac:dyDescent="0.2">
      <c r="A1988" t="s">
        <v>1959</v>
      </c>
      <c r="B1988" t="s">
        <v>1</v>
      </c>
    </row>
    <row r="1989" spans="1:2" x14ac:dyDescent="0.2">
      <c r="A1989" t="s">
        <v>1960</v>
      </c>
      <c r="B1989" t="s">
        <v>1</v>
      </c>
    </row>
    <row r="1990" spans="1:2" x14ac:dyDescent="0.2">
      <c r="A1990" t="s">
        <v>1961</v>
      </c>
      <c r="B1990" t="s">
        <v>1</v>
      </c>
    </row>
    <row r="1991" spans="1:2" x14ac:dyDescent="0.2">
      <c r="A1991" t="s">
        <v>1962</v>
      </c>
      <c r="B1991" t="s">
        <v>1</v>
      </c>
    </row>
    <row r="1992" spans="1:2" x14ac:dyDescent="0.2">
      <c r="A1992" t="s">
        <v>1963</v>
      </c>
      <c r="B1992" t="s">
        <v>1</v>
      </c>
    </row>
    <row r="1993" spans="1:2" x14ac:dyDescent="0.2">
      <c r="A1993" t="s">
        <v>1964</v>
      </c>
      <c r="B1993" t="s">
        <v>1</v>
      </c>
    </row>
    <row r="1994" spans="1:2" x14ac:dyDescent="0.2">
      <c r="A1994" t="s">
        <v>1965</v>
      </c>
      <c r="B1994" t="s">
        <v>1</v>
      </c>
    </row>
    <row r="1995" spans="1:2" x14ac:dyDescent="0.2">
      <c r="A1995" t="s">
        <v>1966</v>
      </c>
      <c r="B1995" t="s">
        <v>1</v>
      </c>
    </row>
    <row r="1996" spans="1:2" x14ac:dyDescent="0.2">
      <c r="A1996" t="s">
        <v>1967</v>
      </c>
      <c r="B1996" t="s">
        <v>1</v>
      </c>
    </row>
    <row r="1997" spans="1:2" x14ac:dyDescent="0.2">
      <c r="A1997" t="s">
        <v>1968</v>
      </c>
      <c r="B1997" t="s">
        <v>1</v>
      </c>
    </row>
    <row r="1998" spans="1:2" x14ac:dyDescent="0.2">
      <c r="A1998" t="s">
        <v>1969</v>
      </c>
      <c r="B1998" t="s">
        <v>1</v>
      </c>
    </row>
    <row r="1999" spans="1:2" x14ac:dyDescent="0.2">
      <c r="A1999" t="s">
        <v>1970</v>
      </c>
      <c r="B1999" t="s">
        <v>1</v>
      </c>
    </row>
    <row r="2000" spans="1:2" x14ac:dyDescent="0.2">
      <c r="A2000" t="s">
        <v>1971</v>
      </c>
      <c r="B2000" t="s">
        <v>1</v>
      </c>
    </row>
    <row r="2001" spans="1:2" x14ac:dyDescent="0.2">
      <c r="A2001" t="s">
        <v>1972</v>
      </c>
      <c r="B2001" t="s">
        <v>1</v>
      </c>
    </row>
    <row r="2002" spans="1:2" x14ac:dyDescent="0.2">
      <c r="A2002" t="s">
        <v>1973</v>
      </c>
      <c r="B2002" t="s">
        <v>1</v>
      </c>
    </row>
    <row r="2003" spans="1:2" x14ac:dyDescent="0.2">
      <c r="A2003" t="s">
        <v>1974</v>
      </c>
      <c r="B2003" t="s">
        <v>1</v>
      </c>
    </row>
    <row r="2004" spans="1:2" x14ac:dyDescent="0.2">
      <c r="A2004" t="s">
        <v>1975</v>
      </c>
      <c r="B2004" t="s">
        <v>1</v>
      </c>
    </row>
    <row r="2005" spans="1:2" x14ac:dyDescent="0.2">
      <c r="A2005" t="s">
        <v>1976</v>
      </c>
      <c r="B2005" t="s">
        <v>1</v>
      </c>
    </row>
    <row r="2006" spans="1:2" x14ac:dyDescent="0.2">
      <c r="A2006" t="s">
        <v>1977</v>
      </c>
      <c r="B2006" t="s">
        <v>1</v>
      </c>
    </row>
    <row r="2007" spans="1:2" x14ac:dyDescent="0.2">
      <c r="A2007" t="s">
        <v>1978</v>
      </c>
      <c r="B2007" t="s">
        <v>1</v>
      </c>
    </row>
    <row r="2008" spans="1:2" x14ac:dyDescent="0.2">
      <c r="A2008" t="s">
        <v>1979</v>
      </c>
      <c r="B2008" t="s">
        <v>1</v>
      </c>
    </row>
    <row r="2009" spans="1:2" x14ac:dyDescent="0.2">
      <c r="A2009" t="s">
        <v>1980</v>
      </c>
      <c r="B2009" t="s">
        <v>1</v>
      </c>
    </row>
    <row r="2010" spans="1:2" x14ac:dyDescent="0.2">
      <c r="A2010" t="s">
        <v>1981</v>
      </c>
      <c r="B2010" t="s">
        <v>1</v>
      </c>
    </row>
    <row r="2011" spans="1:2" x14ac:dyDescent="0.2">
      <c r="A2011" t="s">
        <v>1982</v>
      </c>
      <c r="B2011" t="s">
        <v>1</v>
      </c>
    </row>
    <row r="2012" spans="1:2" x14ac:dyDescent="0.2">
      <c r="A2012" t="s">
        <v>1983</v>
      </c>
      <c r="B2012" t="s">
        <v>1</v>
      </c>
    </row>
    <row r="2013" spans="1:2" x14ac:dyDescent="0.2">
      <c r="A2013" t="s">
        <v>1984</v>
      </c>
      <c r="B2013" t="s">
        <v>1</v>
      </c>
    </row>
    <row r="2014" spans="1:2" x14ac:dyDescent="0.2">
      <c r="A2014" t="s">
        <v>1985</v>
      </c>
      <c r="B2014" t="s">
        <v>1</v>
      </c>
    </row>
    <row r="2015" spans="1:2" x14ac:dyDescent="0.2">
      <c r="A2015" t="s">
        <v>1986</v>
      </c>
      <c r="B2015" t="s">
        <v>1</v>
      </c>
    </row>
    <row r="2016" spans="1:2" x14ac:dyDescent="0.2">
      <c r="A2016" t="s">
        <v>1987</v>
      </c>
      <c r="B2016" t="s">
        <v>1</v>
      </c>
    </row>
    <row r="2017" spans="1:2" x14ac:dyDescent="0.2">
      <c r="A2017" t="s">
        <v>1988</v>
      </c>
      <c r="B2017" t="s">
        <v>1</v>
      </c>
    </row>
    <row r="2018" spans="1:2" x14ac:dyDescent="0.2">
      <c r="A2018" t="s">
        <v>1989</v>
      </c>
      <c r="B2018" t="s">
        <v>1</v>
      </c>
    </row>
    <row r="2019" spans="1:2" x14ac:dyDescent="0.2">
      <c r="A2019" t="s">
        <v>1990</v>
      </c>
      <c r="B2019" t="s">
        <v>1</v>
      </c>
    </row>
    <row r="2020" spans="1:2" x14ac:dyDescent="0.2">
      <c r="A2020" t="s">
        <v>1991</v>
      </c>
      <c r="B2020" t="s">
        <v>1</v>
      </c>
    </row>
    <row r="2021" spans="1:2" x14ac:dyDescent="0.2">
      <c r="A2021" t="s">
        <v>1992</v>
      </c>
      <c r="B2021" t="s">
        <v>1</v>
      </c>
    </row>
    <row r="2022" spans="1:2" x14ac:dyDescent="0.2">
      <c r="A2022" t="s">
        <v>1993</v>
      </c>
      <c r="B2022" t="s">
        <v>1</v>
      </c>
    </row>
    <row r="2023" spans="1:2" x14ac:dyDescent="0.2">
      <c r="A2023" t="s">
        <v>1994</v>
      </c>
      <c r="B2023" t="s">
        <v>1</v>
      </c>
    </row>
    <row r="2024" spans="1:2" x14ac:dyDescent="0.2">
      <c r="A2024" t="s">
        <v>1995</v>
      </c>
      <c r="B2024" t="s">
        <v>1</v>
      </c>
    </row>
    <row r="2025" spans="1:2" x14ac:dyDescent="0.2">
      <c r="A2025" t="s">
        <v>1996</v>
      </c>
      <c r="B2025" t="s">
        <v>1</v>
      </c>
    </row>
    <row r="2026" spans="1:2" x14ac:dyDescent="0.2">
      <c r="A2026" t="s">
        <v>1997</v>
      </c>
      <c r="B2026" t="s">
        <v>1</v>
      </c>
    </row>
    <row r="2027" spans="1:2" x14ac:dyDescent="0.2">
      <c r="A2027" t="s">
        <v>1998</v>
      </c>
      <c r="B2027" t="s">
        <v>1</v>
      </c>
    </row>
    <row r="2028" spans="1:2" x14ac:dyDescent="0.2">
      <c r="A2028" t="s">
        <v>1999</v>
      </c>
      <c r="B2028" t="s">
        <v>1</v>
      </c>
    </row>
    <row r="2029" spans="1:2" x14ac:dyDescent="0.2">
      <c r="A2029" t="s">
        <v>2000</v>
      </c>
      <c r="B2029" t="s">
        <v>1</v>
      </c>
    </row>
    <row r="2030" spans="1:2" x14ac:dyDescent="0.2">
      <c r="A2030" t="s">
        <v>2001</v>
      </c>
      <c r="B2030" t="s">
        <v>1</v>
      </c>
    </row>
    <row r="2031" spans="1:2" x14ac:dyDescent="0.2">
      <c r="A2031" t="s">
        <v>2002</v>
      </c>
      <c r="B2031" t="s">
        <v>1</v>
      </c>
    </row>
    <row r="2032" spans="1:2" x14ac:dyDescent="0.2">
      <c r="A2032" t="s">
        <v>2003</v>
      </c>
      <c r="B2032" t="s">
        <v>1</v>
      </c>
    </row>
    <row r="2033" spans="1:2" x14ac:dyDescent="0.2">
      <c r="A2033" t="s">
        <v>2004</v>
      </c>
      <c r="B2033" t="s">
        <v>1</v>
      </c>
    </row>
    <row r="2034" spans="1:2" x14ac:dyDescent="0.2">
      <c r="A2034" t="s">
        <v>2005</v>
      </c>
      <c r="B2034" t="s">
        <v>1</v>
      </c>
    </row>
    <row r="2035" spans="1:2" x14ac:dyDescent="0.2">
      <c r="A2035" t="s">
        <v>2006</v>
      </c>
      <c r="B2035" t="s">
        <v>1</v>
      </c>
    </row>
    <row r="2036" spans="1:2" x14ac:dyDescent="0.2">
      <c r="A2036" t="s">
        <v>2007</v>
      </c>
      <c r="B2036" t="s">
        <v>1</v>
      </c>
    </row>
    <row r="2037" spans="1:2" x14ac:dyDescent="0.2">
      <c r="A2037" t="s">
        <v>2008</v>
      </c>
      <c r="B2037" t="s">
        <v>1</v>
      </c>
    </row>
    <row r="2038" spans="1:2" x14ac:dyDescent="0.2">
      <c r="A2038" t="s">
        <v>2009</v>
      </c>
      <c r="B2038" t="s">
        <v>1</v>
      </c>
    </row>
    <row r="2039" spans="1:2" x14ac:dyDescent="0.2">
      <c r="A2039" t="s">
        <v>2010</v>
      </c>
      <c r="B2039" t="s">
        <v>1</v>
      </c>
    </row>
    <row r="2040" spans="1:2" x14ac:dyDescent="0.2">
      <c r="A2040" t="s">
        <v>2011</v>
      </c>
      <c r="B2040" t="s">
        <v>1</v>
      </c>
    </row>
    <row r="2041" spans="1:2" x14ac:dyDescent="0.2">
      <c r="A2041" t="s">
        <v>2012</v>
      </c>
      <c r="B2041" t="s">
        <v>1</v>
      </c>
    </row>
    <row r="2042" spans="1:2" x14ac:dyDescent="0.2">
      <c r="A2042" t="s">
        <v>2013</v>
      </c>
      <c r="B2042" t="s">
        <v>1</v>
      </c>
    </row>
    <row r="2043" spans="1:2" x14ac:dyDescent="0.2">
      <c r="A2043" t="s">
        <v>2014</v>
      </c>
      <c r="B2043" t="s">
        <v>1</v>
      </c>
    </row>
    <row r="2044" spans="1:2" x14ac:dyDescent="0.2">
      <c r="A2044" t="s">
        <v>2015</v>
      </c>
      <c r="B2044" t="s">
        <v>1</v>
      </c>
    </row>
    <row r="2045" spans="1:2" x14ac:dyDescent="0.2">
      <c r="A2045" t="s">
        <v>2016</v>
      </c>
      <c r="B2045" t="s">
        <v>1</v>
      </c>
    </row>
    <row r="2046" spans="1:2" x14ac:dyDescent="0.2">
      <c r="A2046" t="s">
        <v>2017</v>
      </c>
      <c r="B2046" t="s">
        <v>1</v>
      </c>
    </row>
    <row r="2047" spans="1:2" x14ac:dyDescent="0.2">
      <c r="A2047" t="s">
        <v>2018</v>
      </c>
      <c r="B2047" t="s">
        <v>1</v>
      </c>
    </row>
    <row r="2048" spans="1:2" x14ac:dyDescent="0.2">
      <c r="A2048" t="s">
        <v>2019</v>
      </c>
      <c r="B2048" t="s">
        <v>1</v>
      </c>
    </row>
    <row r="2049" spans="1:2" x14ac:dyDescent="0.2">
      <c r="A2049" t="s">
        <v>2020</v>
      </c>
      <c r="B2049" t="s">
        <v>1</v>
      </c>
    </row>
    <row r="2050" spans="1:2" x14ac:dyDescent="0.2">
      <c r="A2050" t="s">
        <v>2021</v>
      </c>
      <c r="B2050" t="s">
        <v>1</v>
      </c>
    </row>
    <row r="2051" spans="1:2" x14ac:dyDescent="0.2">
      <c r="A2051" t="s">
        <v>2022</v>
      </c>
      <c r="B2051" t="s">
        <v>1</v>
      </c>
    </row>
    <row r="2052" spans="1:2" x14ac:dyDescent="0.2">
      <c r="A2052" t="s">
        <v>2023</v>
      </c>
      <c r="B2052" t="s">
        <v>1</v>
      </c>
    </row>
    <row r="2053" spans="1:2" x14ac:dyDescent="0.2">
      <c r="A2053" t="s">
        <v>2024</v>
      </c>
      <c r="B2053" t="s">
        <v>1</v>
      </c>
    </row>
    <row r="2054" spans="1:2" x14ac:dyDescent="0.2">
      <c r="A2054" t="s">
        <v>1313</v>
      </c>
      <c r="B2054" t="s">
        <v>1</v>
      </c>
    </row>
    <row r="2055" spans="1:2" x14ac:dyDescent="0.2">
      <c r="A2055" t="s">
        <v>2025</v>
      </c>
      <c r="B2055" t="s">
        <v>1</v>
      </c>
    </row>
    <row r="2056" spans="1:2" x14ac:dyDescent="0.2">
      <c r="A2056" t="s">
        <v>2026</v>
      </c>
      <c r="B2056" t="s">
        <v>1</v>
      </c>
    </row>
    <row r="2057" spans="1:2" x14ac:dyDescent="0.2">
      <c r="A2057" t="s">
        <v>2027</v>
      </c>
      <c r="B2057" t="s">
        <v>1</v>
      </c>
    </row>
    <row r="2058" spans="1:2" x14ac:dyDescent="0.2">
      <c r="A2058" t="s">
        <v>2028</v>
      </c>
      <c r="B2058" t="s">
        <v>1</v>
      </c>
    </row>
    <row r="2059" spans="1:2" x14ac:dyDescent="0.2">
      <c r="A2059" t="s">
        <v>2029</v>
      </c>
      <c r="B2059" t="s">
        <v>1</v>
      </c>
    </row>
    <row r="2060" spans="1:2" x14ac:dyDescent="0.2">
      <c r="A2060" t="s">
        <v>2030</v>
      </c>
      <c r="B2060" t="s">
        <v>1</v>
      </c>
    </row>
    <row r="2061" spans="1:2" x14ac:dyDescent="0.2">
      <c r="A2061" t="s">
        <v>2031</v>
      </c>
      <c r="B2061" t="s">
        <v>1</v>
      </c>
    </row>
    <row r="2062" spans="1:2" x14ac:dyDescent="0.2">
      <c r="A2062" t="s">
        <v>2032</v>
      </c>
      <c r="B2062" t="s">
        <v>1</v>
      </c>
    </row>
    <row r="2063" spans="1:2" x14ac:dyDescent="0.2">
      <c r="A2063" t="s">
        <v>2033</v>
      </c>
      <c r="B2063" t="s">
        <v>1</v>
      </c>
    </row>
    <row r="2064" spans="1:2" x14ac:dyDescent="0.2">
      <c r="A2064" t="s">
        <v>2034</v>
      </c>
      <c r="B2064" t="s">
        <v>1</v>
      </c>
    </row>
    <row r="2065" spans="1:2" x14ac:dyDescent="0.2">
      <c r="A2065" t="s">
        <v>2035</v>
      </c>
      <c r="B2065" t="s">
        <v>1</v>
      </c>
    </row>
    <row r="2066" spans="1:2" x14ac:dyDescent="0.2">
      <c r="A2066" t="s">
        <v>2036</v>
      </c>
      <c r="B2066" t="s">
        <v>1</v>
      </c>
    </row>
    <row r="2067" spans="1:2" x14ac:dyDescent="0.2">
      <c r="A2067" t="s">
        <v>2037</v>
      </c>
      <c r="B2067" t="s">
        <v>1</v>
      </c>
    </row>
    <row r="2068" spans="1:2" x14ac:dyDescent="0.2">
      <c r="A2068" t="s">
        <v>2038</v>
      </c>
      <c r="B2068" t="s">
        <v>1</v>
      </c>
    </row>
    <row r="2069" spans="1:2" x14ac:dyDescent="0.2">
      <c r="A2069" t="s">
        <v>2039</v>
      </c>
      <c r="B2069" t="s">
        <v>1</v>
      </c>
    </row>
    <row r="2070" spans="1:2" x14ac:dyDescent="0.2">
      <c r="A2070" t="s">
        <v>2040</v>
      </c>
      <c r="B2070" t="s">
        <v>1</v>
      </c>
    </row>
    <row r="2071" spans="1:2" x14ac:dyDescent="0.2">
      <c r="A2071" t="s">
        <v>2041</v>
      </c>
      <c r="B2071" t="s">
        <v>1</v>
      </c>
    </row>
    <row r="2072" spans="1:2" x14ac:dyDescent="0.2">
      <c r="A2072" t="s">
        <v>2042</v>
      </c>
      <c r="B2072" t="s">
        <v>1</v>
      </c>
    </row>
    <row r="2073" spans="1:2" x14ac:dyDescent="0.2">
      <c r="A2073" t="s">
        <v>2043</v>
      </c>
      <c r="B2073" t="s">
        <v>1</v>
      </c>
    </row>
    <row r="2074" spans="1:2" x14ac:dyDescent="0.2">
      <c r="A2074" t="s">
        <v>2044</v>
      </c>
      <c r="B2074" t="s">
        <v>1</v>
      </c>
    </row>
    <row r="2075" spans="1:2" x14ac:dyDescent="0.2">
      <c r="A2075" t="s">
        <v>2045</v>
      </c>
      <c r="B2075" t="s">
        <v>1</v>
      </c>
    </row>
    <row r="2076" spans="1:2" x14ac:dyDescent="0.2">
      <c r="A2076" t="s">
        <v>2046</v>
      </c>
      <c r="B2076" t="s">
        <v>1</v>
      </c>
    </row>
    <row r="2077" spans="1:2" x14ac:dyDescent="0.2">
      <c r="A2077" t="s">
        <v>2047</v>
      </c>
      <c r="B2077" t="s">
        <v>1</v>
      </c>
    </row>
    <row r="2078" spans="1:2" x14ac:dyDescent="0.2">
      <c r="A2078" t="s">
        <v>2048</v>
      </c>
      <c r="B2078" t="s">
        <v>1</v>
      </c>
    </row>
    <row r="2079" spans="1:2" x14ac:dyDescent="0.2">
      <c r="A2079" t="s">
        <v>2049</v>
      </c>
      <c r="B2079" t="s">
        <v>1</v>
      </c>
    </row>
    <row r="2080" spans="1:2" x14ac:dyDescent="0.2">
      <c r="A2080" t="s">
        <v>2050</v>
      </c>
      <c r="B2080" t="s">
        <v>1</v>
      </c>
    </row>
    <row r="2081" spans="1:2" x14ac:dyDescent="0.2">
      <c r="A2081" t="s">
        <v>1499</v>
      </c>
      <c r="B2081" t="s">
        <v>1</v>
      </c>
    </row>
    <row r="2082" spans="1:2" x14ac:dyDescent="0.2">
      <c r="A2082" t="s">
        <v>2051</v>
      </c>
      <c r="B2082" t="s">
        <v>1</v>
      </c>
    </row>
    <row r="2083" spans="1:2" x14ac:dyDescent="0.2">
      <c r="A2083" t="s">
        <v>2052</v>
      </c>
      <c r="B2083" t="s">
        <v>1</v>
      </c>
    </row>
    <row r="2084" spans="1:2" x14ac:dyDescent="0.2">
      <c r="A2084" t="s">
        <v>2053</v>
      </c>
      <c r="B2084" t="s">
        <v>1</v>
      </c>
    </row>
    <row r="2085" spans="1:2" x14ac:dyDescent="0.2">
      <c r="A2085" t="s">
        <v>2054</v>
      </c>
      <c r="B2085" t="s">
        <v>1</v>
      </c>
    </row>
    <row r="2086" spans="1:2" x14ac:dyDescent="0.2">
      <c r="A2086" t="s">
        <v>2055</v>
      </c>
      <c r="B2086" t="s">
        <v>1</v>
      </c>
    </row>
    <row r="2087" spans="1:2" x14ac:dyDescent="0.2">
      <c r="A2087" t="s">
        <v>2056</v>
      </c>
      <c r="B2087" t="s">
        <v>1</v>
      </c>
    </row>
    <row r="2088" spans="1:2" x14ac:dyDescent="0.2">
      <c r="A2088" t="s">
        <v>2057</v>
      </c>
      <c r="B2088" t="s">
        <v>1</v>
      </c>
    </row>
    <row r="2089" spans="1:2" x14ac:dyDescent="0.2">
      <c r="A2089" t="s">
        <v>2058</v>
      </c>
      <c r="B2089" t="s">
        <v>1</v>
      </c>
    </row>
    <row r="2090" spans="1:2" x14ac:dyDescent="0.2">
      <c r="A2090" t="s">
        <v>2059</v>
      </c>
      <c r="B2090" t="s">
        <v>1</v>
      </c>
    </row>
    <row r="2091" spans="1:2" x14ac:dyDescent="0.2">
      <c r="A2091" t="s">
        <v>2060</v>
      </c>
      <c r="B2091" t="s">
        <v>1</v>
      </c>
    </row>
    <row r="2092" spans="1:2" x14ac:dyDescent="0.2">
      <c r="A2092" t="s">
        <v>2061</v>
      </c>
      <c r="B2092" t="s">
        <v>1</v>
      </c>
    </row>
    <row r="2093" spans="1:2" x14ac:dyDescent="0.2">
      <c r="A2093" t="s">
        <v>2062</v>
      </c>
      <c r="B2093" t="s">
        <v>1</v>
      </c>
    </row>
    <row r="2094" spans="1:2" x14ac:dyDescent="0.2">
      <c r="A2094" t="s">
        <v>1507</v>
      </c>
      <c r="B2094" t="s">
        <v>1</v>
      </c>
    </row>
    <row r="2095" spans="1:2" x14ac:dyDescent="0.2">
      <c r="A2095" t="s">
        <v>2063</v>
      </c>
      <c r="B2095" t="s">
        <v>1</v>
      </c>
    </row>
    <row r="2096" spans="1:2" x14ac:dyDescent="0.2">
      <c r="A2096" t="s">
        <v>2064</v>
      </c>
      <c r="B2096" t="s">
        <v>1</v>
      </c>
    </row>
    <row r="2097" spans="1:2" x14ac:dyDescent="0.2">
      <c r="A2097" t="s">
        <v>2065</v>
      </c>
      <c r="B2097" t="s">
        <v>1</v>
      </c>
    </row>
    <row r="2098" spans="1:2" x14ac:dyDescent="0.2">
      <c r="A2098" t="s">
        <v>2066</v>
      </c>
      <c r="B2098" t="s">
        <v>1</v>
      </c>
    </row>
    <row r="2099" spans="1:2" x14ac:dyDescent="0.2">
      <c r="A2099" t="s">
        <v>2067</v>
      </c>
      <c r="B2099" t="s">
        <v>1</v>
      </c>
    </row>
    <row r="2100" spans="1:2" x14ac:dyDescent="0.2">
      <c r="A2100" t="s">
        <v>2068</v>
      </c>
      <c r="B2100" t="s">
        <v>1</v>
      </c>
    </row>
    <row r="2101" spans="1:2" x14ac:dyDescent="0.2">
      <c r="A2101" t="s">
        <v>2069</v>
      </c>
      <c r="B2101" t="s">
        <v>1</v>
      </c>
    </row>
    <row r="2102" spans="1:2" x14ac:dyDescent="0.2">
      <c r="A2102" t="s">
        <v>1519</v>
      </c>
      <c r="B2102" t="s">
        <v>1</v>
      </c>
    </row>
    <row r="2103" spans="1:2" x14ac:dyDescent="0.2">
      <c r="A2103" t="s">
        <v>1521</v>
      </c>
      <c r="B2103" t="s">
        <v>1</v>
      </c>
    </row>
    <row r="2104" spans="1:2" x14ac:dyDescent="0.2">
      <c r="A2104" t="s">
        <v>2070</v>
      </c>
      <c r="B2104" t="s">
        <v>1</v>
      </c>
    </row>
    <row r="2105" spans="1:2" x14ac:dyDescent="0.2">
      <c r="A2105" t="s">
        <v>2071</v>
      </c>
      <c r="B2105" t="s">
        <v>1</v>
      </c>
    </row>
    <row r="2106" spans="1:2" x14ac:dyDescent="0.2">
      <c r="A2106" t="s">
        <v>2072</v>
      </c>
      <c r="B2106" t="s">
        <v>1</v>
      </c>
    </row>
    <row r="2107" spans="1:2" x14ac:dyDescent="0.2">
      <c r="A2107" t="s">
        <v>2073</v>
      </c>
      <c r="B2107" t="s">
        <v>1</v>
      </c>
    </row>
    <row r="2108" spans="1:2" x14ac:dyDescent="0.2">
      <c r="A2108" t="s">
        <v>2074</v>
      </c>
      <c r="B2108" t="s">
        <v>1</v>
      </c>
    </row>
    <row r="2109" spans="1:2" x14ac:dyDescent="0.2">
      <c r="A2109" t="s">
        <v>2075</v>
      </c>
      <c r="B2109" t="s">
        <v>1</v>
      </c>
    </row>
    <row r="2110" spans="1:2" x14ac:dyDescent="0.2">
      <c r="A2110" t="s">
        <v>2076</v>
      </c>
      <c r="B2110" t="s">
        <v>1</v>
      </c>
    </row>
    <row r="2111" spans="1:2" x14ac:dyDescent="0.2">
      <c r="A2111" t="s">
        <v>1533</v>
      </c>
      <c r="B2111" t="s">
        <v>1</v>
      </c>
    </row>
    <row r="2112" spans="1:2" x14ac:dyDescent="0.2">
      <c r="A2112" t="s">
        <v>2077</v>
      </c>
      <c r="B2112" t="s">
        <v>1</v>
      </c>
    </row>
    <row r="2113" spans="1:2" x14ac:dyDescent="0.2">
      <c r="A2113" t="s">
        <v>2078</v>
      </c>
      <c r="B2113" t="s">
        <v>1</v>
      </c>
    </row>
    <row r="2114" spans="1:2" x14ac:dyDescent="0.2">
      <c r="A2114" t="s">
        <v>2079</v>
      </c>
      <c r="B2114" t="s">
        <v>1</v>
      </c>
    </row>
    <row r="2115" spans="1:2" x14ac:dyDescent="0.2">
      <c r="A2115" t="s">
        <v>2080</v>
      </c>
      <c r="B2115" t="s">
        <v>1</v>
      </c>
    </row>
    <row r="2116" spans="1:2" x14ac:dyDescent="0.2">
      <c r="A2116" t="s">
        <v>2081</v>
      </c>
      <c r="B2116" t="s">
        <v>1</v>
      </c>
    </row>
    <row r="2117" spans="1:2" x14ac:dyDescent="0.2">
      <c r="A2117" t="s">
        <v>2082</v>
      </c>
      <c r="B2117" t="s">
        <v>1</v>
      </c>
    </row>
    <row r="2118" spans="1:2" x14ac:dyDescent="0.2">
      <c r="A2118" t="s">
        <v>2083</v>
      </c>
      <c r="B2118" t="s">
        <v>1</v>
      </c>
    </row>
    <row r="2119" spans="1:2" x14ac:dyDescent="0.2">
      <c r="A2119" t="s">
        <v>2084</v>
      </c>
      <c r="B2119" t="s">
        <v>1</v>
      </c>
    </row>
    <row r="2120" spans="1:2" x14ac:dyDescent="0.2">
      <c r="A2120" t="s">
        <v>2085</v>
      </c>
      <c r="B2120" t="s">
        <v>1</v>
      </c>
    </row>
    <row r="2121" spans="1:2" x14ac:dyDescent="0.2">
      <c r="A2121" t="s">
        <v>2086</v>
      </c>
      <c r="B2121" t="s">
        <v>1</v>
      </c>
    </row>
    <row r="2122" spans="1:2" x14ac:dyDescent="0.2">
      <c r="A2122" t="s">
        <v>2087</v>
      </c>
      <c r="B2122" t="s">
        <v>1</v>
      </c>
    </row>
    <row r="2123" spans="1:2" x14ac:dyDescent="0.2">
      <c r="A2123" t="s">
        <v>2088</v>
      </c>
      <c r="B2123" t="s">
        <v>1</v>
      </c>
    </row>
    <row r="2124" spans="1:2" x14ac:dyDescent="0.2">
      <c r="A2124" t="s">
        <v>2089</v>
      </c>
      <c r="B2124" t="s">
        <v>1</v>
      </c>
    </row>
    <row r="2125" spans="1:2" x14ac:dyDescent="0.2">
      <c r="A2125" t="s">
        <v>2090</v>
      </c>
      <c r="B2125" t="s">
        <v>1</v>
      </c>
    </row>
    <row r="2126" spans="1:2" x14ac:dyDescent="0.2">
      <c r="A2126" t="s">
        <v>2091</v>
      </c>
      <c r="B2126" t="s">
        <v>1</v>
      </c>
    </row>
    <row r="2127" spans="1:2" x14ac:dyDescent="0.2">
      <c r="A2127" t="s">
        <v>2092</v>
      </c>
      <c r="B2127" t="s">
        <v>1</v>
      </c>
    </row>
    <row r="2128" spans="1:2" x14ac:dyDescent="0.2">
      <c r="A2128" t="s">
        <v>2093</v>
      </c>
      <c r="B2128" t="s">
        <v>1</v>
      </c>
    </row>
    <row r="2129" spans="1:2" x14ac:dyDescent="0.2">
      <c r="A2129" t="s">
        <v>2094</v>
      </c>
      <c r="B2129" t="s">
        <v>1</v>
      </c>
    </row>
    <row r="2130" spans="1:2" x14ac:dyDescent="0.2">
      <c r="A2130" t="s">
        <v>2095</v>
      </c>
      <c r="B2130" t="s">
        <v>1</v>
      </c>
    </row>
    <row r="2131" spans="1:2" x14ac:dyDescent="0.2">
      <c r="A2131" t="s">
        <v>2096</v>
      </c>
      <c r="B2131" t="s">
        <v>1</v>
      </c>
    </row>
    <row r="2132" spans="1:2" x14ac:dyDescent="0.2">
      <c r="A2132" t="s">
        <v>2097</v>
      </c>
      <c r="B2132" t="s">
        <v>1</v>
      </c>
    </row>
    <row r="2133" spans="1:2" x14ac:dyDescent="0.2">
      <c r="A2133" t="s">
        <v>2098</v>
      </c>
      <c r="B2133" t="s">
        <v>1</v>
      </c>
    </row>
    <row r="2134" spans="1:2" x14ac:dyDescent="0.2">
      <c r="A2134" t="s">
        <v>2099</v>
      </c>
      <c r="B2134" t="s">
        <v>1</v>
      </c>
    </row>
    <row r="2135" spans="1:2" x14ac:dyDescent="0.2">
      <c r="A2135" t="s">
        <v>2100</v>
      </c>
      <c r="B2135" t="s">
        <v>1</v>
      </c>
    </row>
    <row r="2136" spans="1:2" x14ac:dyDescent="0.2">
      <c r="A2136" t="s">
        <v>2101</v>
      </c>
      <c r="B2136" t="s">
        <v>1</v>
      </c>
    </row>
    <row r="2137" spans="1:2" x14ac:dyDescent="0.2">
      <c r="A2137" t="s">
        <v>2102</v>
      </c>
      <c r="B2137" t="s">
        <v>1</v>
      </c>
    </row>
    <row r="2138" spans="1:2" x14ac:dyDescent="0.2">
      <c r="A2138" t="s">
        <v>2103</v>
      </c>
      <c r="B2138" t="s">
        <v>1</v>
      </c>
    </row>
    <row r="2139" spans="1:2" x14ac:dyDescent="0.2">
      <c r="A2139" t="s">
        <v>2104</v>
      </c>
      <c r="B2139" t="s">
        <v>1</v>
      </c>
    </row>
    <row r="2140" spans="1:2" x14ac:dyDescent="0.2">
      <c r="A2140" t="s">
        <v>2105</v>
      </c>
      <c r="B2140" t="s">
        <v>1</v>
      </c>
    </row>
    <row r="2141" spans="1:2" x14ac:dyDescent="0.2">
      <c r="A2141" t="s">
        <v>2106</v>
      </c>
      <c r="B2141" t="s">
        <v>1</v>
      </c>
    </row>
    <row r="2142" spans="1:2" x14ac:dyDescent="0.2">
      <c r="A2142" t="s">
        <v>2107</v>
      </c>
      <c r="B2142" t="s">
        <v>1</v>
      </c>
    </row>
    <row r="2143" spans="1:2" x14ac:dyDescent="0.2">
      <c r="A2143" t="s">
        <v>2108</v>
      </c>
      <c r="B2143" t="s">
        <v>1</v>
      </c>
    </row>
    <row r="2144" spans="1:2" x14ac:dyDescent="0.2">
      <c r="A2144" t="s">
        <v>1563</v>
      </c>
      <c r="B2144" t="s">
        <v>1</v>
      </c>
    </row>
    <row r="2145" spans="1:2" x14ac:dyDescent="0.2">
      <c r="A2145" t="s">
        <v>2109</v>
      </c>
      <c r="B2145" t="s">
        <v>1</v>
      </c>
    </row>
    <row r="2146" spans="1:2" x14ac:dyDescent="0.2">
      <c r="A2146" t="s">
        <v>2110</v>
      </c>
      <c r="B2146" t="s">
        <v>1</v>
      </c>
    </row>
    <row r="2147" spans="1:2" x14ac:dyDescent="0.2">
      <c r="A2147" t="s">
        <v>2111</v>
      </c>
      <c r="B2147" t="s">
        <v>1</v>
      </c>
    </row>
    <row r="2148" spans="1:2" x14ac:dyDescent="0.2">
      <c r="A2148" t="s">
        <v>2112</v>
      </c>
      <c r="B2148" t="s">
        <v>1</v>
      </c>
    </row>
    <row r="2149" spans="1:2" x14ac:dyDescent="0.2">
      <c r="A2149" t="s">
        <v>1571</v>
      </c>
      <c r="B2149" t="s">
        <v>1</v>
      </c>
    </row>
    <row r="2150" spans="1:2" x14ac:dyDescent="0.2">
      <c r="A2150" t="s">
        <v>2113</v>
      </c>
      <c r="B2150" t="s">
        <v>1</v>
      </c>
    </row>
    <row r="2151" spans="1:2" x14ac:dyDescent="0.2">
      <c r="A2151" t="s">
        <v>2114</v>
      </c>
      <c r="B2151" t="s">
        <v>1</v>
      </c>
    </row>
    <row r="2152" spans="1:2" x14ac:dyDescent="0.2">
      <c r="A2152" t="s">
        <v>2115</v>
      </c>
      <c r="B2152" t="s">
        <v>1</v>
      </c>
    </row>
    <row r="2153" spans="1:2" x14ac:dyDescent="0.2">
      <c r="A2153" t="s">
        <v>2116</v>
      </c>
      <c r="B2153" t="s">
        <v>1</v>
      </c>
    </row>
    <row r="2154" spans="1:2" x14ac:dyDescent="0.2">
      <c r="A2154" t="s">
        <v>2117</v>
      </c>
      <c r="B2154" t="s">
        <v>1</v>
      </c>
    </row>
    <row r="2155" spans="1:2" x14ac:dyDescent="0.2">
      <c r="A2155" t="s">
        <v>2115</v>
      </c>
      <c r="B2155" t="s">
        <v>1</v>
      </c>
    </row>
    <row r="2156" spans="1:2" x14ac:dyDescent="0.2">
      <c r="A2156" t="s">
        <v>2116</v>
      </c>
      <c r="B2156" t="s">
        <v>1</v>
      </c>
    </row>
    <row r="2157" spans="1:2" x14ac:dyDescent="0.2">
      <c r="A2157" t="s">
        <v>2117</v>
      </c>
      <c r="B2157" t="s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B35C2-9C61-5B4A-9E2F-CB214704BE47}">
  <sheetPr codeName="Sheet4"/>
  <dimension ref="A1:E867"/>
  <sheetViews>
    <sheetView zoomScale="140" zoomScaleNormal="140" workbookViewId="0">
      <selection activeCell="D1" sqref="D1:D1048576"/>
    </sheetView>
  </sheetViews>
  <sheetFormatPr baseColWidth="10" defaultRowHeight="16" x14ac:dyDescent="0.2"/>
  <cols>
    <col min="1" max="1" width="60.33203125" bestFit="1" customWidth="1"/>
    <col min="2" max="2" width="57.1640625" bestFit="1" customWidth="1"/>
    <col min="3" max="3" width="12.6640625" bestFit="1" customWidth="1"/>
    <col min="4" max="4" width="13" bestFit="1" customWidth="1"/>
    <col min="5" max="5" width="14.33203125" bestFit="1" customWidth="1"/>
  </cols>
  <sheetData>
    <row r="1" spans="1:5" x14ac:dyDescent="0.2">
      <c r="A1" t="s">
        <v>2982</v>
      </c>
      <c r="B1" t="s">
        <v>2984</v>
      </c>
      <c r="C1" t="s">
        <v>2985</v>
      </c>
      <c r="D1" t="s">
        <v>2986</v>
      </c>
      <c r="E1" t="s">
        <v>2990</v>
      </c>
    </row>
    <row r="2" spans="1:5" x14ac:dyDescent="0.2">
      <c r="A2" t="s">
        <v>2118</v>
      </c>
      <c r="B2" t="s">
        <v>953</v>
      </c>
      <c r="C2" t="s">
        <v>1</v>
      </c>
      <c r="D2">
        <v>0.2950819730758667</v>
      </c>
      <c r="E2" t="s">
        <v>2989</v>
      </c>
    </row>
    <row r="3" spans="1:5" x14ac:dyDescent="0.2">
      <c r="A3" t="s">
        <v>2119</v>
      </c>
      <c r="B3" t="s">
        <v>955</v>
      </c>
      <c r="C3" t="s">
        <v>1</v>
      </c>
      <c r="D3">
        <v>0.53465348482131958</v>
      </c>
      <c r="E3" t="s">
        <v>2987</v>
      </c>
    </row>
    <row r="4" spans="1:5" x14ac:dyDescent="0.2">
      <c r="A4" t="s">
        <v>2120</v>
      </c>
      <c r="B4" t="s">
        <v>470</v>
      </c>
      <c r="C4" t="s">
        <v>0</v>
      </c>
      <c r="D4">
        <v>0.57377046346664429</v>
      </c>
      <c r="E4" t="s">
        <v>2987</v>
      </c>
    </row>
    <row r="5" spans="1:5" x14ac:dyDescent="0.2">
      <c r="A5" t="s">
        <v>2121</v>
      </c>
      <c r="B5" t="s">
        <v>472</v>
      </c>
      <c r="C5" t="s">
        <v>0</v>
      </c>
      <c r="D5">
        <v>0.58620691299438477</v>
      </c>
      <c r="E5" t="s">
        <v>2987</v>
      </c>
    </row>
    <row r="6" spans="1:5" x14ac:dyDescent="0.2">
      <c r="A6" t="s">
        <v>2122</v>
      </c>
      <c r="B6" t="s">
        <v>2988</v>
      </c>
      <c r="C6" t="s">
        <v>2988</v>
      </c>
      <c r="D6">
        <v>0</v>
      </c>
      <c r="E6" t="s">
        <v>2987</v>
      </c>
    </row>
    <row r="7" spans="1:5" x14ac:dyDescent="0.2">
      <c r="A7" t="s">
        <v>2123</v>
      </c>
      <c r="B7" t="s">
        <v>2988</v>
      </c>
      <c r="C7" t="s">
        <v>2988</v>
      </c>
      <c r="D7">
        <v>0</v>
      </c>
      <c r="E7" t="s">
        <v>2987</v>
      </c>
    </row>
    <row r="8" spans="1:5" x14ac:dyDescent="0.2">
      <c r="A8" t="s">
        <v>2124</v>
      </c>
      <c r="B8" t="s">
        <v>2988</v>
      </c>
      <c r="C8" t="s">
        <v>2988</v>
      </c>
      <c r="D8">
        <v>0</v>
      </c>
      <c r="E8" t="s">
        <v>2987</v>
      </c>
    </row>
    <row r="9" spans="1:5" x14ac:dyDescent="0.2">
      <c r="A9" t="s">
        <v>2125</v>
      </c>
      <c r="B9" t="s">
        <v>2988</v>
      </c>
      <c r="C9" t="s">
        <v>2988</v>
      </c>
      <c r="D9">
        <v>0</v>
      </c>
      <c r="E9" t="s">
        <v>2987</v>
      </c>
    </row>
    <row r="10" spans="1:5" x14ac:dyDescent="0.2">
      <c r="A10" t="s">
        <v>2126</v>
      </c>
      <c r="B10" t="s">
        <v>1993</v>
      </c>
      <c r="C10" t="s">
        <v>1</v>
      </c>
      <c r="D10">
        <v>0.21951219439506531</v>
      </c>
      <c r="E10" t="s">
        <v>2989</v>
      </c>
    </row>
    <row r="11" spans="1:5" x14ac:dyDescent="0.2">
      <c r="A11" t="s">
        <v>2127</v>
      </c>
      <c r="B11" t="s">
        <v>1366</v>
      </c>
      <c r="C11" t="s">
        <v>1</v>
      </c>
      <c r="D11">
        <v>1</v>
      </c>
      <c r="E11" t="s">
        <v>2987</v>
      </c>
    </row>
    <row r="12" spans="1:5" x14ac:dyDescent="0.2">
      <c r="A12" t="s">
        <v>2128</v>
      </c>
      <c r="B12" t="s">
        <v>1368</v>
      </c>
      <c r="C12" t="s">
        <v>1</v>
      </c>
      <c r="D12">
        <v>0.40540540218353271</v>
      </c>
      <c r="E12" t="s">
        <v>2987</v>
      </c>
    </row>
    <row r="13" spans="1:5" x14ac:dyDescent="0.2">
      <c r="A13" t="s">
        <v>2129</v>
      </c>
      <c r="B13" t="s">
        <v>1368</v>
      </c>
      <c r="C13" t="s">
        <v>1</v>
      </c>
      <c r="D13">
        <v>0.3333333432674408</v>
      </c>
      <c r="E13" t="s">
        <v>2989</v>
      </c>
    </row>
    <row r="14" spans="1:5" x14ac:dyDescent="0.2">
      <c r="A14" t="s">
        <v>2130</v>
      </c>
      <c r="B14" t="s">
        <v>1370</v>
      </c>
      <c r="C14" t="s">
        <v>1</v>
      </c>
      <c r="D14">
        <v>0.40540540218353271</v>
      </c>
      <c r="E14" t="s">
        <v>2987</v>
      </c>
    </row>
    <row r="15" spans="1:5" x14ac:dyDescent="0.2">
      <c r="A15" t="s">
        <v>2131</v>
      </c>
      <c r="B15" t="s">
        <v>1370</v>
      </c>
      <c r="C15" t="s">
        <v>1</v>
      </c>
      <c r="D15">
        <v>0.3333333432674408</v>
      </c>
      <c r="E15" t="s">
        <v>2989</v>
      </c>
    </row>
    <row r="16" spans="1:5" x14ac:dyDescent="0.2">
      <c r="A16" t="s">
        <v>2132</v>
      </c>
      <c r="B16" t="s">
        <v>814</v>
      </c>
      <c r="C16" t="s">
        <v>0</v>
      </c>
      <c r="D16">
        <v>0.15384615957736969</v>
      </c>
      <c r="E16" t="s">
        <v>2989</v>
      </c>
    </row>
    <row r="17" spans="1:5" x14ac:dyDescent="0.2">
      <c r="A17" t="s">
        <v>2133</v>
      </c>
      <c r="B17" t="s">
        <v>1938</v>
      </c>
      <c r="C17" t="s">
        <v>1</v>
      </c>
      <c r="D17">
        <v>0.36000001430511475</v>
      </c>
      <c r="E17" t="s">
        <v>2989</v>
      </c>
    </row>
    <row r="18" spans="1:5" x14ac:dyDescent="0.2">
      <c r="A18" t="s">
        <v>2134</v>
      </c>
      <c r="B18" t="s">
        <v>274</v>
      </c>
      <c r="C18" t="s">
        <v>0</v>
      </c>
      <c r="D18">
        <v>0.25</v>
      </c>
      <c r="E18" t="s">
        <v>2989</v>
      </c>
    </row>
    <row r="19" spans="1:5" x14ac:dyDescent="0.2">
      <c r="A19" t="s">
        <v>2135</v>
      </c>
      <c r="B19" t="s">
        <v>1945</v>
      </c>
      <c r="C19" t="s">
        <v>1</v>
      </c>
      <c r="D19">
        <v>0.36000001430511475</v>
      </c>
      <c r="E19" t="s">
        <v>2989</v>
      </c>
    </row>
    <row r="20" spans="1:5" x14ac:dyDescent="0.2">
      <c r="A20" t="s">
        <v>2136</v>
      </c>
      <c r="B20" t="s">
        <v>2988</v>
      </c>
      <c r="C20" t="s">
        <v>2988</v>
      </c>
      <c r="D20">
        <v>0</v>
      </c>
      <c r="E20" t="s">
        <v>2987</v>
      </c>
    </row>
    <row r="21" spans="1:5" x14ac:dyDescent="0.2">
      <c r="A21" t="s">
        <v>2137</v>
      </c>
      <c r="B21" t="s">
        <v>1655</v>
      </c>
      <c r="C21" t="s">
        <v>1</v>
      </c>
      <c r="D21">
        <v>0.26086956262588501</v>
      </c>
      <c r="E21" t="s">
        <v>2989</v>
      </c>
    </row>
    <row r="22" spans="1:5" x14ac:dyDescent="0.2">
      <c r="A22" t="s">
        <v>2138</v>
      </c>
      <c r="B22" t="s">
        <v>1655</v>
      </c>
      <c r="C22" t="s">
        <v>1</v>
      </c>
      <c r="D22">
        <v>0.25531914830207825</v>
      </c>
      <c r="E22" t="s">
        <v>2989</v>
      </c>
    </row>
    <row r="23" spans="1:5" x14ac:dyDescent="0.2">
      <c r="A23" t="s">
        <v>2139</v>
      </c>
      <c r="B23" t="s">
        <v>2988</v>
      </c>
      <c r="C23" t="s">
        <v>2988</v>
      </c>
      <c r="D23">
        <v>0</v>
      </c>
      <c r="E23" t="s">
        <v>2987</v>
      </c>
    </row>
    <row r="24" spans="1:5" x14ac:dyDescent="0.2">
      <c r="A24" t="s">
        <v>2140</v>
      </c>
      <c r="B24" t="s">
        <v>2988</v>
      </c>
      <c r="C24" t="s">
        <v>2988</v>
      </c>
      <c r="D24">
        <v>0</v>
      </c>
      <c r="E24" t="s">
        <v>2987</v>
      </c>
    </row>
    <row r="25" spans="1:5" x14ac:dyDescent="0.2">
      <c r="A25" t="s">
        <v>2141</v>
      </c>
      <c r="B25" t="s">
        <v>1582</v>
      </c>
      <c r="C25" t="s">
        <v>1</v>
      </c>
      <c r="D25">
        <v>0.21875</v>
      </c>
      <c r="E25" t="s">
        <v>2989</v>
      </c>
    </row>
    <row r="26" spans="1:5" x14ac:dyDescent="0.2">
      <c r="A26" t="s">
        <v>2142</v>
      </c>
      <c r="B26" t="s">
        <v>904</v>
      </c>
      <c r="C26" t="s">
        <v>0</v>
      </c>
      <c r="D26">
        <v>0.30088496208190918</v>
      </c>
      <c r="E26" t="s">
        <v>2989</v>
      </c>
    </row>
    <row r="27" spans="1:5" x14ac:dyDescent="0.2">
      <c r="A27" t="s">
        <v>2143</v>
      </c>
      <c r="B27" t="s">
        <v>814</v>
      </c>
      <c r="C27" t="s">
        <v>0</v>
      </c>
      <c r="D27">
        <v>1</v>
      </c>
      <c r="E27" t="s">
        <v>2987</v>
      </c>
    </row>
    <row r="28" spans="1:5" x14ac:dyDescent="0.2">
      <c r="A28" t="s">
        <v>2144</v>
      </c>
      <c r="B28" t="s">
        <v>1467</v>
      </c>
      <c r="C28" t="s">
        <v>1</v>
      </c>
      <c r="D28">
        <v>1</v>
      </c>
      <c r="E28" t="s">
        <v>2987</v>
      </c>
    </row>
    <row r="29" spans="1:5" x14ac:dyDescent="0.2">
      <c r="A29" t="s">
        <v>2145</v>
      </c>
      <c r="B29" t="s">
        <v>816</v>
      </c>
      <c r="C29" t="s">
        <v>0</v>
      </c>
      <c r="D29">
        <v>1</v>
      </c>
      <c r="E29" t="s">
        <v>2987</v>
      </c>
    </row>
    <row r="30" spans="1:5" x14ac:dyDescent="0.2">
      <c r="A30" t="s">
        <v>2146</v>
      </c>
      <c r="B30" t="s">
        <v>2988</v>
      </c>
      <c r="C30" t="s">
        <v>2988</v>
      </c>
      <c r="D30">
        <v>0</v>
      </c>
      <c r="E30" t="s">
        <v>2987</v>
      </c>
    </row>
    <row r="31" spans="1:5" x14ac:dyDescent="0.2">
      <c r="A31" t="s">
        <v>2147</v>
      </c>
      <c r="B31" t="s">
        <v>1585</v>
      </c>
      <c r="C31" t="s">
        <v>1</v>
      </c>
      <c r="D31">
        <v>0.4444444477558136</v>
      </c>
      <c r="E31" t="s">
        <v>2987</v>
      </c>
    </row>
    <row r="32" spans="1:5" x14ac:dyDescent="0.2">
      <c r="A32" t="s">
        <v>2148</v>
      </c>
      <c r="B32" t="s">
        <v>1585</v>
      </c>
      <c r="C32" t="s">
        <v>1</v>
      </c>
      <c r="D32">
        <v>0.12987013161182404</v>
      </c>
      <c r="E32" t="s">
        <v>2989</v>
      </c>
    </row>
    <row r="33" spans="1:5" x14ac:dyDescent="0.2">
      <c r="A33" t="s">
        <v>2149</v>
      </c>
      <c r="B33" t="s">
        <v>1257</v>
      </c>
      <c r="C33" t="s">
        <v>1</v>
      </c>
      <c r="D33">
        <v>0.26666668057441711</v>
      </c>
      <c r="E33" t="s">
        <v>2989</v>
      </c>
    </row>
    <row r="34" spans="1:5" x14ac:dyDescent="0.2">
      <c r="A34" t="s">
        <v>2150</v>
      </c>
      <c r="B34" t="s">
        <v>1467</v>
      </c>
      <c r="C34" t="s">
        <v>1</v>
      </c>
      <c r="D34">
        <v>0.10526315867900848</v>
      </c>
      <c r="E34" t="s">
        <v>2989</v>
      </c>
    </row>
    <row r="35" spans="1:5" x14ac:dyDescent="0.2">
      <c r="A35" t="s">
        <v>2151</v>
      </c>
      <c r="B35" t="s">
        <v>714</v>
      </c>
      <c r="C35" t="s">
        <v>0</v>
      </c>
      <c r="D35">
        <v>0.32876712083816528</v>
      </c>
      <c r="E35" t="s">
        <v>2989</v>
      </c>
    </row>
    <row r="36" spans="1:5" x14ac:dyDescent="0.2">
      <c r="A36" t="s">
        <v>2152</v>
      </c>
      <c r="B36" t="s">
        <v>2988</v>
      </c>
      <c r="C36" t="s">
        <v>2988</v>
      </c>
      <c r="D36">
        <v>0</v>
      </c>
      <c r="E36" t="s">
        <v>2987</v>
      </c>
    </row>
    <row r="37" spans="1:5" x14ac:dyDescent="0.2">
      <c r="A37" t="s">
        <v>2153</v>
      </c>
      <c r="B37" t="s">
        <v>701</v>
      </c>
      <c r="C37" t="s">
        <v>1</v>
      </c>
      <c r="D37">
        <v>0.41379311680793762</v>
      </c>
      <c r="E37" t="s">
        <v>2987</v>
      </c>
    </row>
    <row r="38" spans="1:5" x14ac:dyDescent="0.2">
      <c r="A38" t="s">
        <v>2154</v>
      </c>
      <c r="B38" t="s">
        <v>2988</v>
      </c>
      <c r="C38" t="s">
        <v>2988</v>
      </c>
      <c r="D38">
        <v>0</v>
      </c>
      <c r="E38" t="s">
        <v>2987</v>
      </c>
    </row>
    <row r="39" spans="1:5" x14ac:dyDescent="0.2">
      <c r="A39" t="s">
        <v>2155</v>
      </c>
      <c r="B39" t="s">
        <v>844</v>
      </c>
      <c r="C39" t="s">
        <v>0</v>
      </c>
      <c r="D39">
        <v>1</v>
      </c>
      <c r="E39" t="s">
        <v>2987</v>
      </c>
    </row>
    <row r="40" spans="1:5" x14ac:dyDescent="0.2">
      <c r="A40" t="s">
        <v>2156</v>
      </c>
      <c r="B40" t="s">
        <v>820</v>
      </c>
      <c r="C40" t="s">
        <v>0</v>
      </c>
      <c r="D40">
        <v>1</v>
      </c>
      <c r="E40" t="s">
        <v>2987</v>
      </c>
    </row>
    <row r="41" spans="1:5" x14ac:dyDescent="0.2">
      <c r="A41" t="s">
        <v>2157</v>
      </c>
      <c r="B41" t="s">
        <v>703</v>
      </c>
      <c r="C41" t="s">
        <v>1</v>
      </c>
      <c r="D41">
        <v>0.39344263076782227</v>
      </c>
      <c r="E41" t="s">
        <v>2989</v>
      </c>
    </row>
    <row r="42" spans="1:5" x14ac:dyDescent="0.2">
      <c r="A42" t="s">
        <v>2158</v>
      </c>
      <c r="B42" t="s">
        <v>1574</v>
      </c>
      <c r="C42" t="s">
        <v>1</v>
      </c>
      <c r="D42">
        <v>0.31034481525421143</v>
      </c>
      <c r="E42" t="s">
        <v>2989</v>
      </c>
    </row>
    <row r="43" spans="1:5" x14ac:dyDescent="0.2">
      <c r="A43" t="s">
        <v>2159</v>
      </c>
      <c r="B43" t="s">
        <v>1690</v>
      </c>
      <c r="C43" t="s">
        <v>1</v>
      </c>
      <c r="D43">
        <v>0.3333333432674408</v>
      </c>
      <c r="E43" t="s">
        <v>2989</v>
      </c>
    </row>
    <row r="44" spans="1:5" x14ac:dyDescent="0.2">
      <c r="A44" t="s">
        <v>2160</v>
      </c>
      <c r="B44" t="s">
        <v>1975</v>
      </c>
      <c r="C44" t="s">
        <v>1</v>
      </c>
      <c r="D44">
        <v>0.37209302186965942</v>
      </c>
      <c r="E44" t="s">
        <v>2989</v>
      </c>
    </row>
    <row r="45" spans="1:5" x14ac:dyDescent="0.2">
      <c r="A45" t="s">
        <v>2161</v>
      </c>
      <c r="B45" t="s">
        <v>1976</v>
      </c>
      <c r="C45" t="s">
        <v>1</v>
      </c>
      <c r="D45">
        <v>0.46666666865348816</v>
      </c>
      <c r="E45" t="s">
        <v>2987</v>
      </c>
    </row>
    <row r="46" spans="1:5" x14ac:dyDescent="0.2">
      <c r="A46" t="s">
        <v>2162</v>
      </c>
      <c r="B46" t="s">
        <v>1377</v>
      </c>
      <c r="C46" t="s">
        <v>0</v>
      </c>
      <c r="D46">
        <v>1</v>
      </c>
      <c r="E46" t="s">
        <v>2987</v>
      </c>
    </row>
    <row r="47" spans="1:5" x14ac:dyDescent="0.2">
      <c r="A47" t="s">
        <v>2163</v>
      </c>
      <c r="B47" t="s">
        <v>1374</v>
      </c>
      <c r="C47" t="s">
        <v>1</v>
      </c>
      <c r="D47">
        <v>0.32432430982589722</v>
      </c>
      <c r="E47" t="s">
        <v>2989</v>
      </c>
    </row>
    <row r="48" spans="1:5" x14ac:dyDescent="0.2">
      <c r="A48" t="s">
        <v>2164</v>
      </c>
      <c r="B48" t="s">
        <v>1374</v>
      </c>
      <c r="C48" t="s">
        <v>1</v>
      </c>
      <c r="D48">
        <v>0.32558140158653259</v>
      </c>
      <c r="E48" t="s">
        <v>2989</v>
      </c>
    </row>
    <row r="49" spans="1:5" x14ac:dyDescent="0.2">
      <c r="A49" t="s">
        <v>2165</v>
      </c>
      <c r="B49" t="s">
        <v>1374</v>
      </c>
      <c r="C49" t="s">
        <v>1</v>
      </c>
      <c r="D49">
        <v>0.32941177487373352</v>
      </c>
      <c r="E49" t="s">
        <v>2989</v>
      </c>
    </row>
    <row r="50" spans="1:5" x14ac:dyDescent="0.2">
      <c r="A50" t="s">
        <v>2166</v>
      </c>
      <c r="B50" t="s">
        <v>134</v>
      </c>
      <c r="C50" t="s">
        <v>0</v>
      </c>
      <c r="D50">
        <v>0.29230770468711853</v>
      </c>
      <c r="E50" t="s">
        <v>2989</v>
      </c>
    </row>
    <row r="51" spans="1:5" x14ac:dyDescent="0.2">
      <c r="A51" t="s">
        <v>2167</v>
      </c>
      <c r="B51" t="s">
        <v>1803</v>
      </c>
      <c r="C51" t="s">
        <v>1</v>
      </c>
      <c r="D51">
        <v>0.28571429848670959</v>
      </c>
      <c r="E51" t="s">
        <v>2989</v>
      </c>
    </row>
    <row r="52" spans="1:5" x14ac:dyDescent="0.2">
      <c r="A52" t="s">
        <v>2168</v>
      </c>
      <c r="B52" t="s">
        <v>2000</v>
      </c>
      <c r="C52" t="s">
        <v>1</v>
      </c>
      <c r="D52">
        <v>0.17241379618644714</v>
      </c>
      <c r="E52" t="s">
        <v>2989</v>
      </c>
    </row>
    <row r="53" spans="1:5" x14ac:dyDescent="0.2">
      <c r="A53" t="s">
        <v>2169</v>
      </c>
      <c r="B53" t="s">
        <v>2988</v>
      </c>
      <c r="C53" t="s">
        <v>2988</v>
      </c>
      <c r="D53">
        <v>0</v>
      </c>
      <c r="E53" t="s">
        <v>2987</v>
      </c>
    </row>
    <row r="54" spans="1:5" x14ac:dyDescent="0.2">
      <c r="A54" t="s">
        <v>2170</v>
      </c>
      <c r="B54" t="s">
        <v>2988</v>
      </c>
      <c r="C54" t="s">
        <v>2988</v>
      </c>
      <c r="D54">
        <v>8.3333335816860199E-2</v>
      </c>
      <c r="E54" t="s">
        <v>2987</v>
      </c>
    </row>
    <row r="55" spans="1:5" x14ac:dyDescent="0.2">
      <c r="A55" t="s">
        <v>2171</v>
      </c>
      <c r="B55" t="s">
        <v>689</v>
      </c>
      <c r="C55" t="s">
        <v>0</v>
      </c>
      <c r="D55">
        <v>0.35555556416511536</v>
      </c>
      <c r="E55" t="s">
        <v>2989</v>
      </c>
    </row>
    <row r="56" spans="1:5" x14ac:dyDescent="0.2">
      <c r="A56" t="s">
        <v>2172</v>
      </c>
      <c r="B56" t="s">
        <v>1657</v>
      </c>
      <c r="C56" t="s">
        <v>1</v>
      </c>
      <c r="D56">
        <v>0.21917808055877686</v>
      </c>
      <c r="E56" t="s">
        <v>2989</v>
      </c>
    </row>
    <row r="57" spans="1:5" x14ac:dyDescent="0.2">
      <c r="A57" t="s">
        <v>2173</v>
      </c>
      <c r="B57" t="s">
        <v>1657</v>
      </c>
      <c r="C57" t="s">
        <v>1</v>
      </c>
      <c r="D57">
        <v>0.18947368860244751</v>
      </c>
      <c r="E57" t="s">
        <v>2989</v>
      </c>
    </row>
    <row r="58" spans="1:5" x14ac:dyDescent="0.2">
      <c r="A58" t="s">
        <v>2174</v>
      </c>
      <c r="B58" t="s">
        <v>493</v>
      </c>
      <c r="C58" t="s">
        <v>1</v>
      </c>
      <c r="D58">
        <v>0.41379311680793762</v>
      </c>
      <c r="E58" t="s">
        <v>2987</v>
      </c>
    </row>
    <row r="59" spans="1:5" x14ac:dyDescent="0.2">
      <c r="A59" t="s">
        <v>2175</v>
      </c>
      <c r="B59" t="s">
        <v>395</v>
      </c>
      <c r="C59" t="s">
        <v>1</v>
      </c>
      <c r="D59">
        <v>0.26666668057441711</v>
      </c>
      <c r="E59" t="s">
        <v>2989</v>
      </c>
    </row>
    <row r="60" spans="1:5" x14ac:dyDescent="0.2">
      <c r="A60" t="s">
        <v>2176</v>
      </c>
      <c r="B60" t="s">
        <v>2988</v>
      </c>
      <c r="C60" t="s">
        <v>2988</v>
      </c>
      <c r="D60">
        <v>1.666666753590107E-2</v>
      </c>
      <c r="E60" t="s">
        <v>2987</v>
      </c>
    </row>
    <row r="61" spans="1:5" x14ac:dyDescent="0.2">
      <c r="A61" t="s">
        <v>2177</v>
      </c>
      <c r="B61" t="s">
        <v>1376</v>
      </c>
      <c r="C61" t="s">
        <v>1</v>
      </c>
      <c r="D61">
        <v>0.39344263076782227</v>
      </c>
      <c r="E61" t="s">
        <v>2989</v>
      </c>
    </row>
    <row r="62" spans="1:5" x14ac:dyDescent="0.2">
      <c r="A62" t="s">
        <v>2178</v>
      </c>
      <c r="B62" t="s">
        <v>105</v>
      </c>
      <c r="C62" t="s">
        <v>1</v>
      </c>
      <c r="D62">
        <v>0.36000001430511475</v>
      </c>
      <c r="E62" t="s">
        <v>2989</v>
      </c>
    </row>
    <row r="63" spans="1:5" x14ac:dyDescent="0.2">
      <c r="A63" t="s">
        <v>2179</v>
      </c>
      <c r="B63" t="s">
        <v>2988</v>
      </c>
      <c r="C63" t="s">
        <v>2988</v>
      </c>
      <c r="D63">
        <v>0</v>
      </c>
      <c r="E63" t="s">
        <v>2987</v>
      </c>
    </row>
    <row r="64" spans="1:5" x14ac:dyDescent="0.2">
      <c r="A64" t="s">
        <v>2180</v>
      </c>
      <c r="B64" t="s">
        <v>959</v>
      </c>
      <c r="C64" t="s">
        <v>1</v>
      </c>
      <c r="D64">
        <v>0.68686866760253906</v>
      </c>
      <c r="E64" t="s">
        <v>2987</v>
      </c>
    </row>
    <row r="65" spans="1:5" x14ac:dyDescent="0.2">
      <c r="A65" t="s">
        <v>2181</v>
      </c>
      <c r="B65" t="s">
        <v>959</v>
      </c>
      <c r="C65" t="s">
        <v>1</v>
      </c>
      <c r="D65">
        <v>0.55384618043899536</v>
      </c>
      <c r="E65" t="s">
        <v>2987</v>
      </c>
    </row>
    <row r="66" spans="1:5" x14ac:dyDescent="0.2">
      <c r="A66" t="s">
        <v>2182</v>
      </c>
      <c r="B66" t="s">
        <v>988</v>
      </c>
      <c r="C66" t="s">
        <v>1</v>
      </c>
      <c r="D66">
        <v>0.45555555820465088</v>
      </c>
      <c r="E66" t="s">
        <v>2987</v>
      </c>
    </row>
    <row r="67" spans="1:5" x14ac:dyDescent="0.2">
      <c r="A67" t="s">
        <v>2183</v>
      </c>
      <c r="B67" t="s">
        <v>687</v>
      </c>
      <c r="C67" t="s">
        <v>0</v>
      </c>
      <c r="D67">
        <v>0.26923078298568726</v>
      </c>
      <c r="E67" t="s">
        <v>2989</v>
      </c>
    </row>
    <row r="68" spans="1:5" x14ac:dyDescent="0.2">
      <c r="A68" t="s">
        <v>2184</v>
      </c>
      <c r="B68" t="s">
        <v>476</v>
      </c>
      <c r="C68" t="s">
        <v>0</v>
      </c>
      <c r="D68">
        <v>0.42553192377090454</v>
      </c>
      <c r="E68" t="s">
        <v>2987</v>
      </c>
    </row>
    <row r="69" spans="1:5" x14ac:dyDescent="0.2">
      <c r="A69" t="s">
        <v>2185</v>
      </c>
      <c r="B69" t="s">
        <v>1576</v>
      </c>
      <c r="C69" t="s">
        <v>1</v>
      </c>
      <c r="D69">
        <v>0.62992125749588013</v>
      </c>
      <c r="E69" t="s">
        <v>2987</v>
      </c>
    </row>
    <row r="70" spans="1:5" x14ac:dyDescent="0.2">
      <c r="A70" t="s">
        <v>2186</v>
      </c>
      <c r="B70" t="s">
        <v>2988</v>
      </c>
      <c r="C70" t="s">
        <v>2988</v>
      </c>
      <c r="D70">
        <v>0</v>
      </c>
      <c r="E70" t="s">
        <v>2987</v>
      </c>
    </row>
    <row r="71" spans="1:5" x14ac:dyDescent="0.2">
      <c r="A71" t="s">
        <v>2187</v>
      </c>
      <c r="B71" t="s">
        <v>1578</v>
      </c>
      <c r="C71" t="s">
        <v>1</v>
      </c>
      <c r="D71">
        <v>0.57692307233810425</v>
      </c>
      <c r="E71" t="s">
        <v>2987</v>
      </c>
    </row>
    <row r="72" spans="1:5" x14ac:dyDescent="0.2">
      <c r="A72" t="s">
        <v>2188</v>
      </c>
      <c r="B72" t="s">
        <v>2988</v>
      </c>
      <c r="C72" t="s">
        <v>2988</v>
      </c>
      <c r="D72">
        <v>0</v>
      </c>
      <c r="E72" t="s">
        <v>2987</v>
      </c>
    </row>
    <row r="73" spans="1:5" x14ac:dyDescent="0.2">
      <c r="A73" t="s">
        <v>2189</v>
      </c>
      <c r="B73" t="s">
        <v>490</v>
      </c>
      <c r="C73" t="s">
        <v>0</v>
      </c>
      <c r="D73">
        <v>1</v>
      </c>
      <c r="E73" t="s">
        <v>2987</v>
      </c>
    </row>
    <row r="74" spans="1:5" x14ac:dyDescent="0.2">
      <c r="A74" t="s">
        <v>2190</v>
      </c>
      <c r="B74" t="s">
        <v>1579</v>
      </c>
      <c r="C74" t="s">
        <v>1</v>
      </c>
      <c r="D74">
        <v>0.46153846383094788</v>
      </c>
      <c r="E74" t="s">
        <v>2987</v>
      </c>
    </row>
    <row r="75" spans="1:5" x14ac:dyDescent="0.2">
      <c r="A75" t="s">
        <v>2191</v>
      </c>
      <c r="B75" t="s">
        <v>894</v>
      </c>
      <c r="C75" t="s">
        <v>0</v>
      </c>
      <c r="D75">
        <v>0.27906978130340576</v>
      </c>
      <c r="E75" t="s">
        <v>2989</v>
      </c>
    </row>
    <row r="76" spans="1:5" x14ac:dyDescent="0.2">
      <c r="A76" t="s">
        <v>2192</v>
      </c>
      <c r="B76" t="s">
        <v>357</v>
      </c>
      <c r="C76" t="s">
        <v>0</v>
      </c>
      <c r="D76">
        <v>0.3333333432674408</v>
      </c>
      <c r="E76" t="s">
        <v>2989</v>
      </c>
    </row>
    <row r="77" spans="1:5" x14ac:dyDescent="0.2">
      <c r="A77" t="s">
        <v>2193</v>
      </c>
      <c r="B77" t="s">
        <v>2988</v>
      </c>
      <c r="C77" t="s">
        <v>2988</v>
      </c>
      <c r="D77">
        <v>0</v>
      </c>
      <c r="E77" t="s">
        <v>2987</v>
      </c>
    </row>
    <row r="78" spans="1:5" x14ac:dyDescent="0.2">
      <c r="A78" t="s">
        <v>2194</v>
      </c>
      <c r="B78" t="s">
        <v>1783</v>
      </c>
      <c r="C78" t="s">
        <v>1</v>
      </c>
      <c r="D78">
        <v>0.30000001192092896</v>
      </c>
      <c r="E78" t="s">
        <v>2989</v>
      </c>
    </row>
    <row r="79" spans="1:5" x14ac:dyDescent="0.2">
      <c r="A79" t="s">
        <v>2195</v>
      </c>
      <c r="B79" t="s">
        <v>705</v>
      </c>
      <c r="C79" t="s">
        <v>1</v>
      </c>
      <c r="D79">
        <v>0.28915661573410034</v>
      </c>
      <c r="E79" t="s">
        <v>2989</v>
      </c>
    </row>
    <row r="80" spans="1:5" x14ac:dyDescent="0.2">
      <c r="A80" t="s">
        <v>2196</v>
      </c>
      <c r="B80" t="s">
        <v>1913</v>
      </c>
      <c r="C80" t="s">
        <v>1</v>
      </c>
      <c r="D80">
        <v>0.26086956262588501</v>
      </c>
      <c r="E80" t="s">
        <v>2989</v>
      </c>
    </row>
    <row r="81" spans="1:5" x14ac:dyDescent="0.2">
      <c r="A81" t="s">
        <v>2197</v>
      </c>
      <c r="B81" t="s">
        <v>2988</v>
      </c>
      <c r="C81" t="s">
        <v>2988</v>
      </c>
      <c r="D81">
        <v>0</v>
      </c>
      <c r="E81" t="s">
        <v>2987</v>
      </c>
    </row>
    <row r="82" spans="1:5" x14ac:dyDescent="0.2">
      <c r="A82" t="s">
        <v>2198</v>
      </c>
      <c r="B82" t="s">
        <v>2988</v>
      </c>
      <c r="C82" t="s">
        <v>2988</v>
      </c>
      <c r="D82">
        <v>0</v>
      </c>
      <c r="E82" t="s">
        <v>2987</v>
      </c>
    </row>
    <row r="83" spans="1:5" x14ac:dyDescent="0.2">
      <c r="A83" t="s">
        <v>2199</v>
      </c>
      <c r="B83" t="s">
        <v>2988</v>
      </c>
      <c r="C83" t="s">
        <v>2988</v>
      </c>
      <c r="D83">
        <v>1.6129031777381897E-2</v>
      </c>
      <c r="E83" t="s">
        <v>2987</v>
      </c>
    </row>
    <row r="84" spans="1:5" x14ac:dyDescent="0.2">
      <c r="A84" t="s">
        <v>2200</v>
      </c>
      <c r="B84" t="s">
        <v>495</v>
      </c>
      <c r="C84" t="s">
        <v>1</v>
      </c>
      <c r="D84">
        <v>0.20512820780277252</v>
      </c>
      <c r="E84" t="s">
        <v>2989</v>
      </c>
    </row>
    <row r="85" spans="1:5" x14ac:dyDescent="0.2">
      <c r="A85" t="s">
        <v>2201</v>
      </c>
      <c r="B85" t="s">
        <v>1766</v>
      </c>
      <c r="C85" t="s">
        <v>1</v>
      </c>
      <c r="D85">
        <v>0.24657534062862396</v>
      </c>
      <c r="E85" t="s">
        <v>2989</v>
      </c>
    </row>
    <row r="86" spans="1:5" x14ac:dyDescent="0.2">
      <c r="A86" t="s">
        <v>2202</v>
      </c>
      <c r="B86" t="s">
        <v>1766</v>
      </c>
      <c r="C86" t="s">
        <v>1</v>
      </c>
      <c r="D86">
        <v>0.25714287161827087</v>
      </c>
      <c r="E86" t="s">
        <v>2989</v>
      </c>
    </row>
    <row r="87" spans="1:5" x14ac:dyDescent="0.2">
      <c r="A87" t="s">
        <v>2203</v>
      </c>
      <c r="B87" t="s">
        <v>1766</v>
      </c>
      <c r="C87" t="s">
        <v>1</v>
      </c>
      <c r="D87">
        <v>0.25714287161827087</v>
      </c>
      <c r="E87" t="s">
        <v>2989</v>
      </c>
    </row>
    <row r="88" spans="1:5" x14ac:dyDescent="0.2">
      <c r="A88" t="s">
        <v>2204</v>
      </c>
      <c r="B88" t="s">
        <v>2988</v>
      </c>
      <c r="C88" t="s">
        <v>2988</v>
      </c>
      <c r="D88">
        <v>0</v>
      </c>
      <c r="E88" t="s">
        <v>2987</v>
      </c>
    </row>
    <row r="89" spans="1:5" x14ac:dyDescent="0.2">
      <c r="A89" t="s">
        <v>2205</v>
      </c>
      <c r="B89" t="s">
        <v>1784</v>
      </c>
      <c r="C89" t="s">
        <v>1</v>
      </c>
      <c r="D89">
        <v>0.17543859779834747</v>
      </c>
      <c r="E89" t="s">
        <v>2989</v>
      </c>
    </row>
    <row r="90" spans="1:5" x14ac:dyDescent="0.2">
      <c r="A90" t="s">
        <v>2206</v>
      </c>
      <c r="B90" t="s">
        <v>1198</v>
      </c>
      <c r="C90" t="s">
        <v>1</v>
      </c>
      <c r="D90">
        <v>0.18333333730697632</v>
      </c>
      <c r="E90" t="s">
        <v>2989</v>
      </c>
    </row>
    <row r="91" spans="1:5" x14ac:dyDescent="0.2">
      <c r="A91" t="s">
        <v>2207</v>
      </c>
      <c r="B91" t="s">
        <v>797</v>
      </c>
      <c r="C91" t="s">
        <v>1</v>
      </c>
      <c r="D91">
        <v>0.40000000596046448</v>
      </c>
      <c r="E91" t="s">
        <v>2987</v>
      </c>
    </row>
    <row r="92" spans="1:5" x14ac:dyDescent="0.2">
      <c r="A92" t="s">
        <v>2208</v>
      </c>
      <c r="B92" t="s">
        <v>287</v>
      </c>
      <c r="C92" t="s">
        <v>1</v>
      </c>
      <c r="D92">
        <v>0.51724135875701904</v>
      </c>
      <c r="E92" t="s">
        <v>2987</v>
      </c>
    </row>
    <row r="93" spans="1:5" x14ac:dyDescent="0.2">
      <c r="A93" t="s">
        <v>2209</v>
      </c>
      <c r="B93" t="s">
        <v>2066</v>
      </c>
      <c r="C93" t="s">
        <v>1</v>
      </c>
      <c r="D93">
        <v>0.13953489065170288</v>
      </c>
      <c r="E93" t="s">
        <v>2989</v>
      </c>
    </row>
    <row r="94" spans="1:5" x14ac:dyDescent="0.2">
      <c r="A94" t="s">
        <v>2210</v>
      </c>
      <c r="B94" t="s">
        <v>2002</v>
      </c>
      <c r="C94" t="s">
        <v>1</v>
      </c>
      <c r="D94">
        <v>0.47368422150611877</v>
      </c>
      <c r="E94" t="s">
        <v>2987</v>
      </c>
    </row>
    <row r="95" spans="1:5" x14ac:dyDescent="0.2">
      <c r="A95" t="s">
        <v>2211</v>
      </c>
      <c r="B95" t="s">
        <v>2001</v>
      </c>
      <c r="C95" t="s">
        <v>1</v>
      </c>
      <c r="D95">
        <v>0.5443037748336792</v>
      </c>
      <c r="E95" t="s">
        <v>2987</v>
      </c>
    </row>
    <row r="96" spans="1:5" x14ac:dyDescent="0.2">
      <c r="A96" t="s">
        <v>2212</v>
      </c>
      <c r="B96" t="s">
        <v>1785</v>
      </c>
      <c r="C96" t="s">
        <v>1</v>
      </c>
      <c r="D96">
        <v>0.2916666567325592</v>
      </c>
      <c r="E96" t="s">
        <v>2989</v>
      </c>
    </row>
    <row r="97" spans="1:5" x14ac:dyDescent="0.2">
      <c r="A97" t="s">
        <v>2213</v>
      </c>
      <c r="B97" t="s">
        <v>2002</v>
      </c>
      <c r="C97" t="s">
        <v>1</v>
      </c>
      <c r="D97">
        <v>0.28846153616905212</v>
      </c>
      <c r="E97" t="s">
        <v>2989</v>
      </c>
    </row>
    <row r="98" spans="1:5" x14ac:dyDescent="0.2">
      <c r="A98" t="s">
        <v>2214</v>
      </c>
      <c r="B98" t="s">
        <v>397</v>
      </c>
      <c r="C98" t="s">
        <v>1</v>
      </c>
      <c r="D98">
        <v>0.27692309021949768</v>
      </c>
      <c r="E98" t="s">
        <v>2989</v>
      </c>
    </row>
    <row r="99" spans="1:5" x14ac:dyDescent="0.2">
      <c r="A99" t="s">
        <v>2215</v>
      </c>
      <c r="B99" t="s">
        <v>1604</v>
      </c>
      <c r="C99" t="s">
        <v>1</v>
      </c>
      <c r="D99">
        <v>0.4444444477558136</v>
      </c>
      <c r="E99" t="s">
        <v>2987</v>
      </c>
    </row>
    <row r="100" spans="1:5" x14ac:dyDescent="0.2">
      <c r="A100" t="s">
        <v>2216</v>
      </c>
      <c r="B100" t="s">
        <v>1658</v>
      </c>
      <c r="C100" t="s">
        <v>1</v>
      </c>
      <c r="D100">
        <v>0.27450981736183167</v>
      </c>
      <c r="E100" t="s">
        <v>2989</v>
      </c>
    </row>
    <row r="101" spans="1:5" x14ac:dyDescent="0.2">
      <c r="A101" t="s">
        <v>2217</v>
      </c>
      <c r="B101" t="s">
        <v>2988</v>
      </c>
      <c r="C101" t="s">
        <v>2988</v>
      </c>
      <c r="D101">
        <v>0</v>
      </c>
      <c r="E101" t="s">
        <v>2987</v>
      </c>
    </row>
    <row r="102" spans="1:5" x14ac:dyDescent="0.2">
      <c r="A102" t="s">
        <v>2218</v>
      </c>
      <c r="B102" t="s">
        <v>88</v>
      </c>
      <c r="C102" t="s">
        <v>0</v>
      </c>
      <c r="D102">
        <v>1</v>
      </c>
      <c r="E102" t="s">
        <v>2987</v>
      </c>
    </row>
    <row r="103" spans="1:5" x14ac:dyDescent="0.2">
      <c r="A103" t="s">
        <v>2219</v>
      </c>
      <c r="B103" t="s">
        <v>846</v>
      </c>
      <c r="C103" t="s">
        <v>0</v>
      </c>
      <c r="D103">
        <v>1</v>
      </c>
      <c r="E103" t="s">
        <v>2987</v>
      </c>
    </row>
    <row r="104" spans="1:5" x14ac:dyDescent="0.2">
      <c r="A104" t="s">
        <v>2220</v>
      </c>
      <c r="B104" t="s">
        <v>2988</v>
      </c>
      <c r="C104" t="s">
        <v>2988</v>
      </c>
      <c r="D104">
        <v>0</v>
      </c>
      <c r="E104" t="s">
        <v>2987</v>
      </c>
    </row>
    <row r="105" spans="1:5" x14ac:dyDescent="0.2">
      <c r="A105" t="s">
        <v>2221</v>
      </c>
      <c r="B105" t="s">
        <v>2988</v>
      </c>
      <c r="C105" t="s">
        <v>2988</v>
      </c>
      <c r="D105">
        <v>0</v>
      </c>
      <c r="E105" t="s">
        <v>2987</v>
      </c>
    </row>
    <row r="106" spans="1:5" x14ac:dyDescent="0.2">
      <c r="A106" t="s">
        <v>2222</v>
      </c>
      <c r="B106" t="s">
        <v>1120</v>
      </c>
      <c r="C106" t="s">
        <v>1</v>
      </c>
      <c r="D106">
        <v>0.46153846383094788</v>
      </c>
      <c r="E106" t="s">
        <v>2987</v>
      </c>
    </row>
    <row r="107" spans="1:5" x14ac:dyDescent="0.2">
      <c r="A107" t="s">
        <v>2223</v>
      </c>
      <c r="B107" t="s">
        <v>1122</v>
      </c>
      <c r="C107" t="s">
        <v>1</v>
      </c>
      <c r="D107">
        <v>0.53731346130371094</v>
      </c>
      <c r="E107" t="s">
        <v>2987</v>
      </c>
    </row>
    <row r="108" spans="1:5" x14ac:dyDescent="0.2">
      <c r="A108" t="s">
        <v>2224</v>
      </c>
      <c r="B108" t="s">
        <v>1124</v>
      </c>
      <c r="C108" t="s">
        <v>1</v>
      </c>
      <c r="D108">
        <v>0.17391304671764374</v>
      </c>
      <c r="E108" t="s">
        <v>2989</v>
      </c>
    </row>
    <row r="109" spans="1:5" x14ac:dyDescent="0.2">
      <c r="A109" t="s">
        <v>2225</v>
      </c>
      <c r="B109" t="s">
        <v>1231</v>
      </c>
      <c r="C109" t="s">
        <v>1</v>
      </c>
      <c r="D109">
        <v>0.4444444477558136</v>
      </c>
      <c r="E109" t="s">
        <v>2987</v>
      </c>
    </row>
    <row r="110" spans="1:5" x14ac:dyDescent="0.2">
      <c r="A110" t="s">
        <v>2226</v>
      </c>
      <c r="B110" t="s">
        <v>570</v>
      </c>
      <c r="C110" t="s">
        <v>0</v>
      </c>
      <c r="D110">
        <v>0.15789473056793213</v>
      </c>
      <c r="E110" t="s">
        <v>2989</v>
      </c>
    </row>
    <row r="111" spans="1:5" x14ac:dyDescent="0.2">
      <c r="A111" t="s">
        <v>2227</v>
      </c>
      <c r="B111" t="s">
        <v>1378</v>
      </c>
      <c r="C111" t="s">
        <v>1</v>
      </c>
      <c r="D111">
        <v>0.24324324727058411</v>
      </c>
      <c r="E111" t="s">
        <v>2989</v>
      </c>
    </row>
    <row r="112" spans="1:5" x14ac:dyDescent="0.2">
      <c r="A112" t="s">
        <v>2228</v>
      </c>
      <c r="B112" t="s">
        <v>2988</v>
      </c>
      <c r="C112" t="s">
        <v>2988</v>
      </c>
      <c r="D112">
        <v>0</v>
      </c>
      <c r="E112" t="s">
        <v>2987</v>
      </c>
    </row>
    <row r="113" spans="1:5" x14ac:dyDescent="0.2">
      <c r="A113" t="s">
        <v>2229</v>
      </c>
      <c r="B113" t="s">
        <v>2988</v>
      </c>
      <c r="C113" t="s">
        <v>2988</v>
      </c>
      <c r="D113">
        <v>0</v>
      </c>
      <c r="E113" t="s">
        <v>2987</v>
      </c>
    </row>
    <row r="114" spans="1:5" x14ac:dyDescent="0.2">
      <c r="A114" t="s">
        <v>2230</v>
      </c>
      <c r="B114" t="s">
        <v>1379</v>
      </c>
      <c r="C114" t="s">
        <v>0</v>
      </c>
      <c r="D114">
        <v>1</v>
      </c>
      <c r="E114" t="s">
        <v>2987</v>
      </c>
    </row>
    <row r="115" spans="1:5" x14ac:dyDescent="0.2">
      <c r="A115" t="s">
        <v>2231</v>
      </c>
      <c r="B115" t="s">
        <v>2988</v>
      </c>
      <c r="C115" t="s">
        <v>2988</v>
      </c>
      <c r="D115">
        <v>0</v>
      </c>
      <c r="E115" t="s">
        <v>2987</v>
      </c>
    </row>
    <row r="116" spans="1:5" x14ac:dyDescent="0.2">
      <c r="A116" t="s">
        <v>2232</v>
      </c>
      <c r="B116" t="s">
        <v>1586</v>
      </c>
      <c r="C116" t="s">
        <v>1</v>
      </c>
      <c r="D116">
        <v>0.359375</v>
      </c>
      <c r="E116" t="s">
        <v>2989</v>
      </c>
    </row>
    <row r="117" spans="1:5" x14ac:dyDescent="0.2">
      <c r="A117" t="s">
        <v>2233</v>
      </c>
      <c r="B117" t="s">
        <v>2988</v>
      </c>
      <c r="C117" t="s">
        <v>2988</v>
      </c>
      <c r="D117">
        <v>0</v>
      </c>
      <c r="E117" t="s">
        <v>2987</v>
      </c>
    </row>
    <row r="118" spans="1:5" x14ac:dyDescent="0.2">
      <c r="A118" t="s">
        <v>2234</v>
      </c>
      <c r="B118" t="s">
        <v>1850</v>
      </c>
      <c r="C118" t="s">
        <v>1</v>
      </c>
      <c r="D118">
        <v>0.18181818723678589</v>
      </c>
      <c r="E118" t="s">
        <v>2989</v>
      </c>
    </row>
    <row r="119" spans="1:5" x14ac:dyDescent="0.2">
      <c r="A119" t="s">
        <v>2235</v>
      </c>
      <c r="B119" t="s">
        <v>696</v>
      </c>
      <c r="C119" t="s">
        <v>0</v>
      </c>
      <c r="D119">
        <v>0.32653060555458069</v>
      </c>
      <c r="E119" t="s">
        <v>2989</v>
      </c>
    </row>
    <row r="120" spans="1:5" x14ac:dyDescent="0.2">
      <c r="A120" t="s">
        <v>2236</v>
      </c>
      <c r="B120" t="s">
        <v>1786</v>
      </c>
      <c r="C120" t="s">
        <v>1</v>
      </c>
      <c r="D120">
        <v>0.24324324727058411</v>
      </c>
      <c r="E120" t="s">
        <v>2989</v>
      </c>
    </row>
    <row r="121" spans="1:5" x14ac:dyDescent="0.2">
      <c r="A121" t="s">
        <v>2237</v>
      </c>
      <c r="B121" t="s">
        <v>399</v>
      </c>
      <c r="C121" t="s">
        <v>1</v>
      </c>
      <c r="D121">
        <v>0.36923077702522278</v>
      </c>
      <c r="E121" t="s">
        <v>2989</v>
      </c>
    </row>
    <row r="122" spans="1:5" x14ac:dyDescent="0.2">
      <c r="A122" t="s">
        <v>2238</v>
      </c>
      <c r="B122" t="s">
        <v>715</v>
      </c>
      <c r="C122" t="s">
        <v>1</v>
      </c>
      <c r="D122">
        <v>0.36923077702522278</v>
      </c>
      <c r="E122" t="s">
        <v>2989</v>
      </c>
    </row>
    <row r="123" spans="1:5" x14ac:dyDescent="0.2">
      <c r="A123" t="s">
        <v>2239</v>
      </c>
      <c r="B123" t="s">
        <v>900</v>
      </c>
      <c r="C123" t="s">
        <v>0</v>
      </c>
      <c r="D123">
        <v>0.15748031437397003</v>
      </c>
      <c r="E123" t="s">
        <v>2989</v>
      </c>
    </row>
    <row r="124" spans="1:5" x14ac:dyDescent="0.2">
      <c r="A124" t="s">
        <v>2240</v>
      </c>
      <c r="B124" t="s">
        <v>1587</v>
      </c>
      <c r="C124" t="s">
        <v>1</v>
      </c>
      <c r="D124">
        <v>0.15757575631141663</v>
      </c>
      <c r="E124" t="s">
        <v>2989</v>
      </c>
    </row>
    <row r="125" spans="1:5" x14ac:dyDescent="0.2">
      <c r="A125" t="s">
        <v>2241</v>
      </c>
      <c r="B125" t="s">
        <v>2113</v>
      </c>
      <c r="C125" t="s">
        <v>1</v>
      </c>
      <c r="D125">
        <v>0.25641027092933655</v>
      </c>
      <c r="E125" t="s">
        <v>2989</v>
      </c>
    </row>
    <row r="126" spans="1:5" x14ac:dyDescent="0.2">
      <c r="A126" t="s">
        <v>2242</v>
      </c>
      <c r="B126" t="s">
        <v>1525</v>
      </c>
      <c r="C126" t="s">
        <v>0</v>
      </c>
      <c r="D126">
        <v>0.25</v>
      </c>
      <c r="E126" t="s">
        <v>2989</v>
      </c>
    </row>
    <row r="127" spans="1:5" x14ac:dyDescent="0.2">
      <c r="A127" t="s">
        <v>2243</v>
      </c>
      <c r="B127" t="s">
        <v>1646</v>
      </c>
      <c r="C127" t="s">
        <v>1</v>
      </c>
      <c r="D127">
        <v>0.3835616409778595</v>
      </c>
      <c r="E127" t="s">
        <v>2989</v>
      </c>
    </row>
    <row r="128" spans="1:5" x14ac:dyDescent="0.2">
      <c r="A128" t="s">
        <v>2244</v>
      </c>
      <c r="B128" t="s">
        <v>1646</v>
      </c>
      <c r="C128" t="s">
        <v>1</v>
      </c>
      <c r="D128">
        <v>0.43478259444236755</v>
      </c>
      <c r="E128" t="s">
        <v>2987</v>
      </c>
    </row>
    <row r="129" spans="1:5" x14ac:dyDescent="0.2">
      <c r="A129" t="s">
        <v>2245</v>
      </c>
      <c r="B129" t="s">
        <v>964</v>
      </c>
      <c r="C129" t="s">
        <v>0</v>
      </c>
      <c r="D129">
        <v>0.3333333432674408</v>
      </c>
      <c r="E129" t="s">
        <v>2989</v>
      </c>
    </row>
    <row r="130" spans="1:5" x14ac:dyDescent="0.2">
      <c r="A130" t="s">
        <v>2246</v>
      </c>
      <c r="B130" t="s">
        <v>1144</v>
      </c>
      <c r="C130" t="s">
        <v>1</v>
      </c>
      <c r="D130">
        <v>0.32653060555458069</v>
      </c>
      <c r="E130" t="s">
        <v>2989</v>
      </c>
    </row>
    <row r="131" spans="1:5" x14ac:dyDescent="0.2">
      <c r="A131" t="s">
        <v>2247</v>
      </c>
      <c r="B131" t="s">
        <v>2988</v>
      </c>
      <c r="C131" t="s">
        <v>2988</v>
      </c>
      <c r="D131">
        <v>0</v>
      </c>
      <c r="E131" t="s">
        <v>2987</v>
      </c>
    </row>
    <row r="132" spans="1:5" x14ac:dyDescent="0.2">
      <c r="A132" t="s">
        <v>2248</v>
      </c>
      <c r="B132" t="s">
        <v>1692</v>
      </c>
      <c r="C132" t="s">
        <v>1</v>
      </c>
      <c r="D132">
        <v>1</v>
      </c>
      <c r="E132" t="s">
        <v>2987</v>
      </c>
    </row>
    <row r="133" spans="1:5" x14ac:dyDescent="0.2">
      <c r="A133" t="s">
        <v>2249</v>
      </c>
      <c r="B133" t="s">
        <v>719</v>
      </c>
      <c r="C133" t="s">
        <v>1</v>
      </c>
      <c r="D133">
        <v>0.3684210479259491</v>
      </c>
      <c r="E133" t="s">
        <v>2989</v>
      </c>
    </row>
    <row r="134" spans="1:5" x14ac:dyDescent="0.2">
      <c r="A134" t="s">
        <v>2250</v>
      </c>
      <c r="B134" t="s">
        <v>1772</v>
      </c>
      <c r="C134" t="s">
        <v>1</v>
      </c>
      <c r="D134">
        <v>0.32727271318435669</v>
      </c>
      <c r="E134" t="s">
        <v>2989</v>
      </c>
    </row>
    <row r="135" spans="1:5" x14ac:dyDescent="0.2">
      <c r="A135" t="s">
        <v>2251</v>
      </c>
      <c r="B135" t="s">
        <v>281</v>
      </c>
      <c r="C135" t="s">
        <v>1</v>
      </c>
      <c r="D135">
        <v>1</v>
      </c>
      <c r="E135" t="s">
        <v>2987</v>
      </c>
    </row>
    <row r="136" spans="1:5" x14ac:dyDescent="0.2">
      <c r="A136" t="s">
        <v>2252</v>
      </c>
      <c r="B136" t="s">
        <v>961</v>
      </c>
      <c r="C136" t="s">
        <v>1</v>
      </c>
      <c r="D136">
        <v>0.2950819730758667</v>
      </c>
      <c r="E136" t="s">
        <v>2989</v>
      </c>
    </row>
    <row r="137" spans="1:5" x14ac:dyDescent="0.2">
      <c r="A137" t="s">
        <v>2253</v>
      </c>
      <c r="B137" t="s">
        <v>2988</v>
      </c>
      <c r="C137" t="s">
        <v>2988</v>
      </c>
      <c r="D137">
        <v>0</v>
      </c>
      <c r="E137" t="s">
        <v>2987</v>
      </c>
    </row>
    <row r="138" spans="1:5" x14ac:dyDescent="0.2">
      <c r="A138" t="s">
        <v>2254</v>
      </c>
      <c r="B138" t="s">
        <v>90</v>
      </c>
      <c r="C138" t="s">
        <v>0</v>
      </c>
      <c r="D138">
        <v>1</v>
      </c>
      <c r="E138" t="s">
        <v>2987</v>
      </c>
    </row>
    <row r="139" spans="1:5" x14ac:dyDescent="0.2">
      <c r="A139" t="s">
        <v>2255</v>
      </c>
      <c r="B139" t="s">
        <v>1338</v>
      </c>
      <c r="C139" t="s">
        <v>1</v>
      </c>
      <c r="D139">
        <v>0.36000001430511475</v>
      </c>
      <c r="E139" t="s">
        <v>2989</v>
      </c>
    </row>
    <row r="140" spans="1:5" x14ac:dyDescent="0.2">
      <c r="A140" t="s">
        <v>2256</v>
      </c>
      <c r="B140" t="s">
        <v>1862</v>
      </c>
      <c r="C140" t="s">
        <v>1</v>
      </c>
      <c r="D140">
        <v>0.19607843458652496</v>
      </c>
      <c r="E140" t="s">
        <v>2989</v>
      </c>
    </row>
    <row r="141" spans="1:5" x14ac:dyDescent="0.2">
      <c r="A141" t="s">
        <v>2257</v>
      </c>
      <c r="B141" t="s">
        <v>1524</v>
      </c>
      <c r="C141" t="s">
        <v>1</v>
      </c>
      <c r="D141">
        <v>0.39344263076782227</v>
      </c>
      <c r="E141" t="s">
        <v>2989</v>
      </c>
    </row>
    <row r="142" spans="1:5" x14ac:dyDescent="0.2">
      <c r="A142" t="s">
        <v>2258</v>
      </c>
      <c r="B142" t="s">
        <v>1526</v>
      </c>
      <c r="C142" t="s">
        <v>1</v>
      </c>
      <c r="D142">
        <v>0.301075279712677</v>
      </c>
      <c r="E142" t="s">
        <v>2989</v>
      </c>
    </row>
    <row r="143" spans="1:5" x14ac:dyDescent="0.2">
      <c r="A143" t="s">
        <v>2259</v>
      </c>
      <c r="B143" t="s">
        <v>1146</v>
      </c>
      <c r="C143" t="s">
        <v>1</v>
      </c>
      <c r="D143">
        <v>0.67647057771682739</v>
      </c>
      <c r="E143" t="s">
        <v>2987</v>
      </c>
    </row>
    <row r="144" spans="1:5" x14ac:dyDescent="0.2">
      <c r="A144" t="s">
        <v>2260</v>
      </c>
      <c r="B144" t="s">
        <v>2988</v>
      </c>
      <c r="C144" t="s">
        <v>2988</v>
      </c>
      <c r="D144">
        <v>0</v>
      </c>
      <c r="E144" t="s">
        <v>2987</v>
      </c>
    </row>
    <row r="145" spans="1:5" x14ac:dyDescent="0.2">
      <c r="A145" t="s">
        <v>2261</v>
      </c>
      <c r="B145" t="s">
        <v>1104</v>
      </c>
      <c r="C145" t="s">
        <v>1</v>
      </c>
      <c r="D145">
        <v>0.31034481525421143</v>
      </c>
      <c r="E145" t="s">
        <v>2989</v>
      </c>
    </row>
    <row r="146" spans="1:5" x14ac:dyDescent="0.2">
      <c r="A146" t="s">
        <v>2262</v>
      </c>
      <c r="B146" t="s">
        <v>1380</v>
      </c>
      <c r="C146" t="s">
        <v>1</v>
      </c>
      <c r="D146">
        <v>0.28070175647735596</v>
      </c>
      <c r="E146" t="s">
        <v>2989</v>
      </c>
    </row>
    <row r="147" spans="1:5" x14ac:dyDescent="0.2">
      <c r="A147" t="s">
        <v>2263</v>
      </c>
      <c r="B147" t="s">
        <v>1698</v>
      </c>
      <c r="C147" t="s">
        <v>1</v>
      </c>
      <c r="D147">
        <v>0.32727271318435669</v>
      </c>
      <c r="E147" t="s">
        <v>2989</v>
      </c>
    </row>
    <row r="148" spans="1:5" x14ac:dyDescent="0.2">
      <c r="A148" t="s">
        <v>2264</v>
      </c>
      <c r="B148" t="s">
        <v>188</v>
      </c>
      <c r="C148" t="s">
        <v>0</v>
      </c>
      <c r="D148">
        <v>0.3132530152797699</v>
      </c>
      <c r="E148" t="s">
        <v>2989</v>
      </c>
    </row>
    <row r="149" spans="1:5" x14ac:dyDescent="0.2">
      <c r="A149" t="s">
        <v>2265</v>
      </c>
      <c r="B149" t="s">
        <v>1573</v>
      </c>
      <c r="C149" t="s">
        <v>0</v>
      </c>
      <c r="D149">
        <v>0.23076923191547394</v>
      </c>
      <c r="E149" t="s">
        <v>2989</v>
      </c>
    </row>
    <row r="150" spans="1:5" x14ac:dyDescent="0.2">
      <c r="A150" t="s">
        <v>2266</v>
      </c>
      <c r="B150" t="s">
        <v>17</v>
      </c>
      <c r="C150" t="s">
        <v>1</v>
      </c>
      <c r="D150">
        <v>0.50526314973831177</v>
      </c>
      <c r="E150" t="s">
        <v>2987</v>
      </c>
    </row>
    <row r="151" spans="1:5" x14ac:dyDescent="0.2">
      <c r="A151" t="s">
        <v>2267</v>
      </c>
      <c r="B151" t="s">
        <v>377</v>
      </c>
      <c r="C151" t="s">
        <v>1</v>
      </c>
      <c r="D151">
        <v>0.16216215491294861</v>
      </c>
      <c r="E151" t="s">
        <v>2989</v>
      </c>
    </row>
    <row r="152" spans="1:5" x14ac:dyDescent="0.2">
      <c r="A152" t="s">
        <v>2268</v>
      </c>
      <c r="B152" t="s">
        <v>437</v>
      </c>
      <c r="C152" t="s">
        <v>1</v>
      </c>
      <c r="D152">
        <v>0.26666668057441711</v>
      </c>
      <c r="E152" t="s">
        <v>2989</v>
      </c>
    </row>
    <row r="153" spans="1:5" x14ac:dyDescent="0.2">
      <c r="A153" t="s">
        <v>2269</v>
      </c>
      <c r="B153" t="s">
        <v>487</v>
      </c>
      <c r="C153" t="s">
        <v>1</v>
      </c>
      <c r="D153">
        <v>0.40000000596046448</v>
      </c>
      <c r="E153" t="s">
        <v>2987</v>
      </c>
    </row>
    <row r="154" spans="1:5" x14ac:dyDescent="0.2">
      <c r="A154" t="s">
        <v>2270</v>
      </c>
      <c r="B154" t="s">
        <v>965</v>
      </c>
      <c r="C154" t="s">
        <v>1</v>
      </c>
      <c r="D154">
        <v>1</v>
      </c>
      <c r="E154" t="s">
        <v>2987</v>
      </c>
    </row>
    <row r="155" spans="1:5" x14ac:dyDescent="0.2">
      <c r="A155" t="s">
        <v>2271</v>
      </c>
      <c r="B155" t="s">
        <v>492</v>
      </c>
      <c r="C155" t="s">
        <v>0</v>
      </c>
      <c r="D155">
        <v>1</v>
      </c>
      <c r="E155" t="s">
        <v>2987</v>
      </c>
    </row>
    <row r="156" spans="1:5" x14ac:dyDescent="0.2">
      <c r="A156" t="s">
        <v>2272</v>
      </c>
      <c r="B156" t="s">
        <v>967</v>
      </c>
      <c r="C156" t="s">
        <v>1</v>
      </c>
      <c r="D156">
        <v>0.41379311680793762</v>
      </c>
      <c r="E156" t="s">
        <v>2987</v>
      </c>
    </row>
    <row r="157" spans="1:5" x14ac:dyDescent="0.2">
      <c r="A157" t="s">
        <v>2273</v>
      </c>
      <c r="B157" t="s">
        <v>780</v>
      </c>
      <c r="C157" t="s">
        <v>0</v>
      </c>
      <c r="D157">
        <v>0.28125</v>
      </c>
      <c r="E157" t="s">
        <v>2989</v>
      </c>
    </row>
    <row r="158" spans="1:5" x14ac:dyDescent="0.2">
      <c r="A158" t="s">
        <v>2274</v>
      </c>
      <c r="B158" t="s">
        <v>838</v>
      </c>
      <c r="C158" t="s">
        <v>0</v>
      </c>
      <c r="D158">
        <v>0.26666668057441711</v>
      </c>
      <c r="E158" t="s">
        <v>2989</v>
      </c>
    </row>
    <row r="159" spans="1:5" x14ac:dyDescent="0.2">
      <c r="A159" t="s">
        <v>2275</v>
      </c>
      <c r="B159" t="s">
        <v>690</v>
      </c>
      <c r="C159" t="s">
        <v>0</v>
      </c>
      <c r="D159">
        <v>0.52066117525100708</v>
      </c>
      <c r="E159" t="s">
        <v>2987</v>
      </c>
    </row>
    <row r="160" spans="1:5" x14ac:dyDescent="0.2">
      <c r="A160" t="s">
        <v>2276</v>
      </c>
      <c r="B160" t="s">
        <v>1355</v>
      </c>
      <c r="C160" t="s">
        <v>0</v>
      </c>
      <c r="D160">
        <v>0.45714285969734192</v>
      </c>
      <c r="E160" t="s">
        <v>2987</v>
      </c>
    </row>
    <row r="161" spans="1:5" x14ac:dyDescent="0.2">
      <c r="A161" t="s">
        <v>2277</v>
      </c>
      <c r="B161" t="s">
        <v>1161</v>
      </c>
      <c r="C161" t="s">
        <v>0</v>
      </c>
      <c r="D161">
        <v>0.55208331346511841</v>
      </c>
      <c r="E161" t="s">
        <v>2987</v>
      </c>
    </row>
    <row r="162" spans="1:5" x14ac:dyDescent="0.2">
      <c r="A162" t="s">
        <v>2278</v>
      </c>
      <c r="B162" t="s">
        <v>1787</v>
      </c>
      <c r="C162" t="s">
        <v>1</v>
      </c>
      <c r="D162">
        <v>0.55208331346511841</v>
      </c>
      <c r="E162" t="s">
        <v>2987</v>
      </c>
    </row>
    <row r="163" spans="1:5" x14ac:dyDescent="0.2">
      <c r="A163" t="s">
        <v>2279</v>
      </c>
      <c r="B163" t="s">
        <v>1382</v>
      </c>
      <c r="C163" t="s">
        <v>1</v>
      </c>
      <c r="D163">
        <v>0.375</v>
      </c>
      <c r="E163" t="s">
        <v>2989</v>
      </c>
    </row>
    <row r="164" spans="1:5" x14ac:dyDescent="0.2">
      <c r="A164" t="s">
        <v>2280</v>
      </c>
      <c r="B164" t="s">
        <v>1773</v>
      </c>
      <c r="C164" t="s">
        <v>1</v>
      </c>
      <c r="D164">
        <v>0.3333333432674408</v>
      </c>
      <c r="E164" t="s">
        <v>2989</v>
      </c>
    </row>
    <row r="165" spans="1:5" x14ac:dyDescent="0.2">
      <c r="A165" t="s">
        <v>2281</v>
      </c>
      <c r="B165" t="s">
        <v>156</v>
      </c>
      <c r="C165" t="s">
        <v>0</v>
      </c>
      <c r="D165">
        <v>0.38333332538604736</v>
      </c>
      <c r="E165" t="s">
        <v>2989</v>
      </c>
    </row>
    <row r="166" spans="1:5" x14ac:dyDescent="0.2">
      <c r="A166" t="s">
        <v>2282</v>
      </c>
      <c r="B166" t="s">
        <v>2988</v>
      </c>
      <c r="C166" t="s">
        <v>2988</v>
      </c>
      <c r="D166">
        <v>0</v>
      </c>
      <c r="E166" t="s">
        <v>2987</v>
      </c>
    </row>
    <row r="167" spans="1:5" x14ac:dyDescent="0.2">
      <c r="A167" t="s">
        <v>2283</v>
      </c>
      <c r="B167" t="s">
        <v>2988</v>
      </c>
      <c r="C167" t="s">
        <v>2988</v>
      </c>
      <c r="D167">
        <v>0</v>
      </c>
      <c r="E167" t="s">
        <v>2987</v>
      </c>
    </row>
    <row r="168" spans="1:5" x14ac:dyDescent="0.2">
      <c r="A168" t="s">
        <v>2284</v>
      </c>
      <c r="B168" t="s">
        <v>1383</v>
      </c>
      <c r="C168" t="s">
        <v>1</v>
      </c>
      <c r="D168">
        <v>0.26086956262588501</v>
      </c>
      <c r="E168" t="s">
        <v>2989</v>
      </c>
    </row>
    <row r="169" spans="1:5" x14ac:dyDescent="0.2">
      <c r="A169" t="s">
        <v>2285</v>
      </c>
      <c r="B169" t="s">
        <v>2988</v>
      </c>
      <c r="C169" t="s">
        <v>2988</v>
      </c>
      <c r="D169">
        <v>0</v>
      </c>
      <c r="E169" t="s">
        <v>2987</v>
      </c>
    </row>
    <row r="170" spans="1:5" x14ac:dyDescent="0.2">
      <c r="A170" t="s">
        <v>2286</v>
      </c>
      <c r="B170" t="s">
        <v>2007</v>
      </c>
      <c r="C170" t="s">
        <v>1</v>
      </c>
      <c r="D170">
        <v>0.39344263076782227</v>
      </c>
      <c r="E170" t="s">
        <v>2989</v>
      </c>
    </row>
    <row r="171" spans="1:5" x14ac:dyDescent="0.2">
      <c r="A171" t="s">
        <v>2287</v>
      </c>
      <c r="B171" t="s">
        <v>1676</v>
      </c>
      <c r="C171" t="s">
        <v>1</v>
      </c>
      <c r="D171">
        <v>1</v>
      </c>
      <c r="E171" t="s">
        <v>2987</v>
      </c>
    </row>
    <row r="172" spans="1:5" x14ac:dyDescent="0.2">
      <c r="A172" t="s">
        <v>2288</v>
      </c>
      <c r="B172" t="s">
        <v>2988</v>
      </c>
      <c r="C172" t="s">
        <v>2988</v>
      </c>
      <c r="D172">
        <v>0</v>
      </c>
      <c r="E172" t="s">
        <v>2987</v>
      </c>
    </row>
    <row r="173" spans="1:5" x14ac:dyDescent="0.2">
      <c r="A173" t="s">
        <v>2289</v>
      </c>
      <c r="B173" t="s">
        <v>2988</v>
      </c>
      <c r="C173" t="s">
        <v>2988</v>
      </c>
      <c r="D173">
        <v>0</v>
      </c>
      <c r="E173" t="s">
        <v>2987</v>
      </c>
    </row>
    <row r="174" spans="1:5" x14ac:dyDescent="0.2">
      <c r="A174" t="s">
        <v>2290</v>
      </c>
      <c r="B174" t="s">
        <v>2988</v>
      </c>
      <c r="C174" t="s">
        <v>2988</v>
      </c>
      <c r="D174">
        <v>0</v>
      </c>
      <c r="E174" t="s">
        <v>2987</v>
      </c>
    </row>
    <row r="175" spans="1:5" x14ac:dyDescent="0.2">
      <c r="A175" t="s">
        <v>2291</v>
      </c>
      <c r="B175" t="s">
        <v>2988</v>
      </c>
      <c r="C175" t="s">
        <v>2988</v>
      </c>
      <c r="D175">
        <v>2.1739130839705467E-2</v>
      </c>
      <c r="E175" t="s">
        <v>2987</v>
      </c>
    </row>
    <row r="176" spans="1:5" x14ac:dyDescent="0.2">
      <c r="A176" t="s">
        <v>2292</v>
      </c>
      <c r="B176" t="s">
        <v>405</v>
      </c>
      <c r="C176" t="s">
        <v>1</v>
      </c>
      <c r="D176">
        <v>0.39344263076782227</v>
      </c>
      <c r="E176" t="s">
        <v>2989</v>
      </c>
    </row>
    <row r="177" spans="1:5" x14ac:dyDescent="0.2">
      <c r="A177" t="s">
        <v>2293</v>
      </c>
      <c r="B177" t="s">
        <v>2988</v>
      </c>
      <c r="C177" t="s">
        <v>2988</v>
      </c>
      <c r="D177">
        <v>0</v>
      </c>
      <c r="E177" t="s">
        <v>2987</v>
      </c>
    </row>
    <row r="178" spans="1:5" x14ac:dyDescent="0.2">
      <c r="A178" t="s">
        <v>2294</v>
      </c>
      <c r="B178" t="s">
        <v>2988</v>
      </c>
      <c r="C178" t="s">
        <v>2988</v>
      </c>
      <c r="D178">
        <v>0</v>
      </c>
      <c r="E178" t="s">
        <v>2987</v>
      </c>
    </row>
    <row r="179" spans="1:5" x14ac:dyDescent="0.2">
      <c r="A179" t="s">
        <v>2295</v>
      </c>
      <c r="B179" t="s">
        <v>2988</v>
      </c>
      <c r="C179" t="s">
        <v>2988</v>
      </c>
      <c r="D179">
        <v>0</v>
      </c>
      <c r="E179" t="s">
        <v>2987</v>
      </c>
    </row>
    <row r="180" spans="1:5" x14ac:dyDescent="0.2">
      <c r="A180" t="s">
        <v>2296</v>
      </c>
      <c r="B180" t="s">
        <v>2988</v>
      </c>
      <c r="C180" t="s">
        <v>2988</v>
      </c>
      <c r="D180">
        <v>0</v>
      </c>
      <c r="E180" t="s">
        <v>2987</v>
      </c>
    </row>
    <row r="181" spans="1:5" x14ac:dyDescent="0.2">
      <c r="A181" t="s">
        <v>2297</v>
      </c>
      <c r="B181" t="s">
        <v>2988</v>
      </c>
      <c r="C181" t="s">
        <v>2988</v>
      </c>
      <c r="D181">
        <v>0</v>
      </c>
      <c r="E181" t="s">
        <v>2987</v>
      </c>
    </row>
    <row r="182" spans="1:5" x14ac:dyDescent="0.2">
      <c r="A182" t="s">
        <v>2298</v>
      </c>
      <c r="B182" t="s">
        <v>407</v>
      </c>
      <c r="C182" t="s">
        <v>1</v>
      </c>
      <c r="D182">
        <v>0.32558140158653259</v>
      </c>
      <c r="E182" t="s">
        <v>2989</v>
      </c>
    </row>
    <row r="183" spans="1:5" x14ac:dyDescent="0.2">
      <c r="A183" t="s">
        <v>2299</v>
      </c>
      <c r="B183" t="s">
        <v>880</v>
      </c>
      <c r="C183" t="s">
        <v>0</v>
      </c>
      <c r="D183">
        <v>0.1770833283662796</v>
      </c>
      <c r="E183" t="s">
        <v>2989</v>
      </c>
    </row>
    <row r="184" spans="1:5" x14ac:dyDescent="0.2">
      <c r="A184" t="s">
        <v>2300</v>
      </c>
      <c r="B184" t="s">
        <v>1165</v>
      </c>
      <c r="C184" t="s">
        <v>0</v>
      </c>
      <c r="D184">
        <v>1</v>
      </c>
      <c r="E184" t="s">
        <v>2987</v>
      </c>
    </row>
    <row r="185" spans="1:5" x14ac:dyDescent="0.2">
      <c r="A185" t="s">
        <v>2301</v>
      </c>
      <c r="B185" t="s">
        <v>2988</v>
      </c>
      <c r="C185" t="s">
        <v>2988</v>
      </c>
      <c r="D185">
        <v>0</v>
      </c>
      <c r="E185" t="s">
        <v>2987</v>
      </c>
    </row>
    <row r="186" spans="1:5" x14ac:dyDescent="0.2">
      <c r="A186" t="s">
        <v>2302</v>
      </c>
      <c r="B186" t="s">
        <v>107</v>
      </c>
      <c r="C186" t="s">
        <v>1</v>
      </c>
      <c r="D186">
        <v>0.44736841320991516</v>
      </c>
      <c r="E186" t="s">
        <v>2987</v>
      </c>
    </row>
    <row r="187" spans="1:5" x14ac:dyDescent="0.2">
      <c r="A187" t="s">
        <v>2303</v>
      </c>
      <c r="B187" t="s">
        <v>107</v>
      </c>
      <c r="C187" t="s">
        <v>1</v>
      </c>
      <c r="D187">
        <v>0.54651165008544922</v>
      </c>
      <c r="E187" t="s">
        <v>2987</v>
      </c>
    </row>
    <row r="188" spans="1:5" x14ac:dyDescent="0.2">
      <c r="A188" t="s">
        <v>2304</v>
      </c>
      <c r="B188" t="s">
        <v>1925</v>
      </c>
      <c r="C188" t="s">
        <v>1</v>
      </c>
      <c r="D188">
        <v>0.36923077702522278</v>
      </c>
      <c r="E188" t="s">
        <v>2989</v>
      </c>
    </row>
    <row r="189" spans="1:5" x14ac:dyDescent="0.2">
      <c r="A189" t="s">
        <v>2305</v>
      </c>
      <c r="B189" t="s">
        <v>1233</v>
      </c>
      <c r="C189" t="s">
        <v>1</v>
      </c>
      <c r="D189">
        <v>0.44736841320991516</v>
      </c>
      <c r="E189" t="s">
        <v>2987</v>
      </c>
    </row>
    <row r="190" spans="1:5" x14ac:dyDescent="0.2">
      <c r="A190" t="s">
        <v>2306</v>
      </c>
      <c r="B190" t="s">
        <v>906</v>
      </c>
      <c r="C190" t="s">
        <v>0</v>
      </c>
      <c r="D190">
        <v>0.17977528274059296</v>
      </c>
      <c r="E190" t="s">
        <v>2989</v>
      </c>
    </row>
    <row r="191" spans="1:5" x14ac:dyDescent="0.2">
      <c r="A191" t="s">
        <v>2307</v>
      </c>
      <c r="B191" t="s">
        <v>1496</v>
      </c>
      <c r="C191" t="s">
        <v>1</v>
      </c>
      <c r="D191">
        <v>0.45454546809196472</v>
      </c>
      <c r="E191" t="s">
        <v>2987</v>
      </c>
    </row>
    <row r="192" spans="1:5" x14ac:dyDescent="0.2">
      <c r="A192" t="s">
        <v>2308</v>
      </c>
      <c r="B192" t="s">
        <v>602</v>
      </c>
      <c r="C192" t="s">
        <v>0</v>
      </c>
      <c r="D192">
        <v>0.32432430982589722</v>
      </c>
      <c r="E192" t="s">
        <v>2989</v>
      </c>
    </row>
    <row r="193" spans="1:5" x14ac:dyDescent="0.2">
      <c r="A193" t="s">
        <v>2309</v>
      </c>
      <c r="B193" t="s">
        <v>2988</v>
      </c>
      <c r="C193" t="s">
        <v>2988</v>
      </c>
      <c r="D193">
        <v>0</v>
      </c>
      <c r="E193" t="s">
        <v>2987</v>
      </c>
    </row>
    <row r="194" spans="1:5" x14ac:dyDescent="0.2">
      <c r="A194" t="s">
        <v>2310</v>
      </c>
      <c r="B194" t="s">
        <v>1306</v>
      </c>
      <c r="C194" t="s">
        <v>1</v>
      </c>
      <c r="D194">
        <v>0.2641509473323822</v>
      </c>
      <c r="E194" t="s">
        <v>2989</v>
      </c>
    </row>
    <row r="195" spans="1:5" x14ac:dyDescent="0.2">
      <c r="A195" t="s">
        <v>2311</v>
      </c>
      <c r="B195" t="s">
        <v>1521</v>
      </c>
      <c r="C195" t="s">
        <v>0</v>
      </c>
      <c r="D195">
        <v>0.3382352888584137</v>
      </c>
      <c r="E195" t="s">
        <v>2989</v>
      </c>
    </row>
    <row r="196" spans="1:5" x14ac:dyDescent="0.2">
      <c r="A196" t="s">
        <v>2312</v>
      </c>
      <c r="B196" t="s">
        <v>1521</v>
      </c>
      <c r="C196" t="s">
        <v>0</v>
      </c>
      <c r="D196">
        <v>0.47058823704719543</v>
      </c>
      <c r="E196" t="s">
        <v>2987</v>
      </c>
    </row>
    <row r="197" spans="1:5" x14ac:dyDescent="0.2">
      <c r="A197" t="s">
        <v>2313</v>
      </c>
      <c r="B197" t="s">
        <v>2988</v>
      </c>
      <c r="C197" t="s">
        <v>2988</v>
      </c>
      <c r="D197">
        <v>0</v>
      </c>
      <c r="E197" t="s">
        <v>2987</v>
      </c>
    </row>
    <row r="198" spans="1:5" x14ac:dyDescent="0.2">
      <c r="A198" t="s">
        <v>2314</v>
      </c>
      <c r="B198" t="s">
        <v>287</v>
      </c>
      <c r="C198" t="s">
        <v>1</v>
      </c>
      <c r="D198">
        <v>0.32653060555458069</v>
      </c>
      <c r="E198" t="s">
        <v>2989</v>
      </c>
    </row>
    <row r="199" spans="1:5" x14ac:dyDescent="0.2">
      <c r="A199" t="s">
        <v>2315</v>
      </c>
      <c r="B199" t="s">
        <v>307</v>
      </c>
      <c r="C199" t="s">
        <v>1</v>
      </c>
      <c r="D199">
        <v>0.2720000147819519</v>
      </c>
      <c r="E199" t="s">
        <v>2989</v>
      </c>
    </row>
    <row r="200" spans="1:5" x14ac:dyDescent="0.2">
      <c r="A200" t="s">
        <v>2316</v>
      </c>
      <c r="B200" t="s">
        <v>868</v>
      </c>
      <c r="C200" t="s">
        <v>0</v>
      </c>
      <c r="D200">
        <v>0.21951219439506531</v>
      </c>
      <c r="E200" t="s">
        <v>2989</v>
      </c>
    </row>
    <row r="201" spans="1:5" x14ac:dyDescent="0.2">
      <c r="A201" t="s">
        <v>2317</v>
      </c>
      <c r="B201" t="s">
        <v>1806</v>
      </c>
      <c r="C201" t="s">
        <v>1</v>
      </c>
      <c r="D201">
        <v>0.13963964581489563</v>
      </c>
      <c r="E201" t="s">
        <v>2989</v>
      </c>
    </row>
    <row r="202" spans="1:5" x14ac:dyDescent="0.2">
      <c r="A202" t="s">
        <v>2318</v>
      </c>
      <c r="B202" t="s">
        <v>2988</v>
      </c>
      <c r="C202" t="s">
        <v>2988</v>
      </c>
      <c r="D202">
        <v>0</v>
      </c>
      <c r="E202" t="s">
        <v>2987</v>
      </c>
    </row>
    <row r="203" spans="1:5" x14ac:dyDescent="0.2">
      <c r="A203" t="s">
        <v>2319</v>
      </c>
      <c r="B203" t="s">
        <v>2988</v>
      </c>
      <c r="C203" t="s">
        <v>2988</v>
      </c>
      <c r="D203">
        <v>0</v>
      </c>
      <c r="E203" t="s">
        <v>2987</v>
      </c>
    </row>
    <row r="204" spans="1:5" x14ac:dyDescent="0.2">
      <c r="A204" t="s">
        <v>2320</v>
      </c>
      <c r="B204" t="s">
        <v>2988</v>
      </c>
      <c r="C204" t="s">
        <v>2988</v>
      </c>
      <c r="D204">
        <v>0</v>
      </c>
      <c r="E204" t="s">
        <v>2987</v>
      </c>
    </row>
    <row r="205" spans="1:5" x14ac:dyDescent="0.2">
      <c r="A205" t="s">
        <v>2321</v>
      </c>
      <c r="B205" t="s">
        <v>2988</v>
      </c>
      <c r="C205" t="s">
        <v>2988</v>
      </c>
      <c r="D205">
        <v>0</v>
      </c>
      <c r="E205" t="s">
        <v>2987</v>
      </c>
    </row>
    <row r="206" spans="1:5" x14ac:dyDescent="0.2">
      <c r="A206" t="s">
        <v>2322</v>
      </c>
      <c r="B206" t="s">
        <v>1469</v>
      </c>
      <c r="C206" t="s">
        <v>1</v>
      </c>
      <c r="D206">
        <v>1</v>
      </c>
      <c r="E206" t="s">
        <v>2987</v>
      </c>
    </row>
    <row r="207" spans="1:5" x14ac:dyDescent="0.2">
      <c r="A207" t="s">
        <v>2323</v>
      </c>
      <c r="B207" t="s">
        <v>2988</v>
      </c>
      <c r="C207" t="s">
        <v>2988</v>
      </c>
      <c r="D207">
        <v>0</v>
      </c>
      <c r="E207" t="s">
        <v>2987</v>
      </c>
    </row>
    <row r="208" spans="1:5" x14ac:dyDescent="0.2">
      <c r="A208" t="s">
        <v>2324</v>
      </c>
      <c r="B208" t="s">
        <v>2988</v>
      </c>
      <c r="C208" t="s">
        <v>2988</v>
      </c>
      <c r="D208">
        <v>0</v>
      </c>
      <c r="E208" t="s">
        <v>2987</v>
      </c>
    </row>
    <row r="209" spans="1:5" x14ac:dyDescent="0.2">
      <c r="A209" t="s">
        <v>2325</v>
      </c>
      <c r="B209" t="s">
        <v>2988</v>
      </c>
      <c r="C209" t="s">
        <v>2988</v>
      </c>
      <c r="D209">
        <v>0</v>
      </c>
      <c r="E209" t="s">
        <v>2987</v>
      </c>
    </row>
    <row r="210" spans="1:5" x14ac:dyDescent="0.2">
      <c r="A210" t="s">
        <v>2326</v>
      </c>
      <c r="B210" t="s">
        <v>372</v>
      </c>
      <c r="C210" t="s">
        <v>0</v>
      </c>
      <c r="D210">
        <v>0.2074074000120163</v>
      </c>
      <c r="E210" t="s">
        <v>2989</v>
      </c>
    </row>
    <row r="211" spans="1:5" x14ac:dyDescent="0.2">
      <c r="A211" t="s">
        <v>2327</v>
      </c>
      <c r="B211" t="s">
        <v>372</v>
      </c>
      <c r="C211" t="s">
        <v>0</v>
      </c>
      <c r="D211">
        <v>0.2074074000120163</v>
      </c>
      <c r="E211" t="s">
        <v>2989</v>
      </c>
    </row>
    <row r="212" spans="1:5" x14ac:dyDescent="0.2">
      <c r="A212" t="s">
        <v>2328</v>
      </c>
      <c r="B212" t="s">
        <v>2988</v>
      </c>
      <c r="C212" t="s">
        <v>2988</v>
      </c>
      <c r="D212">
        <v>0</v>
      </c>
      <c r="E212" t="s">
        <v>2987</v>
      </c>
    </row>
    <row r="213" spans="1:5" x14ac:dyDescent="0.2">
      <c r="A213" t="s">
        <v>2329</v>
      </c>
      <c r="B213" t="s">
        <v>2988</v>
      </c>
      <c r="C213" t="s">
        <v>2988</v>
      </c>
      <c r="D213">
        <v>7.8740157186985016E-3</v>
      </c>
      <c r="E213" t="s">
        <v>2987</v>
      </c>
    </row>
    <row r="214" spans="1:5" x14ac:dyDescent="0.2">
      <c r="A214" t="s">
        <v>2330</v>
      </c>
      <c r="B214" t="s">
        <v>1986</v>
      </c>
      <c r="C214" t="s">
        <v>1</v>
      </c>
      <c r="D214">
        <v>0.3125</v>
      </c>
      <c r="E214" t="s">
        <v>2989</v>
      </c>
    </row>
    <row r="215" spans="1:5" x14ac:dyDescent="0.2">
      <c r="A215" t="s">
        <v>2331</v>
      </c>
      <c r="B215" t="s">
        <v>156</v>
      </c>
      <c r="C215" t="s">
        <v>0</v>
      </c>
      <c r="D215">
        <v>0.41284403204917908</v>
      </c>
      <c r="E215" t="s">
        <v>2987</v>
      </c>
    </row>
    <row r="216" spans="1:5" x14ac:dyDescent="0.2">
      <c r="A216" t="s">
        <v>2332</v>
      </c>
      <c r="B216" t="s">
        <v>92</v>
      </c>
      <c r="C216" t="s">
        <v>0</v>
      </c>
      <c r="D216">
        <v>1</v>
      </c>
      <c r="E216" t="s">
        <v>2987</v>
      </c>
    </row>
    <row r="217" spans="1:5" x14ac:dyDescent="0.2">
      <c r="A217" t="s">
        <v>2333</v>
      </c>
      <c r="B217" t="s">
        <v>786</v>
      </c>
      <c r="C217" t="s">
        <v>0</v>
      </c>
      <c r="D217">
        <v>0.32653060555458069</v>
      </c>
      <c r="E217" t="s">
        <v>2989</v>
      </c>
    </row>
    <row r="218" spans="1:5" x14ac:dyDescent="0.2">
      <c r="A218" t="s">
        <v>2334</v>
      </c>
      <c r="B218" t="s">
        <v>1995</v>
      </c>
      <c r="C218" t="s">
        <v>1</v>
      </c>
      <c r="D218">
        <v>0.3333333432674408</v>
      </c>
      <c r="E218" t="s">
        <v>2989</v>
      </c>
    </row>
    <row r="219" spans="1:5" x14ac:dyDescent="0.2">
      <c r="A219" t="s">
        <v>2335</v>
      </c>
      <c r="B219" t="s">
        <v>2988</v>
      </c>
      <c r="C219" t="s">
        <v>2988</v>
      </c>
      <c r="D219">
        <v>0</v>
      </c>
      <c r="E219" t="s">
        <v>2987</v>
      </c>
    </row>
    <row r="220" spans="1:5" x14ac:dyDescent="0.2">
      <c r="A220" t="s">
        <v>2336</v>
      </c>
      <c r="B220" t="s">
        <v>2988</v>
      </c>
      <c r="C220" t="s">
        <v>2988</v>
      </c>
      <c r="D220">
        <v>0</v>
      </c>
      <c r="E220" t="s">
        <v>2987</v>
      </c>
    </row>
    <row r="221" spans="1:5" x14ac:dyDescent="0.2">
      <c r="A221" t="s">
        <v>2337</v>
      </c>
      <c r="B221" t="s">
        <v>1604</v>
      </c>
      <c r="C221" t="s">
        <v>1</v>
      </c>
      <c r="D221">
        <v>0.380952388048172</v>
      </c>
      <c r="E221" t="s">
        <v>2989</v>
      </c>
    </row>
    <row r="222" spans="1:5" x14ac:dyDescent="0.2">
      <c r="A222" t="s">
        <v>2338</v>
      </c>
      <c r="B222" t="s">
        <v>1385</v>
      </c>
      <c r="C222" t="s">
        <v>1</v>
      </c>
      <c r="D222">
        <v>0.31034481525421143</v>
      </c>
      <c r="E222" t="s">
        <v>2989</v>
      </c>
    </row>
    <row r="223" spans="1:5" x14ac:dyDescent="0.2">
      <c r="A223" t="s">
        <v>2339</v>
      </c>
      <c r="B223" t="s">
        <v>1702</v>
      </c>
      <c r="C223" t="s">
        <v>1</v>
      </c>
      <c r="D223">
        <v>0.46153846383094788</v>
      </c>
      <c r="E223" t="s">
        <v>2987</v>
      </c>
    </row>
    <row r="224" spans="1:5" x14ac:dyDescent="0.2">
      <c r="A224" t="s">
        <v>2340</v>
      </c>
      <c r="B224" t="s">
        <v>1359</v>
      </c>
      <c r="C224" t="s">
        <v>0</v>
      </c>
      <c r="D224">
        <v>0.17391304671764374</v>
      </c>
      <c r="E224" t="s">
        <v>2989</v>
      </c>
    </row>
    <row r="225" spans="1:5" x14ac:dyDescent="0.2">
      <c r="A225" t="s">
        <v>2341</v>
      </c>
      <c r="B225" t="s">
        <v>212</v>
      </c>
      <c r="C225" t="s">
        <v>0</v>
      </c>
      <c r="D225">
        <v>0.41791045665740967</v>
      </c>
      <c r="E225" t="s">
        <v>2987</v>
      </c>
    </row>
    <row r="226" spans="1:5" x14ac:dyDescent="0.2">
      <c r="A226" t="s">
        <v>2342</v>
      </c>
      <c r="B226" t="s">
        <v>1767</v>
      </c>
      <c r="C226" t="s">
        <v>1</v>
      </c>
      <c r="D226">
        <v>0.22033898532390594</v>
      </c>
      <c r="E226" t="s">
        <v>2989</v>
      </c>
    </row>
    <row r="227" spans="1:5" x14ac:dyDescent="0.2">
      <c r="A227" t="s">
        <v>2343</v>
      </c>
      <c r="B227" t="s">
        <v>1767</v>
      </c>
      <c r="C227" t="s">
        <v>1</v>
      </c>
      <c r="D227">
        <v>0.23423422873020172</v>
      </c>
      <c r="E227" t="s">
        <v>2989</v>
      </c>
    </row>
    <row r="228" spans="1:5" x14ac:dyDescent="0.2">
      <c r="A228" t="s">
        <v>2344</v>
      </c>
      <c r="B228" t="s">
        <v>1139</v>
      </c>
      <c r="C228" t="s">
        <v>0</v>
      </c>
      <c r="D228">
        <v>0.18518517911434174</v>
      </c>
      <c r="E228" t="s">
        <v>2989</v>
      </c>
    </row>
    <row r="229" spans="1:5" x14ac:dyDescent="0.2">
      <c r="A229" t="s">
        <v>2345</v>
      </c>
      <c r="B229" t="s">
        <v>1139</v>
      </c>
      <c r="C229" t="s">
        <v>0</v>
      </c>
      <c r="D229">
        <v>0.19900497794151306</v>
      </c>
      <c r="E229" t="s">
        <v>2989</v>
      </c>
    </row>
    <row r="230" spans="1:5" x14ac:dyDescent="0.2">
      <c r="A230" t="s">
        <v>2346</v>
      </c>
      <c r="B230" t="s">
        <v>1768</v>
      </c>
      <c r="C230" t="s">
        <v>1</v>
      </c>
      <c r="D230">
        <v>0.29629629850387573</v>
      </c>
      <c r="E230" t="s">
        <v>2989</v>
      </c>
    </row>
    <row r="231" spans="1:5" x14ac:dyDescent="0.2">
      <c r="A231" t="s">
        <v>2347</v>
      </c>
      <c r="B231" t="s">
        <v>1769</v>
      </c>
      <c r="C231" t="s">
        <v>1</v>
      </c>
      <c r="D231">
        <v>0.40000000596046448</v>
      </c>
      <c r="E231" t="s">
        <v>2987</v>
      </c>
    </row>
    <row r="232" spans="1:5" x14ac:dyDescent="0.2">
      <c r="A232" t="s">
        <v>2348</v>
      </c>
      <c r="B232" t="s">
        <v>156</v>
      </c>
      <c r="C232" t="s">
        <v>0</v>
      </c>
      <c r="D232">
        <v>0.38333332538604736</v>
      </c>
      <c r="E232" t="s">
        <v>2989</v>
      </c>
    </row>
    <row r="233" spans="1:5" x14ac:dyDescent="0.2">
      <c r="A233" t="s">
        <v>2349</v>
      </c>
      <c r="B233" t="s">
        <v>1037</v>
      </c>
      <c r="C233" t="s">
        <v>1</v>
      </c>
      <c r="D233">
        <v>0.23684211075305939</v>
      </c>
      <c r="E233" t="s">
        <v>2989</v>
      </c>
    </row>
    <row r="234" spans="1:5" x14ac:dyDescent="0.2">
      <c r="A234" t="s">
        <v>2350</v>
      </c>
      <c r="B234" t="s">
        <v>2988</v>
      </c>
      <c r="C234" t="s">
        <v>2988</v>
      </c>
      <c r="D234">
        <v>0</v>
      </c>
      <c r="E234" t="s">
        <v>2987</v>
      </c>
    </row>
    <row r="235" spans="1:5" x14ac:dyDescent="0.2">
      <c r="A235" t="s">
        <v>2351</v>
      </c>
      <c r="B235" t="s">
        <v>411</v>
      </c>
      <c r="C235" t="s">
        <v>1</v>
      </c>
      <c r="D235">
        <v>0.39344263076782227</v>
      </c>
      <c r="E235" t="s">
        <v>2989</v>
      </c>
    </row>
    <row r="236" spans="1:5" x14ac:dyDescent="0.2">
      <c r="A236" t="s">
        <v>2352</v>
      </c>
      <c r="B236" t="s">
        <v>289</v>
      </c>
      <c r="C236" t="s">
        <v>1</v>
      </c>
      <c r="D236">
        <v>1</v>
      </c>
      <c r="E236" t="s">
        <v>2987</v>
      </c>
    </row>
    <row r="237" spans="1:5" x14ac:dyDescent="0.2">
      <c r="A237" t="s">
        <v>2353</v>
      </c>
      <c r="B237" t="s">
        <v>1015</v>
      </c>
      <c r="C237" t="s">
        <v>1</v>
      </c>
      <c r="D237">
        <v>0.21686747670173645</v>
      </c>
      <c r="E237" t="s">
        <v>2989</v>
      </c>
    </row>
    <row r="238" spans="1:5" x14ac:dyDescent="0.2">
      <c r="A238" t="s">
        <v>2354</v>
      </c>
      <c r="B238" t="s">
        <v>413</v>
      </c>
      <c r="C238" t="s">
        <v>1</v>
      </c>
      <c r="D238">
        <v>0.29032257199287415</v>
      </c>
      <c r="E238" t="s">
        <v>2989</v>
      </c>
    </row>
    <row r="239" spans="1:5" x14ac:dyDescent="0.2">
      <c r="A239" t="s">
        <v>2355</v>
      </c>
      <c r="B239" t="s">
        <v>1014</v>
      </c>
      <c r="C239" t="s">
        <v>0</v>
      </c>
      <c r="D239">
        <v>0.31034481525421143</v>
      </c>
      <c r="E239" t="s">
        <v>2989</v>
      </c>
    </row>
    <row r="240" spans="1:5" x14ac:dyDescent="0.2">
      <c r="A240" t="s">
        <v>2356</v>
      </c>
      <c r="B240" t="s">
        <v>1556</v>
      </c>
      <c r="C240" t="s">
        <v>1</v>
      </c>
      <c r="D240">
        <v>0.71875</v>
      </c>
      <c r="E240" t="s">
        <v>2987</v>
      </c>
    </row>
    <row r="241" spans="1:5" x14ac:dyDescent="0.2">
      <c r="A241" t="s">
        <v>2357</v>
      </c>
      <c r="B241" t="s">
        <v>1471</v>
      </c>
      <c r="C241" t="s">
        <v>1</v>
      </c>
      <c r="D241">
        <v>1</v>
      </c>
      <c r="E241" t="s">
        <v>2987</v>
      </c>
    </row>
    <row r="242" spans="1:5" x14ac:dyDescent="0.2">
      <c r="A242" t="s">
        <v>2358</v>
      </c>
      <c r="B242" t="s">
        <v>1404</v>
      </c>
      <c r="C242" t="s">
        <v>0</v>
      </c>
      <c r="D242">
        <v>0.46261683106422424</v>
      </c>
      <c r="E242" t="s">
        <v>2987</v>
      </c>
    </row>
    <row r="243" spans="1:5" x14ac:dyDescent="0.2">
      <c r="A243" t="s">
        <v>2359</v>
      </c>
      <c r="B243" t="s">
        <v>606</v>
      </c>
      <c r="C243" t="s">
        <v>0</v>
      </c>
      <c r="D243">
        <v>0.24324324727058411</v>
      </c>
      <c r="E243" t="s">
        <v>2989</v>
      </c>
    </row>
    <row r="244" spans="1:5" x14ac:dyDescent="0.2">
      <c r="A244" t="s">
        <v>2360</v>
      </c>
      <c r="B244" t="s">
        <v>1103</v>
      </c>
      <c r="C244" t="s">
        <v>0</v>
      </c>
      <c r="D244">
        <v>0.25352111458778381</v>
      </c>
      <c r="E244" t="s">
        <v>2989</v>
      </c>
    </row>
    <row r="245" spans="1:5" x14ac:dyDescent="0.2">
      <c r="A245" t="s">
        <v>2361</v>
      </c>
      <c r="B245" t="s">
        <v>1774</v>
      </c>
      <c r="C245" t="s">
        <v>1</v>
      </c>
      <c r="D245">
        <v>0.36000001430511475</v>
      </c>
      <c r="E245" t="s">
        <v>2989</v>
      </c>
    </row>
    <row r="246" spans="1:5" x14ac:dyDescent="0.2">
      <c r="A246" t="s">
        <v>2362</v>
      </c>
      <c r="B246" t="s">
        <v>109</v>
      </c>
      <c r="C246" t="s">
        <v>1</v>
      </c>
      <c r="D246">
        <v>0.28070175647735596</v>
      </c>
      <c r="E246" t="s">
        <v>2989</v>
      </c>
    </row>
    <row r="247" spans="1:5" x14ac:dyDescent="0.2">
      <c r="A247" t="s">
        <v>2363</v>
      </c>
      <c r="B247" t="s">
        <v>2988</v>
      </c>
      <c r="C247" t="s">
        <v>2988</v>
      </c>
      <c r="D247">
        <v>0</v>
      </c>
      <c r="E247" t="s">
        <v>2987</v>
      </c>
    </row>
    <row r="248" spans="1:5" x14ac:dyDescent="0.2">
      <c r="A248" t="s">
        <v>2364</v>
      </c>
      <c r="B248" t="s">
        <v>1807</v>
      </c>
      <c r="C248" t="s">
        <v>1</v>
      </c>
      <c r="D248">
        <v>0.28571429848670959</v>
      </c>
      <c r="E248" t="s">
        <v>2989</v>
      </c>
    </row>
    <row r="249" spans="1:5" x14ac:dyDescent="0.2">
      <c r="A249" t="s">
        <v>2365</v>
      </c>
      <c r="B249" t="s">
        <v>2988</v>
      </c>
      <c r="C249" t="s">
        <v>2988</v>
      </c>
      <c r="D249">
        <v>0</v>
      </c>
      <c r="E249" t="s">
        <v>2987</v>
      </c>
    </row>
    <row r="250" spans="1:5" x14ac:dyDescent="0.2">
      <c r="A250" t="s">
        <v>2366</v>
      </c>
      <c r="B250" t="s">
        <v>2988</v>
      </c>
      <c r="C250" t="s">
        <v>2988</v>
      </c>
      <c r="D250">
        <v>1.2345679104328156E-2</v>
      </c>
      <c r="E250" t="s">
        <v>2987</v>
      </c>
    </row>
    <row r="251" spans="1:5" x14ac:dyDescent="0.2">
      <c r="A251" t="s">
        <v>2367</v>
      </c>
      <c r="B251" t="s">
        <v>2988</v>
      </c>
      <c r="C251" t="s">
        <v>2988</v>
      </c>
      <c r="D251">
        <v>0</v>
      </c>
      <c r="E251" t="s">
        <v>2987</v>
      </c>
    </row>
    <row r="252" spans="1:5" x14ac:dyDescent="0.2">
      <c r="A252" t="s">
        <v>2368</v>
      </c>
      <c r="B252" t="s">
        <v>2988</v>
      </c>
      <c r="C252" t="s">
        <v>2988</v>
      </c>
      <c r="D252">
        <v>0</v>
      </c>
      <c r="E252" t="s">
        <v>2987</v>
      </c>
    </row>
    <row r="253" spans="1:5" x14ac:dyDescent="0.2">
      <c r="A253" t="s">
        <v>2369</v>
      </c>
      <c r="B253" t="s">
        <v>971</v>
      </c>
      <c r="C253" t="s">
        <v>1</v>
      </c>
      <c r="D253">
        <v>0.29629629850387573</v>
      </c>
      <c r="E253" t="s">
        <v>2989</v>
      </c>
    </row>
    <row r="254" spans="1:5" x14ac:dyDescent="0.2">
      <c r="A254" t="s">
        <v>2370</v>
      </c>
      <c r="B254" t="s">
        <v>991</v>
      </c>
      <c r="C254" t="s">
        <v>0</v>
      </c>
      <c r="D254">
        <v>0.29032257199287415</v>
      </c>
      <c r="E254" t="s">
        <v>2989</v>
      </c>
    </row>
    <row r="255" spans="1:5" x14ac:dyDescent="0.2">
      <c r="A255" t="s">
        <v>2371</v>
      </c>
      <c r="B255" t="s">
        <v>1040</v>
      </c>
      <c r="C255" t="s">
        <v>0</v>
      </c>
      <c r="D255">
        <v>0.23762376606464386</v>
      </c>
      <c r="E255" t="s">
        <v>2989</v>
      </c>
    </row>
    <row r="256" spans="1:5" x14ac:dyDescent="0.2">
      <c r="A256" t="s">
        <v>2372</v>
      </c>
      <c r="B256" t="s">
        <v>1040</v>
      </c>
      <c r="C256" t="s">
        <v>0</v>
      </c>
      <c r="D256">
        <v>0.19354838132858276</v>
      </c>
      <c r="E256" t="s">
        <v>2989</v>
      </c>
    </row>
    <row r="257" spans="1:5" x14ac:dyDescent="0.2">
      <c r="A257" t="s">
        <v>2373</v>
      </c>
      <c r="B257" t="s">
        <v>2988</v>
      </c>
      <c r="C257" t="s">
        <v>2988</v>
      </c>
      <c r="D257">
        <v>0</v>
      </c>
      <c r="E257" t="s">
        <v>2987</v>
      </c>
    </row>
    <row r="258" spans="1:5" x14ac:dyDescent="0.2">
      <c r="A258" t="s">
        <v>2374</v>
      </c>
      <c r="B258" t="s">
        <v>176</v>
      </c>
      <c r="C258" t="s">
        <v>0</v>
      </c>
      <c r="D258">
        <v>0.25409835577011108</v>
      </c>
      <c r="E258" t="s">
        <v>2989</v>
      </c>
    </row>
    <row r="259" spans="1:5" x14ac:dyDescent="0.2">
      <c r="A259" t="s">
        <v>2375</v>
      </c>
      <c r="B259" t="s">
        <v>417</v>
      </c>
      <c r="C259" t="s">
        <v>1</v>
      </c>
      <c r="D259">
        <v>0.3684210479259491</v>
      </c>
      <c r="E259" t="s">
        <v>2989</v>
      </c>
    </row>
    <row r="260" spans="1:5" x14ac:dyDescent="0.2">
      <c r="A260" t="s">
        <v>2376</v>
      </c>
      <c r="B260" t="s">
        <v>2988</v>
      </c>
      <c r="C260" t="s">
        <v>2988</v>
      </c>
      <c r="D260">
        <v>0</v>
      </c>
      <c r="E260" t="s">
        <v>2987</v>
      </c>
    </row>
    <row r="261" spans="1:5" x14ac:dyDescent="0.2">
      <c r="A261" t="s">
        <v>2377</v>
      </c>
      <c r="B261" t="s">
        <v>2988</v>
      </c>
      <c r="C261" t="s">
        <v>2988</v>
      </c>
      <c r="D261">
        <v>0</v>
      </c>
      <c r="E261" t="s">
        <v>2987</v>
      </c>
    </row>
    <row r="262" spans="1:5" x14ac:dyDescent="0.2">
      <c r="A262" t="s">
        <v>2378</v>
      </c>
      <c r="B262" t="s">
        <v>503</v>
      </c>
      <c r="C262" t="s">
        <v>1</v>
      </c>
      <c r="D262">
        <v>0.25352111458778381</v>
      </c>
      <c r="E262" t="s">
        <v>2989</v>
      </c>
    </row>
    <row r="263" spans="1:5" x14ac:dyDescent="0.2">
      <c r="A263" t="s">
        <v>2379</v>
      </c>
      <c r="B263" t="s">
        <v>2009</v>
      </c>
      <c r="C263" t="s">
        <v>1</v>
      </c>
      <c r="D263">
        <v>0.23529411852359772</v>
      </c>
      <c r="E263" t="s">
        <v>2989</v>
      </c>
    </row>
    <row r="264" spans="1:5" x14ac:dyDescent="0.2">
      <c r="A264" t="s">
        <v>2380</v>
      </c>
      <c r="B264" t="s">
        <v>1101</v>
      </c>
      <c r="C264" t="s">
        <v>0</v>
      </c>
      <c r="D264">
        <v>0.17391304671764374</v>
      </c>
      <c r="E264" t="s">
        <v>2989</v>
      </c>
    </row>
    <row r="265" spans="1:5" x14ac:dyDescent="0.2">
      <c r="A265" t="s">
        <v>2381</v>
      </c>
      <c r="B265" t="s">
        <v>1659</v>
      </c>
      <c r="C265" t="s">
        <v>1</v>
      </c>
      <c r="D265">
        <v>0.13008129596710205</v>
      </c>
      <c r="E265" t="s">
        <v>2989</v>
      </c>
    </row>
    <row r="266" spans="1:5" x14ac:dyDescent="0.2">
      <c r="A266" t="s">
        <v>2382</v>
      </c>
      <c r="B266" t="s">
        <v>2988</v>
      </c>
      <c r="C266" t="s">
        <v>2988</v>
      </c>
      <c r="D266">
        <v>0</v>
      </c>
      <c r="E266" t="s">
        <v>2987</v>
      </c>
    </row>
    <row r="267" spans="1:5" x14ac:dyDescent="0.2">
      <c r="A267" t="s">
        <v>2383</v>
      </c>
      <c r="B267" t="s">
        <v>1167</v>
      </c>
      <c r="C267" t="s">
        <v>0</v>
      </c>
      <c r="D267">
        <v>0.42500001192092896</v>
      </c>
      <c r="E267" t="s">
        <v>2987</v>
      </c>
    </row>
    <row r="268" spans="1:5" x14ac:dyDescent="0.2">
      <c r="A268" t="s">
        <v>2384</v>
      </c>
      <c r="B268" t="s">
        <v>419</v>
      </c>
      <c r="C268" t="s">
        <v>1</v>
      </c>
      <c r="D268">
        <v>0.36923077702522278</v>
      </c>
      <c r="E268" t="s">
        <v>2989</v>
      </c>
    </row>
    <row r="269" spans="1:5" x14ac:dyDescent="0.2">
      <c r="A269" t="s">
        <v>2385</v>
      </c>
      <c r="B269" t="s">
        <v>437</v>
      </c>
      <c r="C269" t="s">
        <v>1</v>
      </c>
      <c r="D269">
        <v>0.2054794579744339</v>
      </c>
      <c r="E269" t="s">
        <v>2989</v>
      </c>
    </row>
    <row r="270" spans="1:5" x14ac:dyDescent="0.2">
      <c r="A270" t="s">
        <v>2386</v>
      </c>
      <c r="B270" t="s">
        <v>2010</v>
      </c>
      <c r="C270" t="s">
        <v>1</v>
      </c>
      <c r="D270">
        <v>0.45283019542694092</v>
      </c>
      <c r="E270" t="s">
        <v>2987</v>
      </c>
    </row>
    <row r="271" spans="1:5" x14ac:dyDescent="0.2">
      <c r="A271" t="s">
        <v>2387</v>
      </c>
      <c r="B271" t="s">
        <v>898</v>
      </c>
      <c r="C271" t="s">
        <v>0</v>
      </c>
      <c r="D271">
        <v>0.54000002145767212</v>
      </c>
      <c r="E271" t="s">
        <v>2987</v>
      </c>
    </row>
    <row r="272" spans="1:5" x14ac:dyDescent="0.2">
      <c r="A272" t="s">
        <v>2388</v>
      </c>
      <c r="B272" t="s">
        <v>1581</v>
      </c>
      <c r="C272" t="s">
        <v>1</v>
      </c>
      <c r="D272">
        <v>0.44999998807907104</v>
      </c>
      <c r="E272" t="s">
        <v>2987</v>
      </c>
    </row>
    <row r="273" spans="1:5" x14ac:dyDescent="0.2">
      <c r="A273" t="s">
        <v>2389</v>
      </c>
      <c r="B273" t="s">
        <v>2988</v>
      </c>
      <c r="C273" t="s">
        <v>2988</v>
      </c>
      <c r="D273">
        <v>7.5757578015327454E-3</v>
      </c>
      <c r="E273" t="s">
        <v>2987</v>
      </c>
    </row>
    <row r="274" spans="1:5" x14ac:dyDescent="0.2">
      <c r="A274" t="s">
        <v>2390</v>
      </c>
      <c r="B274" t="s">
        <v>2988</v>
      </c>
      <c r="C274" t="s">
        <v>2988</v>
      </c>
      <c r="D274">
        <v>8.4033617749810219E-3</v>
      </c>
      <c r="E274" t="s">
        <v>2987</v>
      </c>
    </row>
    <row r="275" spans="1:5" x14ac:dyDescent="0.2">
      <c r="A275" t="s">
        <v>2391</v>
      </c>
      <c r="B275" t="s">
        <v>2988</v>
      </c>
      <c r="C275" t="s">
        <v>2988</v>
      </c>
      <c r="D275">
        <v>0</v>
      </c>
      <c r="E275" t="s">
        <v>2987</v>
      </c>
    </row>
    <row r="276" spans="1:5" x14ac:dyDescent="0.2">
      <c r="A276" t="s">
        <v>2392</v>
      </c>
      <c r="B276" t="s">
        <v>94</v>
      </c>
      <c r="C276" t="s">
        <v>0</v>
      </c>
      <c r="D276">
        <v>1</v>
      </c>
      <c r="E276" t="s">
        <v>2987</v>
      </c>
    </row>
    <row r="277" spans="1:5" x14ac:dyDescent="0.2">
      <c r="A277" t="s">
        <v>2393</v>
      </c>
      <c r="B277" t="s">
        <v>2988</v>
      </c>
      <c r="C277" t="s">
        <v>2988</v>
      </c>
      <c r="D277">
        <v>0</v>
      </c>
      <c r="E277" t="s">
        <v>2987</v>
      </c>
    </row>
    <row r="278" spans="1:5" x14ac:dyDescent="0.2">
      <c r="A278" t="s">
        <v>2394</v>
      </c>
      <c r="B278" t="s">
        <v>2988</v>
      </c>
      <c r="C278" t="s">
        <v>2988</v>
      </c>
      <c r="D278">
        <v>0</v>
      </c>
      <c r="E278" t="s">
        <v>2987</v>
      </c>
    </row>
    <row r="279" spans="1:5" x14ac:dyDescent="0.2">
      <c r="A279" t="s">
        <v>2395</v>
      </c>
      <c r="B279" t="s">
        <v>2988</v>
      </c>
      <c r="C279" t="s">
        <v>2988</v>
      </c>
      <c r="D279">
        <v>0</v>
      </c>
      <c r="E279" t="s">
        <v>2987</v>
      </c>
    </row>
    <row r="280" spans="1:5" x14ac:dyDescent="0.2">
      <c r="A280" t="s">
        <v>2396</v>
      </c>
      <c r="B280" t="s">
        <v>2988</v>
      </c>
      <c r="C280" t="s">
        <v>2988</v>
      </c>
      <c r="D280">
        <v>0</v>
      </c>
      <c r="E280" t="s">
        <v>2987</v>
      </c>
    </row>
    <row r="281" spans="1:5" x14ac:dyDescent="0.2">
      <c r="A281" t="s">
        <v>2397</v>
      </c>
      <c r="B281" t="s">
        <v>2988</v>
      </c>
      <c r="C281" t="s">
        <v>2988</v>
      </c>
      <c r="D281">
        <v>0</v>
      </c>
      <c r="E281" t="s">
        <v>2987</v>
      </c>
    </row>
    <row r="282" spans="1:5" x14ac:dyDescent="0.2">
      <c r="A282" t="s">
        <v>2398</v>
      </c>
      <c r="B282" t="s">
        <v>1314</v>
      </c>
      <c r="C282" t="s">
        <v>1</v>
      </c>
      <c r="D282">
        <v>0.27906978130340576</v>
      </c>
      <c r="E282" t="s">
        <v>2989</v>
      </c>
    </row>
    <row r="283" spans="1:5" x14ac:dyDescent="0.2">
      <c r="A283" t="s">
        <v>2399</v>
      </c>
      <c r="B283" t="s">
        <v>2988</v>
      </c>
      <c r="C283" t="s">
        <v>2988</v>
      </c>
      <c r="D283">
        <v>0</v>
      </c>
      <c r="E283" t="s">
        <v>2987</v>
      </c>
    </row>
    <row r="284" spans="1:5" x14ac:dyDescent="0.2">
      <c r="A284" t="s">
        <v>2400</v>
      </c>
      <c r="B284" t="s">
        <v>38</v>
      </c>
      <c r="C284" t="s">
        <v>0</v>
      </c>
      <c r="D284">
        <v>0.37096774578094482</v>
      </c>
      <c r="E284" t="s">
        <v>2989</v>
      </c>
    </row>
    <row r="285" spans="1:5" x14ac:dyDescent="0.2">
      <c r="A285" t="s">
        <v>2401</v>
      </c>
      <c r="B285" t="s">
        <v>38</v>
      </c>
      <c r="C285" t="s">
        <v>0</v>
      </c>
      <c r="D285">
        <v>0.57499998807907104</v>
      </c>
      <c r="E285" t="s">
        <v>2987</v>
      </c>
    </row>
    <row r="286" spans="1:5" x14ac:dyDescent="0.2">
      <c r="A286" t="s">
        <v>2402</v>
      </c>
      <c r="B286" t="s">
        <v>38</v>
      </c>
      <c r="C286" t="s">
        <v>0</v>
      </c>
      <c r="D286">
        <v>1</v>
      </c>
      <c r="E286" t="s">
        <v>2987</v>
      </c>
    </row>
    <row r="287" spans="1:5" x14ac:dyDescent="0.2">
      <c r="A287" t="s">
        <v>2403</v>
      </c>
      <c r="B287" t="s">
        <v>2988</v>
      </c>
      <c r="C287" t="s">
        <v>2988</v>
      </c>
      <c r="D287">
        <v>0</v>
      </c>
      <c r="E287" t="s">
        <v>2987</v>
      </c>
    </row>
    <row r="288" spans="1:5" x14ac:dyDescent="0.2">
      <c r="A288" t="s">
        <v>2404</v>
      </c>
      <c r="B288" t="s">
        <v>741</v>
      </c>
      <c r="C288" t="s">
        <v>1</v>
      </c>
      <c r="D288">
        <v>0.31034481525421143</v>
      </c>
      <c r="E288" t="s">
        <v>2989</v>
      </c>
    </row>
    <row r="289" spans="1:5" x14ac:dyDescent="0.2">
      <c r="A289" t="s">
        <v>2405</v>
      </c>
      <c r="B289" t="s">
        <v>2988</v>
      </c>
      <c r="C289" t="s">
        <v>2988</v>
      </c>
      <c r="D289">
        <v>5.8823529630899429E-2</v>
      </c>
      <c r="E289" t="s">
        <v>2987</v>
      </c>
    </row>
    <row r="290" spans="1:5" x14ac:dyDescent="0.2">
      <c r="A290" t="s">
        <v>2406</v>
      </c>
      <c r="B290" t="s">
        <v>1210</v>
      </c>
      <c r="C290" t="s">
        <v>0</v>
      </c>
      <c r="D290">
        <v>0.15384615957736969</v>
      </c>
      <c r="E290" t="s">
        <v>2989</v>
      </c>
    </row>
    <row r="291" spans="1:5" x14ac:dyDescent="0.2">
      <c r="A291" t="s">
        <v>2407</v>
      </c>
      <c r="B291" t="s">
        <v>941</v>
      </c>
      <c r="C291" t="s">
        <v>1</v>
      </c>
      <c r="D291">
        <v>0.29629629850387573</v>
      </c>
      <c r="E291" t="s">
        <v>2989</v>
      </c>
    </row>
    <row r="292" spans="1:5" x14ac:dyDescent="0.2">
      <c r="A292" t="s">
        <v>2408</v>
      </c>
      <c r="B292" t="s">
        <v>1788</v>
      </c>
      <c r="C292" t="s">
        <v>1</v>
      </c>
      <c r="D292">
        <v>0.31578946113586426</v>
      </c>
      <c r="E292" t="s">
        <v>2989</v>
      </c>
    </row>
    <row r="293" spans="1:5" x14ac:dyDescent="0.2">
      <c r="A293" t="s">
        <v>2409</v>
      </c>
      <c r="B293" t="s">
        <v>384</v>
      </c>
      <c r="C293" t="s">
        <v>0</v>
      </c>
      <c r="D293">
        <v>0.45283019542694092</v>
      </c>
      <c r="E293" t="s">
        <v>2987</v>
      </c>
    </row>
    <row r="294" spans="1:5" x14ac:dyDescent="0.2">
      <c r="A294" t="s">
        <v>2410</v>
      </c>
      <c r="B294" t="s">
        <v>1161</v>
      </c>
      <c r="C294" t="s">
        <v>0</v>
      </c>
      <c r="D294">
        <v>0.16346153616905212</v>
      </c>
      <c r="E294" t="s">
        <v>2989</v>
      </c>
    </row>
    <row r="295" spans="1:5" x14ac:dyDescent="0.2">
      <c r="A295" t="s">
        <v>2411</v>
      </c>
      <c r="B295" t="s">
        <v>1790</v>
      </c>
      <c r="C295" t="s">
        <v>1</v>
      </c>
      <c r="D295">
        <v>0.29285714030265808</v>
      </c>
      <c r="E295" t="s">
        <v>2989</v>
      </c>
    </row>
    <row r="296" spans="1:5" x14ac:dyDescent="0.2">
      <c r="A296" t="s">
        <v>2412</v>
      </c>
      <c r="B296" t="s">
        <v>745</v>
      </c>
      <c r="C296" t="s">
        <v>1</v>
      </c>
      <c r="D296">
        <v>0.36734694242477417</v>
      </c>
      <c r="E296" t="s">
        <v>2989</v>
      </c>
    </row>
    <row r="297" spans="1:5" x14ac:dyDescent="0.2">
      <c r="A297" t="s">
        <v>2413</v>
      </c>
      <c r="B297" t="s">
        <v>1504</v>
      </c>
      <c r="C297" t="s">
        <v>1</v>
      </c>
      <c r="D297">
        <v>0.32727271318435669</v>
      </c>
      <c r="E297" t="s">
        <v>2989</v>
      </c>
    </row>
    <row r="298" spans="1:5" x14ac:dyDescent="0.2">
      <c r="A298" t="s">
        <v>2414</v>
      </c>
      <c r="B298" t="s">
        <v>1763</v>
      </c>
      <c r="C298" t="s">
        <v>1</v>
      </c>
      <c r="D298">
        <v>1</v>
      </c>
      <c r="E298" t="s">
        <v>2987</v>
      </c>
    </row>
    <row r="299" spans="1:5" x14ac:dyDescent="0.2">
      <c r="A299" t="s">
        <v>2415</v>
      </c>
      <c r="B299" t="s">
        <v>2988</v>
      </c>
      <c r="C299" t="s">
        <v>2988</v>
      </c>
      <c r="D299">
        <v>0</v>
      </c>
      <c r="E299" t="s">
        <v>2987</v>
      </c>
    </row>
    <row r="300" spans="1:5" x14ac:dyDescent="0.2">
      <c r="A300" t="s">
        <v>2416</v>
      </c>
      <c r="B300" t="s">
        <v>1387</v>
      </c>
      <c r="C300" t="s">
        <v>1</v>
      </c>
      <c r="D300">
        <v>0.25352111458778381</v>
      </c>
      <c r="E300" t="s">
        <v>2989</v>
      </c>
    </row>
    <row r="301" spans="1:5" x14ac:dyDescent="0.2">
      <c r="A301" t="s">
        <v>2417</v>
      </c>
      <c r="B301" t="s">
        <v>1479</v>
      </c>
      <c r="C301" t="s">
        <v>1</v>
      </c>
      <c r="D301">
        <v>0.190476194024086</v>
      </c>
      <c r="E301" t="s">
        <v>2989</v>
      </c>
    </row>
    <row r="302" spans="1:5" x14ac:dyDescent="0.2">
      <c r="A302" t="s">
        <v>2418</v>
      </c>
      <c r="B302" t="s">
        <v>2988</v>
      </c>
      <c r="C302" t="s">
        <v>2988</v>
      </c>
      <c r="D302">
        <v>0</v>
      </c>
      <c r="E302" t="s">
        <v>2987</v>
      </c>
    </row>
    <row r="303" spans="1:5" x14ac:dyDescent="0.2">
      <c r="A303" t="s">
        <v>2419</v>
      </c>
      <c r="B303" t="s">
        <v>632</v>
      </c>
      <c r="C303" t="s">
        <v>0</v>
      </c>
      <c r="D303">
        <v>0.41791045665740967</v>
      </c>
      <c r="E303" t="s">
        <v>2987</v>
      </c>
    </row>
    <row r="304" spans="1:5" x14ac:dyDescent="0.2">
      <c r="A304" t="s">
        <v>2420</v>
      </c>
      <c r="B304" t="s">
        <v>2988</v>
      </c>
      <c r="C304" t="s">
        <v>2988</v>
      </c>
      <c r="D304">
        <v>0</v>
      </c>
      <c r="E304" t="s">
        <v>2987</v>
      </c>
    </row>
    <row r="305" spans="1:5" x14ac:dyDescent="0.2">
      <c r="A305" t="s">
        <v>2421</v>
      </c>
      <c r="B305" t="s">
        <v>856</v>
      </c>
      <c r="C305" t="s">
        <v>0</v>
      </c>
      <c r="D305">
        <v>0.25531914830207825</v>
      </c>
      <c r="E305" t="s">
        <v>2989</v>
      </c>
    </row>
    <row r="306" spans="1:5" x14ac:dyDescent="0.2">
      <c r="A306" t="s">
        <v>2422</v>
      </c>
      <c r="B306" t="s">
        <v>2988</v>
      </c>
      <c r="C306" t="s">
        <v>2988</v>
      </c>
      <c r="D306">
        <v>0</v>
      </c>
      <c r="E306" t="s">
        <v>2987</v>
      </c>
    </row>
    <row r="307" spans="1:5" x14ac:dyDescent="0.2">
      <c r="A307" t="s">
        <v>2423</v>
      </c>
      <c r="B307" t="s">
        <v>2988</v>
      </c>
      <c r="C307" t="s">
        <v>2988</v>
      </c>
      <c r="D307">
        <v>0</v>
      </c>
      <c r="E307" t="s">
        <v>2987</v>
      </c>
    </row>
    <row r="308" spans="1:5" x14ac:dyDescent="0.2">
      <c r="A308" t="s">
        <v>2424</v>
      </c>
      <c r="B308" t="s">
        <v>1506</v>
      </c>
      <c r="C308" t="s">
        <v>1</v>
      </c>
      <c r="D308">
        <v>0.25531914830207825</v>
      </c>
      <c r="E308" t="s">
        <v>2989</v>
      </c>
    </row>
    <row r="309" spans="1:5" x14ac:dyDescent="0.2">
      <c r="A309" t="s">
        <v>2425</v>
      </c>
      <c r="B309" t="s">
        <v>1389</v>
      </c>
      <c r="C309" t="s">
        <v>1</v>
      </c>
      <c r="D309">
        <v>0.22857142984867096</v>
      </c>
      <c r="E309" t="s">
        <v>2989</v>
      </c>
    </row>
    <row r="310" spans="1:5" x14ac:dyDescent="0.2">
      <c r="A310" t="s">
        <v>2426</v>
      </c>
      <c r="B310" t="s">
        <v>1660</v>
      </c>
      <c r="C310" t="s">
        <v>1</v>
      </c>
      <c r="D310">
        <v>0.28915661573410034</v>
      </c>
      <c r="E310" t="s">
        <v>2989</v>
      </c>
    </row>
    <row r="311" spans="1:5" x14ac:dyDescent="0.2">
      <c r="A311" t="s">
        <v>2427</v>
      </c>
      <c r="B311" t="s">
        <v>1661</v>
      </c>
      <c r="C311" t="s">
        <v>1</v>
      </c>
      <c r="D311">
        <v>0.33018869161605835</v>
      </c>
      <c r="E311" t="s">
        <v>2989</v>
      </c>
    </row>
    <row r="312" spans="1:5" x14ac:dyDescent="0.2">
      <c r="A312" t="s">
        <v>2428</v>
      </c>
      <c r="B312" t="s">
        <v>1661</v>
      </c>
      <c r="C312" t="s">
        <v>1</v>
      </c>
      <c r="D312">
        <v>0.22641509771347046</v>
      </c>
      <c r="E312" t="s">
        <v>2989</v>
      </c>
    </row>
    <row r="313" spans="1:5" x14ac:dyDescent="0.2">
      <c r="A313" t="s">
        <v>2429</v>
      </c>
      <c r="B313" t="s">
        <v>1590</v>
      </c>
      <c r="C313" t="s">
        <v>1</v>
      </c>
      <c r="D313">
        <v>0.42424243688583374</v>
      </c>
      <c r="E313" t="s">
        <v>2987</v>
      </c>
    </row>
    <row r="314" spans="1:5" x14ac:dyDescent="0.2">
      <c r="A314" t="s">
        <v>2430</v>
      </c>
      <c r="B314" t="s">
        <v>788</v>
      </c>
      <c r="C314" t="s">
        <v>0</v>
      </c>
      <c r="D314">
        <v>0.14516128599643707</v>
      </c>
      <c r="E314" t="s">
        <v>2989</v>
      </c>
    </row>
    <row r="315" spans="1:5" x14ac:dyDescent="0.2">
      <c r="A315" t="s">
        <v>2431</v>
      </c>
      <c r="B315" t="s">
        <v>788</v>
      </c>
      <c r="C315" t="s">
        <v>0</v>
      </c>
      <c r="D315">
        <v>0.26760563254356384</v>
      </c>
      <c r="E315" t="s">
        <v>2989</v>
      </c>
    </row>
    <row r="316" spans="1:5" x14ac:dyDescent="0.2">
      <c r="A316" t="s">
        <v>2432</v>
      </c>
      <c r="B316" t="s">
        <v>2988</v>
      </c>
      <c r="C316" t="s">
        <v>2988</v>
      </c>
      <c r="D316">
        <v>0</v>
      </c>
      <c r="E316" t="s">
        <v>2987</v>
      </c>
    </row>
    <row r="317" spans="1:5" x14ac:dyDescent="0.2">
      <c r="A317" t="s">
        <v>2433</v>
      </c>
      <c r="B317" t="s">
        <v>2988</v>
      </c>
      <c r="C317" t="s">
        <v>2988</v>
      </c>
      <c r="D317">
        <v>0</v>
      </c>
      <c r="E317" t="s">
        <v>2987</v>
      </c>
    </row>
    <row r="318" spans="1:5" x14ac:dyDescent="0.2">
      <c r="A318" t="s">
        <v>2434</v>
      </c>
      <c r="B318" t="s">
        <v>1391</v>
      </c>
      <c r="C318" t="s">
        <v>1</v>
      </c>
      <c r="D318">
        <v>0.27906978130340576</v>
      </c>
      <c r="E318" t="s">
        <v>2989</v>
      </c>
    </row>
    <row r="319" spans="1:5" x14ac:dyDescent="0.2">
      <c r="A319" t="s">
        <v>2435</v>
      </c>
      <c r="B319" t="s">
        <v>1391</v>
      </c>
      <c r="C319" t="s">
        <v>1</v>
      </c>
      <c r="D319">
        <v>0.25352111458778381</v>
      </c>
      <c r="E319" t="s">
        <v>2989</v>
      </c>
    </row>
    <row r="320" spans="1:5" x14ac:dyDescent="0.2">
      <c r="A320" t="s">
        <v>2436</v>
      </c>
      <c r="B320" t="s">
        <v>747</v>
      </c>
      <c r="C320" t="s">
        <v>1</v>
      </c>
      <c r="D320">
        <v>0.31034481525421143</v>
      </c>
      <c r="E320" t="s">
        <v>2989</v>
      </c>
    </row>
    <row r="321" spans="1:5" x14ac:dyDescent="0.2">
      <c r="A321" t="s">
        <v>2437</v>
      </c>
      <c r="B321" t="s">
        <v>386</v>
      </c>
      <c r="C321" t="s">
        <v>0</v>
      </c>
      <c r="D321">
        <v>0.36000001430511475</v>
      </c>
      <c r="E321" t="s">
        <v>2989</v>
      </c>
    </row>
    <row r="322" spans="1:5" x14ac:dyDescent="0.2">
      <c r="A322" t="s">
        <v>2438</v>
      </c>
      <c r="B322" t="s">
        <v>1393</v>
      </c>
      <c r="C322" t="s">
        <v>1</v>
      </c>
      <c r="D322">
        <v>0.23529411852359772</v>
      </c>
      <c r="E322" t="s">
        <v>2989</v>
      </c>
    </row>
    <row r="323" spans="1:5" x14ac:dyDescent="0.2">
      <c r="A323" t="s">
        <v>2439</v>
      </c>
      <c r="B323" t="s">
        <v>848</v>
      </c>
      <c r="C323" t="s">
        <v>0</v>
      </c>
      <c r="D323">
        <v>1</v>
      </c>
      <c r="E323" t="s">
        <v>2987</v>
      </c>
    </row>
    <row r="324" spans="1:5" x14ac:dyDescent="0.2">
      <c r="A324" t="s">
        <v>2440</v>
      </c>
      <c r="B324" t="s">
        <v>2988</v>
      </c>
      <c r="C324" t="s">
        <v>2988</v>
      </c>
      <c r="D324">
        <v>0</v>
      </c>
      <c r="E324" t="s">
        <v>2987</v>
      </c>
    </row>
    <row r="325" spans="1:5" x14ac:dyDescent="0.2">
      <c r="A325" t="s">
        <v>2441</v>
      </c>
      <c r="B325" t="s">
        <v>1395</v>
      </c>
      <c r="C325" t="s">
        <v>1</v>
      </c>
      <c r="D325">
        <v>0.29629629850387573</v>
      </c>
      <c r="E325" t="s">
        <v>2989</v>
      </c>
    </row>
    <row r="326" spans="1:5" x14ac:dyDescent="0.2">
      <c r="A326" t="s">
        <v>2442</v>
      </c>
      <c r="B326" t="s">
        <v>543</v>
      </c>
      <c r="C326" t="s">
        <v>1</v>
      </c>
      <c r="D326">
        <v>0.20779220759868622</v>
      </c>
      <c r="E326" t="s">
        <v>2989</v>
      </c>
    </row>
    <row r="327" spans="1:5" x14ac:dyDescent="0.2">
      <c r="A327" t="s">
        <v>2443</v>
      </c>
      <c r="B327" t="s">
        <v>388</v>
      </c>
      <c r="C327" t="s">
        <v>0</v>
      </c>
      <c r="D327">
        <v>1</v>
      </c>
      <c r="E327" t="s">
        <v>2987</v>
      </c>
    </row>
    <row r="328" spans="1:5" x14ac:dyDescent="0.2">
      <c r="A328" t="s">
        <v>2444</v>
      </c>
      <c r="B328" t="s">
        <v>390</v>
      </c>
      <c r="C328" t="s">
        <v>0</v>
      </c>
      <c r="D328">
        <v>0.4444444477558136</v>
      </c>
      <c r="E328" t="s">
        <v>2987</v>
      </c>
    </row>
    <row r="329" spans="1:5" x14ac:dyDescent="0.2">
      <c r="A329" t="s">
        <v>2445</v>
      </c>
      <c r="B329" t="s">
        <v>2988</v>
      </c>
      <c r="C329" t="s">
        <v>2988</v>
      </c>
      <c r="D329">
        <v>0</v>
      </c>
      <c r="E329" t="s">
        <v>2987</v>
      </c>
    </row>
    <row r="330" spans="1:5" x14ac:dyDescent="0.2">
      <c r="A330" t="s">
        <v>2446</v>
      </c>
      <c r="B330" t="s">
        <v>2988</v>
      </c>
      <c r="C330" t="s">
        <v>2988</v>
      </c>
      <c r="D330">
        <v>0</v>
      </c>
      <c r="E330" t="s">
        <v>2987</v>
      </c>
    </row>
    <row r="331" spans="1:5" x14ac:dyDescent="0.2">
      <c r="A331" t="s">
        <v>2447</v>
      </c>
      <c r="B331" t="s">
        <v>1155</v>
      </c>
      <c r="C331" t="s">
        <v>0</v>
      </c>
      <c r="D331">
        <v>0.375</v>
      </c>
      <c r="E331" t="s">
        <v>2989</v>
      </c>
    </row>
    <row r="332" spans="1:5" x14ac:dyDescent="0.2">
      <c r="A332" t="s">
        <v>2448</v>
      </c>
      <c r="B332" t="s">
        <v>1157</v>
      </c>
      <c r="C332" t="s">
        <v>0</v>
      </c>
      <c r="D332">
        <v>0.55555558204650879</v>
      </c>
      <c r="E332" t="s">
        <v>2987</v>
      </c>
    </row>
    <row r="333" spans="1:5" x14ac:dyDescent="0.2">
      <c r="A333" t="s">
        <v>2449</v>
      </c>
      <c r="B333" t="s">
        <v>1780</v>
      </c>
      <c r="C333" t="s">
        <v>1</v>
      </c>
      <c r="D333">
        <v>0.32919254899024963</v>
      </c>
      <c r="E333" t="s">
        <v>2989</v>
      </c>
    </row>
    <row r="334" spans="1:5" x14ac:dyDescent="0.2">
      <c r="A334" t="s">
        <v>2450</v>
      </c>
      <c r="B334" t="s">
        <v>1666</v>
      </c>
      <c r="C334" t="s">
        <v>1</v>
      </c>
      <c r="D334">
        <v>0.81927710771560669</v>
      </c>
      <c r="E334" t="s">
        <v>2987</v>
      </c>
    </row>
    <row r="335" spans="1:5" x14ac:dyDescent="0.2">
      <c r="A335" t="s">
        <v>2451</v>
      </c>
      <c r="B335" t="s">
        <v>981</v>
      </c>
      <c r="C335" t="s">
        <v>0</v>
      </c>
      <c r="D335">
        <v>1</v>
      </c>
      <c r="E335" t="s">
        <v>2987</v>
      </c>
    </row>
    <row r="336" spans="1:5" x14ac:dyDescent="0.2">
      <c r="A336" t="s">
        <v>2452</v>
      </c>
      <c r="B336" t="s">
        <v>976</v>
      </c>
      <c r="C336" t="s">
        <v>1</v>
      </c>
      <c r="D336">
        <v>0.28571429848670959</v>
      </c>
      <c r="E336" t="s">
        <v>2989</v>
      </c>
    </row>
    <row r="337" spans="1:5" x14ac:dyDescent="0.2">
      <c r="A337" t="s">
        <v>2453</v>
      </c>
      <c r="B337" t="s">
        <v>478</v>
      </c>
      <c r="C337" t="s">
        <v>0</v>
      </c>
      <c r="D337">
        <v>0.53465348482131958</v>
      </c>
      <c r="E337" t="s">
        <v>2987</v>
      </c>
    </row>
    <row r="338" spans="1:5" x14ac:dyDescent="0.2">
      <c r="A338" t="s">
        <v>2454</v>
      </c>
      <c r="B338" t="s">
        <v>480</v>
      </c>
      <c r="C338" t="s">
        <v>0</v>
      </c>
      <c r="D338">
        <v>0.40540540218353271</v>
      </c>
      <c r="E338" t="s">
        <v>2987</v>
      </c>
    </row>
    <row r="339" spans="1:5" x14ac:dyDescent="0.2">
      <c r="A339" t="s">
        <v>2455</v>
      </c>
      <c r="B339" t="s">
        <v>482</v>
      </c>
      <c r="C339" t="s">
        <v>0</v>
      </c>
      <c r="D339">
        <v>0.49484536051750183</v>
      </c>
      <c r="E339" t="s">
        <v>2987</v>
      </c>
    </row>
    <row r="340" spans="1:5" x14ac:dyDescent="0.2">
      <c r="A340" t="s">
        <v>2456</v>
      </c>
      <c r="B340" t="s">
        <v>1681</v>
      </c>
      <c r="C340" t="s">
        <v>1</v>
      </c>
      <c r="D340">
        <v>0.25454545021057129</v>
      </c>
      <c r="E340" t="s">
        <v>2989</v>
      </c>
    </row>
    <row r="341" spans="1:5" x14ac:dyDescent="0.2">
      <c r="A341" t="s">
        <v>2457</v>
      </c>
      <c r="B341" t="s">
        <v>1678</v>
      </c>
      <c r="C341" t="s">
        <v>1</v>
      </c>
      <c r="D341">
        <v>0.3333333432674408</v>
      </c>
      <c r="E341" t="s">
        <v>2989</v>
      </c>
    </row>
    <row r="342" spans="1:5" x14ac:dyDescent="0.2">
      <c r="A342" t="s">
        <v>2458</v>
      </c>
      <c r="B342" t="s">
        <v>2988</v>
      </c>
      <c r="C342" t="s">
        <v>2988</v>
      </c>
      <c r="D342">
        <v>1.3698630034923553E-2</v>
      </c>
      <c r="E342" t="s">
        <v>2987</v>
      </c>
    </row>
    <row r="343" spans="1:5" x14ac:dyDescent="0.2">
      <c r="A343" t="s">
        <v>2459</v>
      </c>
      <c r="B343" t="s">
        <v>692</v>
      </c>
      <c r="C343" t="s">
        <v>0</v>
      </c>
      <c r="D343">
        <v>0.41525423526763916</v>
      </c>
      <c r="E343" t="s">
        <v>2987</v>
      </c>
    </row>
    <row r="344" spans="1:5" x14ac:dyDescent="0.2">
      <c r="A344" t="s">
        <v>2460</v>
      </c>
      <c r="B344" t="s">
        <v>1148</v>
      </c>
      <c r="C344" t="s">
        <v>1</v>
      </c>
      <c r="D344">
        <v>0.67647057771682739</v>
      </c>
      <c r="E344" t="s">
        <v>2987</v>
      </c>
    </row>
    <row r="345" spans="1:5" x14ac:dyDescent="0.2">
      <c r="A345" t="s">
        <v>2461</v>
      </c>
      <c r="B345" t="s">
        <v>120</v>
      </c>
      <c r="C345" t="s">
        <v>0</v>
      </c>
      <c r="D345">
        <v>1</v>
      </c>
      <c r="E345" t="s">
        <v>2987</v>
      </c>
    </row>
    <row r="346" spans="1:5" x14ac:dyDescent="0.2">
      <c r="A346" t="s">
        <v>2462</v>
      </c>
      <c r="B346" t="s">
        <v>757</v>
      </c>
      <c r="C346" t="s">
        <v>1</v>
      </c>
      <c r="D346">
        <v>0.2950819730758667</v>
      </c>
      <c r="E346" t="s">
        <v>2989</v>
      </c>
    </row>
    <row r="347" spans="1:5" x14ac:dyDescent="0.2">
      <c r="A347" t="s">
        <v>2463</v>
      </c>
      <c r="B347" t="s">
        <v>850</v>
      </c>
      <c r="C347" t="s">
        <v>0</v>
      </c>
      <c r="D347">
        <v>1</v>
      </c>
      <c r="E347" t="s">
        <v>2987</v>
      </c>
    </row>
    <row r="348" spans="1:5" x14ac:dyDescent="0.2">
      <c r="A348" t="s">
        <v>2464</v>
      </c>
      <c r="B348" t="s">
        <v>2988</v>
      </c>
      <c r="C348" t="s">
        <v>2988</v>
      </c>
      <c r="D348">
        <v>0</v>
      </c>
      <c r="E348" t="s">
        <v>2987</v>
      </c>
    </row>
    <row r="349" spans="1:5" x14ac:dyDescent="0.2">
      <c r="A349" t="s">
        <v>2465</v>
      </c>
      <c r="B349" t="s">
        <v>396</v>
      </c>
      <c r="C349" t="s">
        <v>0</v>
      </c>
      <c r="D349">
        <v>0.29629629850387573</v>
      </c>
      <c r="E349" t="s">
        <v>2989</v>
      </c>
    </row>
    <row r="350" spans="1:5" x14ac:dyDescent="0.2">
      <c r="A350" t="s">
        <v>2466</v>
      </c>
      <c r="B350" t="s">
        <v>954</v>
      </c>
      <c r="C350" t="s">
        <v>0</v>
      </c>
      <c r="D350">
        <v>0.17647059261798859</v>
      </c>
      <c r="E350" t="s">
        <v>2989</v>
      </c>
    </row>
    <row r="351" spans="1:5" x14ac:dyDescent="0.2">
      <c r="A351" t="s">
        <v>2467</v>
      </c>
      <c r="B351" t="s">
        <v>956</v>
      </c>
      <c r="C351" t="s">
        <v>0</v>
      </c>
      <c r="D351">
        <v>0.31034481525421143</v>
      </c>
      <c r="E351" t="s">
        <v>2989</v>
      </c>
    </row>
    <row r="352" spans="1:5" x14ac:dyDescent="0.2">
      <c r="A352" t="s">
        <v>2468</v>
      </c>
      <c r="B352" t="s">
        <v>993</v>
      </c>
      <c r="C352" t="s">
        <v>0</v>
      </c>
      <c r="D352">
        <v>0.3684210479259491</v>
      </c>
      <c r="E352" t="s">
        <v>2989</v>
      </c>
    </row>
    <row r="353" spans="1:5" x14ac:dyDescent="0.2">
      <c r="A353" t="s">
        <v>2469</v>
      </c>
      <c r="B353" t="s">
        <v>2988</v>
      </c>
      <c r="C353" t="s">
        <v>2988</v>
      </c>
      <c r="D353">
        <v>0</v>
      </c>
      <c r="E353" t="s">
        <v>2987</v>
      </c>
    </row>
    <row r="354" spans="1:5" x14ac:dyDescent="0.2">
      <c r="A354" t="s">
        <v>2470</v>
      </c>
      <c r="B354" t="s">
        <v>1473</v>
      </c>
      <c r="C354" t="s">
        <v>1</v>
      </c>
      <c r="D354">
        <v>1</v>
      </c>
      <c r="E354" t="s">
        <v>2987</v>
      </c>
    </row>
    <row r="355" spans="1:5" x14ac:dyDescent="0.2">
      <c r="A355" t="s">
        <v>2471</v>
      </c>
      <c r="B355" t="s">
        <v>2988</v>
      </c>
      <c r="C355" t="s">
        <v>2988</v>
      </c>
      <c r="D355">
        <v>0</v>
      </c>
      <c r="E355" t="s">
        <v>2987</v>
      </c>
    </row>
    <row r="356" spans="1:5" x14ac:dyDescent="0.2">
      <c r="A356" t="s">
        <v>2472</v>
      </c>
      <c r="B356" t="s">
        <v>2071</v>
      </c>
      <c r="C356" t="s">
        <v>1</v>
      </c>
      <c r="D356">
        <v>0.34146341681480408</v>
      </c>
      <c r="E356" t="s">
        <v>2989</v>
      </c>
    </row>
    <row r="357" spans="1:5" x14ac:dyDescent="0.2">
      <c r="A357" t="s">
        <v>2473</v>
      </c>
      <c r="B357" t="s">
        <v>1344</v>
      </c>
      <c r="C357" t="s">
        <v>1</v>
      </c>
      <c r="D357">
        <v>0.41379311680793762</v>
      </c>
      <c r="E357" t="s">
        <v>2987</v>
      </c>
    </row>
    <row r="358" spans="1:5" x14ac:dyDescent="0.2">
      <c r="A358" t="s">
        <v>2474</v>
      </c>
      <c r="B358" t="s">
        <v>156</v>
      </c>
      <c r="C358" t="s">
        <v>0</v>
      </c>
      <c r="D358">
        <v>0.42452830076217651</v>
      </c>
      <c r="E358" t="s">
        <v>2987</v>
      </c>
    </row>
    <row r="359" spans="1:5" x14ac:dyDescent="0.2">
      <c r="A359" t="s">
        <v>2475</v>
      </c>
      <c r="B359" t="s">
        <v>423</v>
      </c>
      <c r="C359" t="s">
        <v>1</v>
      </c>
      <c r="D359">
        <v>0.27631577849388123</v>
      </c>
      <c r="E359" t="s">
        <v>2989</v>
      </c>
    </row>
    <row r="360" spans="1:5" x14ac:dyDescent="0.2">
      <c r="A360" t="s">
        <v>2476</v>
      </c>
      <c r="B360" t="s">
        <v>425</v>
      </c>
      <c r="C360" t="s">
        <v>1</v>
      </c>
      <c r="D360">
        <v>0.3684210479259491</v>
      </c>
      <c r="E360" t="s">
        <v>2989</v>
      </c>
    </row>
    <row r="361" spans="1:5" x14ac:dyDescent="0.2">
      <c r="A361" t="s">
        <v>2477</v>
      </c>
      <c r="B361" t="s">
        <v>2988</v>
      </c>
      <c r="C361" t="s">
        <v>2988</v>
      </c>
      <c r="D361">
        <v>0</v>
      </c>
      <c r="E361" t="s">
        <v>2987</v>
      </c>
    </row>
    <row r="362" spans="1:5" x14ac:dyDescent="0.2">
      <c r="A362" t="s">
        <v>2478</v>
      </c>
      <c r="B362" t="s">
        <v>1791</v>
      </c>
      <c r="C362" t="s">
        <v>1</v>
      </c>
      <c r="D362">
        <v>0.32432430982589722</v>
      </c>
      <c r="E362" t="s">
        <v>2989</v>
      </c>
    </row>
    <row r="363" spans="1:5" x14ac:dyDescent="0.2">
      <c r="A363" t="s">
        <v>2479</v>
      </c>
      <c r="B363" t="s">
        <v>1405</v>
      </c>
      <c r="C363" t="s">
        <v>1</v>
      </c>
      <c r="D363">
        <v>0.20967741310596466</v>
      </c>
      <c r="E363" t="s">
        <v>2989</v>
      </c>
    </row>
    <row r="364" spans="1:5" x14ac:dyDescent="0.2">
      <c r="A364" t="s">
        <v>2480</v>
      </c>
      <c r="B364" t="s">
        <v>1405</v>
      </c>
      <c r="C364" t="s">
        <v>1</v>
      </c>
      <c r="D364">
        <v>0.26530611515045166</v>
      </c>
      <c r="E364" t="s">
        <v>2989</v>
      </c>
    </row>
    <row r="365" spans="1:5" x14ac:dyDescent="0.2">
      <c r="A365" t="s">
        <v>2481</v>
      </c>
      <c r="B365" t="s">
        <v>2988</v>
      </c>
      <c r="C365" t="s">
        <v>2988</v>
      </c>
      <c r="D365">
        <v>0</v>
      </c>
      <c r="E365" t="s">
        <v>2987</v>
      </c>
    </row>
    <row r="366" spans="1:5" x14ac:dyDescent="0.2">
      <c r="A366" t="s">
        <v>2482</v>
      </c>
      <c r="B366" t="s">
        <v>761</v>
      </c>
      <c r="C366" t="s">
        <v>1</v>
      </c>
      <c r="D366">
        <v>0.32727271318435669</v>
      </c>
      <c r="E366" t="s">
        <v>2989</v>
      </c>
    </row>
    <row r="367" spans="1:5" x14ac:dyDescent="0.2">
      <c r="A367" t="s">
        <v>2483</v>
      </c>
      <c r="B367" t="s">
        <v>1346</v>
      </c>
      <c r="C367" t="s">
        <v>1</v>
      </c>
      <c r="D367">
        <v>0.375</v>
      </c>
      <c r="E367" t="s">
        <v>2989</v>
      </c>
    </row>
    <row r="368" spans="1:5" x14ac:dyDescent="0.2">
      <c r="A368" t="s">
        <v>2484</v>
      </c>
      <c r="B368" t="s">
        <v>1299</v>
      </c>
      <c r="C368" t="s">
        <v>0</v>
      </c>
      <c r="D368">
        <v>0.45283019542694092</v>
      </c>
      <c r="E368" t="s">
        <v>2987</v>
      </c>
    </row>
    <row r="369" spans="1:5" x14ac:dyDescent="0.2">
      <c r="A369" t="s">
        <v>2485</v>
      </c>
      <c r="B369" t="s">
        <v>830</v>
      </c>
      <c r="C369" t="s">
        <v>0</v>
      </c>
      <c r="D369">
        <v>1</v>
      </c>
      <c r="E369" t="s">
        <v>2987</v>
      </c>
    </row>
    <row r="370" spans="1:5" x14ac:dyDescent="0.2">
      <c r="A370" t="s">
        <v>2486</v>
      </c>
      <c r="B370" t="s">
        <v>888</v>
      </c>
      <c r="C370" t="s">
        <v>0</v>
      </c>
      <c r="D370">
        <v>0.24137930572032928</v>
      </c>
      <c r="E370" t="s">
        <v>2989</v>
      </c>
    </row>
    <row r="371" spans="1:5" x14ac:dyDescent="0.2">
      <c r="A371" t="s">
        <v>2487</v>
      </c>
      <c r="B371" t="s">
        <v>765</v>
      </c>
      <c r="C371" t="s">
        <v>1</v>
      </c>
      <c r="D371">
        <v>0.24242424964904785</v>
      </c>
      <c r="E371" t="s">
        <v>2989</v>
      </c>
    </row>
    <row r="372" spans="1:5" x14ac:dyDescent="0.2">
      <c r="A372" t="s">
        <v>2488</v>
      </c>
      <c r="B372" t="s">
        <v>832</v>
      </c>
      <c r="C372" t="s">
        <v>0</v>
      </c>
      <c r="D372">
        <v>1</v>
      </c>
      <c r="E372" t="s">
        <v>2987</v>
      </c>
    </row>
    <row r="373" spans="1:5" x14ac:dyDescent="0.2">
      <c r="A373" t="s">
        <v>2489</v>
      </c>
      <c r="B373" t="s">
        <v>767</v>
      </c>
      <c r="C373" t="s">
        <v>1</v>
      </c>
      <c r="D373">
        <v>0.36000001430511475</v>
      </c>
      <c r="E373" t="s">
        <v>2989</v>
      </c>
    </row>
    <row r="374" spans="1:5" x14ac:dyDescent="0.2">
      <c r="A374" t="s">
        <v>2490</v>
      </c>
      <c r="B374" t="s">
        <v>2988</v>
      </c>
      <c r="C374" t="s">
        <v>2988</v>
      </c>
      <c r="D374">
        <v>0</v>
      </c>
      <c r="E374" t="s">
        <v>2987</v>
      </c>
    </row>
    <row r="375" spans="1:5" x14ac:dyDescent="0.2">
      <c r="A375" t="s">
        <v>2491</v>
      </c>
      <c r="B375" t="s">
        <v>2988</v>
      </c>
      <c r="C375" t="s">
        <v>2988</v>
      </c>
      <c r="D375">
        <v>1.2345679104328156E-2</v>
      </c>
      <c r="E375" t="s">
        <v>2987</v>
      </c>
    </row>
    <row r="376" spans="1:5" x14ac:dyDescent="0.2">
      <c r="A376" t="s">
        <v>2492</v>
      </c>
      <c r="B376" t="s">
        <v>2988</v>
      </c>
      <c r="C376" t="s">
        <v>2988</v>
      </c>
      <c r="D376">
        <v>0</v>
      </c>
      <c r="E376" t="s">
        <v>2987</v>
      </c>
    </row>
    <row r="377" spans="1:5" x14ac:dyDescent="0.2">
      <c r="A377" t="s">
        <v>2493</v>
      </c>
      <c r="B377" t="s">
        <v>2988</v>
      </c>
      <c r="C377" t="s">
        <v>2988</v>
      </c>
      <c r="D377">
        <v>0</v>
      </c>
      <c r="E377" t="s">
        <v>2987</v>
      </c>
    </row>
    <row r="378" spans="1:5" x14ac:dyDescent="0.2">
      <c r="A378" t="s">
        <v>2494</v>
      </c>
      <c r="B378" t="s">
        <v>2988</v>
      </c>
      <c r="C378" t="s">
        <v>2988</v>
      </c>
      <c r="D378">
        <v>7.5757578015327454E-3</v>
      </c>
      <c r="E378" t="s">
        <v>2987</v>
      </c>
    </row>
    <row r="379" spans="1:5" x14ac:dyDescent="0.2">
      <c r="A379" t="s">
        <v>2495</v>
      </c>
      <c r="B379" t="s">
        <v>427</v>
      </c>
      <c r="C379" t="s">
        <v>1</v>
      </c>
      <c r="D379">
        <v>0.37333333492279053</v>
      </c>
      <c r="E379" t="s">
        <v>2989</v>
      </c>
    </row>
    <row r="380" spans="1:5" x14ac:dyDescent="0.2">
      <c r="A380" t="s">
        <v>2496</v>
      </c>
      <c r="B380" t="s">
        <v>427</v>
      </c>
      <c r="C380" t="s">
        <v>1</v>
      </c>
      <c r="D380">
        <v>0.34146341681480408</v>
      </c>
      <c r="E380" t="s">
        <v>2989</v>
      </c>
    </row>
    <row r="381" spans="1:5" x14ac:dyDescent="0.2">
      <c r="A381" t="s">
        <v>2497</v>
      </c>
      <c r="B381" t="s">
        <v>216</v>
      </c>
      <c r="C381" t="s">
        <v>0</v>
      </c>
      <c r="D381">
        <v>1</v>
      </c>
      <c r="E381" t="s">
        <v>2987</v>
      </c>
    </row>
    <row r="382" spans="1:5" x14ac:dyDescent="0.2">
      <c r="A382" t="s">
        <v>2498</v>
      </c>
      <c r="B382" t="s">
        <v>1560</v>
      </c>
      <c r="C382" t="s">
        <v>1</v>
      </c>
      <c r="D382">
        <v>0.86792451143264771</v>
      </c>
      <c r="E382" t="s">
        <v>2987</v>
      </c>
    </row>
    <row r="383" spans="1:5" x14ac:dyDescent="0.2">
      <c r="A383" t="s">
        <v>2499</v>
      </c>
      <c r="B383" t="s">
        <v>1598</v>
      </c>
      <c r="C383" t="s">
        <v>1</v>
      </c>
      <c r="D383">
        <v>0.44094488024711609</v>
      </c>
      <c r="E383" t="s">
        <v>2987</v>
      </c>
    </row>
    <row r="384" spans="1:5" x14ac:dyDescent="0.2">
      <c r="A384" t="s">
        <v>2500</v>
      </c>
      <c r="B384" t="s">
        <v>985</v>
      </c>
      <c r="C384" t="s">
        <v>0</v>
      </c>
      <c r="D384">
        <v>0.20652173459529877</v>
      </c>
      <c r="E384" t="s">
        <v>2989</v>
      </c>
    </row>
    <row r="385" spans="1:5" x14ac:dyDescent="0.2">
      <c r="A385" t="s">
        <v>2501</v>
      </c>
      <c r="B385" t="s">
        <v>985</v>
      </c>
      <c r="C385" t="s">
        <v>0</v>
      </c>
      <c r="D385">
        <v>0.22499999403953552</v>
      </c>
      <c r="E385" t="s">
        <v>2989</v>
      </c>
    </row>
    <row r="386" spans="1:5" x14ac:dyDescent="0.2">
      <c r="A386" t="s">
        <v>2502</v>
      </c>
      <c r="B386" t="s">
        <v>1891</v>
      </c>
      <c r="C386" t="s">
        <v>1</v>
      </c>
      <c r="D386">
        <v>0.41791045665740967</v>
      </c>
      <c r="E386" t="s">
        <v>2987</v>
      </c>
    </row>
    <row r="387" spans="1:5" x14ac:dyDescent="0.2">
      <c r="A387" t="s">
        <v>2503</v>
      </c>
      <c r="B387" t="s">
        <v>978</v>
      </c>
      <c r="C387" t="s">
        <v>1</v>
      </c>
      <c r="D387">
        <v>0.32653060555458069</v>
      </c>
      <c r="E387" t="s">
        <v>2989</v>
      </c>
    </row>
    <row r="388" spans="1:5" x14ac:dyDescent="0.2">
      <c r="A388" t="s">
        <v>2504</v>
      </c>
      <c r="B388" t="s">
        <v>1608</v>
      </c>
      <c r="C388" t="s">
        <v>1</v>
      </c>
      <c r="D388">
        <v>0.47826087474822998</v>
      </c>
      <c r="E388" t="s">
        <v>2987</v>
      </c>
    </row>
    <row r="389" spans="1:5" x14ac:dyDescent="0.2">
      <c r="A389" t="s">
        <v>2505</v>
      </c>
      <c r="B389" t="s">
        <v>1381</v>
      </c>
      <c r="C389" t="s">
        <v>0</v>
      </c>
      <c r="D389">
        <v>0.375</v>
      </c>
      <c r="E389" t="s">
        <v>2989</v>
      </c>
    </row>
    <row r="390" spans="1:5" x14ac:dyDescent="0.2">
      <c r="A390" t="s">
        <v>2506</v>
      </c>
      <c r="B390" t="s">
        <v>1259</v>
      </c>
      <c r="C390" t="s">
        <v>1</v>
      </c>
      <c r="D390">
        <v>0.15789473056793213</v>
      </c>
      <c r="E390" t="s">
        <v>2989</v>
      </c>
    </row>
    <row r="391" spans="1:5" x14ac:dyDescent="0.2">
      <c r="A391" t="s">
        <v>2507</v>
      </c>
      <c r="B391" t="s">
        <v>1667</v>
      </c>
      <c r="C391" t="s">
        <v>1</v>
      </c>
      <c r="D391">
        <v>0.28235295414924622</v>
      </c>
      <c r="E391" t="s">
        <v>2989</v>
      </c>
    </row>
    <row r="392" spans="1:5" x14ac:dyDescent="0.2">
      <c r="A392" t="s">
        <v>2508</v>
      </c>
      <c r="B392" t="s">
        <v>1667</v>
      </c>
      <c r="C392" t="s">
        <v>1</v>
      </c>
      <c r="D392">
        <v>0.24742268025875092</v>
      </c>
      <c r="E392" t="s">
        <v>2989</v>
      </c>
    </row>
    <row r="393" spans="1:5" x14ac:dyDescent="0.2">
      <c r="A393" t="s">
        <v>2509</v>
      </c>
      <c r="B393" t="s">
        <v>485</v>
      </c>
      <c r="C393" t="s">
        <v>1</v>
      </c>
      <c r="D393">
        <v>0.34693878889083862</v>
      </c>
      <c r="E393" t="s">
        <v>2989</v>
      </c>
    </row>
    <row r="394" spans="1:5" x14ac:dyDescent="0.2">
      <c r="A394" t="s">
        <v>2510</v>
      </c>
      <c r="B394" t="s">
        <v>2988</v>
      </c>
      <c r="C394" t="s">
        <v>2988</v>
      </c>
      <c r="D394">
        <v>0</v>
      </c>
      <c r="E394" t="s">
        <v>2987</v>
      </c>
    </row>
    <row r="395" spans="1:5" x14ac:dyDescent="0.2">
      <c r="A395" t="s">
        <v>2511</v>
      </c>
      <c r="B395" t="s">
        <v>2988</v>
      </c>
      <c r="C395" t="s">
        <v>2988</v>
      </c>
      <c r="D395">
        <v>0</v>
      </c>
      <c r="E395" t="s">
        <v>2987</v>
      </c>
    </row>
    <row r="396" spans="1:5" x14ac:dyDescent="0.2">
      <c r="A396" t="s">
        <v>2512</v>
      </c>
      <c r="B396" t="s">
        <v>2988</v>
      </c>
      <c r="C396" t="s">
        <v>2988</v>
      </c>
      <c r="D396">
        <v>0</v>
      </c>
      <c r="E396" t="s">
        <v>2987</v>
      </c>
    </row>
    <row r="397" spans="1:5" x14ac:dyDescent="0.2">
      <c r="A397" t="s">
        <v>2513</v>
      </c>
      <c r="B397" t="s">
        <v>2988</v>
      </c>
      <c r="C397" t="s">
        <v>2988</v>
      </c>
      <c r="D397">
        <v>0</v>
      </c>
      <c r="E397" t="s">
        <v>2987</v>
      </c>
    </row>
    <row r="398" spans="1:5" x14ac:dyDescent="0.2">
      <c r="A398" t="s">
        <v>2514</v>
      </c>
      <c r="B398" t="s">
        <v>1940</v>
      </c>
      <c r="C398" t="s">
        <v>1</v>
      </c>
      <c r="D398">
        <v>0.32653060555458069</v>
      </c>
      <c r="E398" t="s">
        <v>2989</v>
      </c>
    </row>
    <row r="399" spans="1:5" x14ac:dyDescent="0.2">
      <c r="A399" t="s">
        <v>2515</v>
      </c>
      <c r="B399" t="s">
        <v>96</v>
      </c>
      <c r="C399" t="s">
        <v>0</v>
      </c>
      <c r="D399">
        <v>1</v>
      </c>
      <c r="E399" t="s">
        <v>2987</v>
      </c>
    </row>
    <row r="400" spans="1:5" x14ac:dyDescent="0.2">
      <c r="A400" t="s">
        <v>2516</v>
      </c>
      <c r="B400" t="s">
        <v>1407</v>
      </c>
      <c r="C400" t="s">
        <v>1</v>
      </c>
      <c r="D400">
        <v>0.2950819730758667</v>
      </c>
      <c r="E400" t="s">
        <v>2989</v>
      </c>
    </row>
    <row r="401" spans="1:5" x14ac:dyDescent="0.2">
      <c r="A401" t="s">
        <v>2517</v>
      </c>
      <c r="B401" t="s">
        <v>1152</v>
      </c>
      <c r="C401" t="s">
        <v>1</v>
      </c>
      <c r="D401">
        <v>0.375</v>
      </c>
      <c r="E401" t="s">
        <v>2989</v>
      </c>
    </row>
    <row r="402" spans="1:5" x14ac:dyDescent="0.2">
      <c r="A402" t="s">
        <v>2518</v>
      </c>
      <c r="B402" t="s">
        <v>2988</v>
      </c>
      <c r="C402" t="s">
        <v>2988</v>
      </c>
      <c r="D402">
        <v>0</v>
      </c>
      <c r="E402" t="s">
        <v>2987</v>
      </c>
    </row>
    <row r="403" spans="1:5" x14ac:dyDescent="0.2">
      <c r="A403" t="s">
        <v>2519</v>
      </c>
      <c r="B403" t="s">
        <v>1420</v>
      </c>
      <c r="C403" t="s">
        <v>0</v>
      </c>
      <c r="D403">
        <v>0.27979275584220886</v>
      </c>
      <c r="E403" t="s">
        <v>2989</v>
      </c>
    </row>
    <row r="404" spans="1:5" x14ac:dyDescent="0.2">
      <c r="A404" t="s">
        <v>2520</v>
      </c>
      <c r="B404" t="s">
        <v>2988</v>
      </c>
      <c r="C404" t="s">
        <v>2988</v>
      </c>
      <c r="D404">
        <v>0</v>
      </c>
      <c r="E404" t="s">
        <v>2987</v>
      </c>
    </row>
    <row r="405" spans="1:5" x14ac:dyDescent="0.2">
      <c r="A405" t="s">
        <v>2521</v>
      </c>
      <c r="B405" t="s">
        <v>1450</v>
      </c>
      <c r="C405" t="s">
        <v>0</v>
      </c>
      <c r="D405">
        <v>0.3333333432674408</v>
      </c>
      <c r="E405" t="s">
        <v>2989</v>
      </c>
    </row>
    <row r="406" spans="1:5" x14ac:dyDescent="0.2">
      <c r="A406" t="s">
        <v>2522</v>
      </c>
      <c r="B406" t="s">
        <v>122</v>
      </c>
      <c r="C406" t="s">
        <v>0</v>
      </c>
      <c r="D406">
        <v>1</v>
      </c>
      <c r="E406" t="s">
        <v>2987</v>
      </c>
    </row>
    <row r="407" spans="1:5" x14ac:dyDescent="0.2">
      <c r="A407" t="s">
        <v>2523</v>
      </c>
      <c r="B407" t="s">
        <v>1897</v>
      </c>
      <c r="C407" t="s">
        <v>1</v>
      </c>
      <c r="D407">
        <v>0.39344263076782227</v>
      </c>
      <c r="E407" t="s">
        <v>2989</v>
      </c>
    </row>
    <row r="408" spans="1:5" x14ac:dyDescent="0.2">
      <c r="A408" t="s">
        <v>2524</v>
      </c>
      <c r="B408" t="s">
        <v>2988</v>
      </c>
      <c r="C408" t="s">
        <v>2988</v>
      </c>
      <c r="D408">
        <v>0</v>
      </c>
      <c r="E408" t="s">
        <v>2987</v>
      </c>
    </row>
    <row r="409" spans="1:5" x14ac:dyDescent="0.2">
      <c r="A409" t="s">
        <v>2525</v>
      </c>
      <c r="B409" t="s">
        <v>777</v>
      </c>
      <c r="C409" t="s">
        <v>1</v>
      </c>
      <c r="D409">
        <v>0.41379311680793762</v>
      </c>
      <c r="E409" t="s">
        <v>2987</v>
      </c>
    </row>
    <row r="410" spans="1:5" x14ac:dyDescent="0.2">
      <c r="A410" t="s">
        <v>2526</v>
      </c>
      <c r="B410" t="s">
        <v>1879</v>
      </c>
      <c r="C410" t="s">
        <v>1</v>
      </c>
      <c r="D410">
        <v>0.31578946113586426</v>
      </c>
      <c r="E410" t="s">
        <v>2989</v>
      </c>
    </row>
    <row r="411" spans="1:5" x14ac:dyDescent="0.2">
      <c r="A411" t="s">
        <v>2527</v>
      </c>
      <c r="B411" t="s">
        <v>1879</v>
      </c>
      <c r="C411" t="s">
        <v>1</v>
      </c>
      <c r="D411">
        <v>0.3333333432674408</v>
      </c>
      <c r="E411" t="s">
        <v>2989</v>
      </c>
    </row>
    <row r="412" spans="1:5" x14ac:dyDescent="0.2">
      <c r="A412" t="s">
        <v>2528</v>
      </c>
      <c r="B412" t="s">
        <v>1879</v>
      </c>
      <c r="C412" t="s">
        <v>1</v>
      </c>
      <c r="D412">
        <v>0.31578946113586426</v>
      </c>
      <c r="E412" t="s">
        <v>2989</v>
      </c>
    </row>
    <row r="413" spans="1:5" x14ac:dyDescent="0.2">
      <c r="A413" t="s">
        <v>2529</v>
      </c>
      <c r="B413" t="s">
        <v>2988</v>
      </c>
      <c r="C413" t="s">
        <v>2988</v>
      </c>
      <c r="D413">
        <v>0</v>
      </c>
      <c r="E413" t="s">
        <v>2987</v>
      </c>
    </row>
    <row r="414" spans="1:5" x14ac:dyDescent="0.2">
      <c r="A414" t="s">
        <v>2530</v>
      </c>
      <c r="B414" t="s">
        <v>2988</v>
      </c>
      <c r="C414" t="s">
        <v>2988</v>
      </c>
      <c r="D414">
        <v>0</v>
      </c>
      <c r="E414" t="s">
        <v>2987</v>
      </c>
    </row>
    <row r="415" spans="1:5" x14ac:dyDescent="0.2">
      <c r="A415" t="s">
        <v>2531</v>
      </c>
      <c r="B415" t="s">
        <v>2988</v>
      </c>
      <c r="C415" t="s">
        <v>2988</v>
      </c>
      <c r="D415">
        <v>0</v>
      </c>
      <c r="E415" t="s">
        <v>2987</v>
      </c>
    </row>
    <row r="416" spans="1:5" x14ac:dyDescent="0.2">
      <c r="A416" t="s">
        <v>2532</v>
      </c>
      <c r="B416" t="s">
        <v>2988</v>
      </c>
      <c r="C416" t="s">
        <v>2988</v>
      </c>
      <c r="D416">
        <v>3.3333335071802139E-2</v>
      </c>
      <c r="E416" t="s">
        <v>2987</v>
      </c>
    </row>
    <row r="417" spans="1:5" x14ac:dyDescent="0.2">
      <c r="A417" t="s">
        <v>2533</v>
      </c>
      <c r="B417" t="s">
        <v>2988</v>
      </c>
      <c r="C417" t="s">
        <v>2988</v>
      </c>
      <c r="D417">
        <v>3.3333335071802139E-2</v>
      </c>
      <c r="E417" t="s">
        <v>2987</v>
      </c>
    </row>
    <row r="418" spans="1:5" x14ac:dyDescent="0.2">
      <c r="A418" t="s">
        <v>2534</v>
      </c>
      <c r="B418" t="s">
        <v>980</v>
      </c>
      <c r="C418" t="s">
        <v>1</v>
      </c>
      <c r="D418">
        <v>1</v>
      </c>
      <c r="E418" t="s">
        <v>2987</v>
      </c>
    </row>
    <row r="419" spans="1:5" x14ac:dyDescent="0.2">
      <c r="A419" t="s">
        <v>2535</v>
      </c>
      <c r="B419" t="s">
        <v>2988</v>
      </c>
      <c r="C419" t="s">
        <v>2988</v>
      </c>
      <c r="D419">
        <v>0</v>
      </c>
      <c r="E419" t="s">
        <v>2987</v>
      </c>
    </row>
    <row r="420" spans="1:5" x14ac:dyDescent="0.2">
      <c r="A420" t="s">
        <v>2536</v>
      </c>
      <c r="B420" t="s">
        <v>982</v>
      </c>
      <c r="C420" t="s">
        <v>1</v>
      </c>
      <c r="D420">
        <v>0.1875</v>
      </c>
      <c r="E420" t="s">
        <v>2989</v>
      </c>
    </row>
    <row r="421" spans="1:5" x14ac:dyDescent="0.2">
      <c r="A421" t="s">
        <v>2537</v>
      </c>
      <c r="B421" t="s">
        <v>779</v>
      </c>
      <c r="C421" t="s">
        <v>1</v>
      </c>
      <c r="D421">
        <v>0.45283019542694092</v>
      </c>
      <c r="E421" t="s">
        <v>2987</v>
      </c>
    </row>
    <row r="422" spans="1:5" x14ac:dyDescent="0.2">
      <c r="A422" t="s">
        <v>2538</v>
      </c>
      <c r="B422" t="s">
        <v>1371</v>
      </c>
      <c r="C422" t="s">
        <v>0</v>
      </c>
      <c r="D422">
        <v>0.23529411852359772</v>
      </c>
      <c r="E422" t="s">
        <v>2989</v>
      </c>
    </row>
    <row r="423" spans="1:5" x14ac:dyDescent="0.2">
      <c r="A423" t="s">
        <v>2539</v>
      </c>
      <c r="B423" t="s">
        <v>1668</v>
      </c>
      <c r="C423" t="s">
        <v>1</v>
      </c>
      <c r="D423">
        <v>0.24742268025875092</v>
      </c>
      <c r="E423" t="s">
        <v>2989</v>
      </c>
    </row>
    <row r="424" spans="1:5" x14ac:dyDescent="0.2">
      <c r="A424" t="s">
        <v>2540</v>
      </c>
      <c r="B424" t="s">
        <v>1668</v>
      </c>
      <c r="C424" t="s">
        <v>1</v>
      </c>
      <c r="D424">
        <v>0.190476194024086</v>
      </c>
      <c r="E424" t="s">
        <v>2989</v>
      </c>
    </row>
    <row r="425" spans="1:5" x14ac:dyDescent="0.2">
      <c r="A425" t="s">
        <v>2541</v>
      </c>
      <c r="B425" t="s">
        <v>1668</v>
      </c>
      <c r="C425" t="s">
        <v>1</v>
      </c>
      <c r="D425">
        <v>0.190476194024086</v>
      </c>
      <c r="E425" t="s">
        <v>2989</v>
      </c>
    </row>
    <row r="426" spans="1:5" x14ac:dyDescent="0.2">
      <c r="A426" t="s">
        <v>2542</v>
      </c>
      <c r="B426" t="s">
        <v>2988</v>
      </c>
      <c r="C426" t="s">
        <v>2988</v>
      </c>
      <c r="D426">
        <v>0</v>
      </c>
      <c r="E426" t="s">
        <v>2987</v>
      </c>
    </row>
    <row r="427" spans="1:5" x14ac:dyDescent="0.2">
      <c r="A427" t="s">
        <v>2543</v>
      </c>
      <c r="B427" t="s">
        <v>1310</v>
      </c>
      <c r="C427" t="s">
        <v>1</v>
      </c>
      <c r="D427">
        <v>0.20270270109176636</v>
      </c>
      <c r="E427" t="s">
        <v>2989</v>
      </c>
    </row>
    <row r="428" spans="1:5" x14ac:dyDescent="0.2">
      <c r="A428" t="s">
        <v>2544</v>
      </c>
      <c r="B428" t="s">
        <v>927</v>
      </c>
      <c r="C428" t="s">
        <v>1</v>
      </c>
      <c r="D428">
        <v>0.2054794579744339</v>
      </c>
      <c r="E428" t="s">
        <v>2989</v>
      </c>
    </row>
    <row r="429" spans="1:5" x14ac:dyDescent="0.2">
      <c r="A429" t="s">
        <v>2545</v>
      </c>
      <c r="B429" t="s">
        <v>176</v>
      </c>
      <c r="C429" t="s">
        <v>0</v>
      </c>
      <c r="D429">
        <v>0.20987653732299805</v>
      </c>
      <c r="E429" t="s">
        <v>2989</v>
      </c>
    </row>
    <row r="430" spans="1:5" x14ac:dyDescent="0.2">
      <c r="A430" t="s">
        <v>2546</v>
      </c>
      <c r="B430" t="s">
        <v>156</v>
      </c>
      <c r="C430" t="s">
        <v>0</v>
      </c>
      <c r="D430">
        <v>0.38938054442405701</v>
      </c>
      <c r="E430" t="s">
        <v>2989</v>
      </c>
    </row>
    <row r="431" spans="1:5" x14ac:dyDescent="0.2">
      <c r="A431" t="s">
        <v>2547</v>
      </c>
      <c r="B431" t="s">
        <v>111</v>
      </c>
      <c r="C431" t="s">
        <v>1</v>
      </c>
      <c r="D431">
        <v>0.5</v>
      </c>
      <c r="E431" t="s">
        <v>2987</v>
      </c>
    </row>
    <row r="432" spans="1:5" x14ac:dyDescent="0.2">
      <c r="A432" t="s">
        <v>2548</v>
      </c>
      <c r="B432" t="s">
        <v>111</v>
      </c>
      <c r="C432" t="s">
        <v>1</v>
      </c>
      <c r="D432">
        <v>0.73913043737411499</v>
      </c>
      <c r="E432" t="s">
        <v>2987</v>
      </c>
    </row>
    <row r="433" spans="1:5" x14ac:dyDescent="0.2">
      <c r="A433" t="s">
        <v>2549</v>
      </c>
      <c r="B433" t="s">
        <v>2988</v>
      </c>
      <c r="C433" t="s">
        <v>2988</v>
      </c>
      <c r="D433">
        <v>0</v>
      </c>
      <c r="E433" t="s">
        <v>2987</v>
      </c>
    </row>
    <row r="434" spans="1:5" x14ac:dyDescent="0.2">
      <c r="A434" t="s">
        <v>2550</v>
      </c>
      <c r="B434" t="s">
        <v>2013</v>
      </c>
      <c r="C434" t="s">
        <v>1</v>
      </c>
      <c r="D434">
        <v>1</v>
      </c>
      <c r="E434" t="s">
        <v>2987</v>
      </c>
    </row>
    <row r="435" spans="1:5" x14ac:dyDescent="0.2">
      <c r="A435" t="s">
        <v>2551</v>
      </c>
      <c r="B435" t="s">
        <v>634</v>
      </c>
      <c r="C435" t="s">
        <v>0</v>
      </c>
      <c r="D435">
        <v>0.56790125370025635</v>
      </c>
      <c r="E435" t="s">
        <v>2987</v>
      </c>
    </row>
    <row r="436" spans="1:5" x14ac:dyDescent="0.2">
      <c r="A436" t="s">
        <v>2552</v>
      </c>
      <c r="B436" t="s">
        <v>1954</v>
      </c>
      <c r="C436" t="s">
        <v>1</v>
      </c>
      <c r="D436">
        <v>0.3218390941619873</v>
      </c>
      <c r="E436" t="s">
        <v>2989</v>
      </c>
    </row>
    <row r="437" spans="1:5" x14ac:dyDescent="0.2">
      <c r="A437" t="s">
        <v>2553</v>
      </c>
      <c r="B437" t="s">
        <v>150</v>
      </c>
      <c r="C437" t="s">
        <v>0</v>
      </c>
      <c r="D437">
        <v>0.50943398475646973</v>
      </c>
      <c r="E437" t="s">
        <v>2987</v>
      </c>
    </row>
    <row r="438" spans="1:5" x14ac:dyDescent="0.2">
      <c r="A438" t="s">
        <v>2554</v>
      </c>
      <c r="B438" t="s">
        <v>1864</v>
      </c>
      <c r="C438" t="s">
        <v>1</v>
      </c>
      <c r="D438">
        <v>0.12658227980136871</v>
      </c>
      <c r="E438" t="s">
        <v>2989</v>
      </c>
    </row>
    <row r="439" spans="1:5" x14ac:dyDescent="0.2">
      <c r="A439" t="s">
        <v>2555</v>
      </c>
      <c r="B439" t="s">
        <v>2988</v>
      </c>
      <c r="C439" t="s">
        <v>2988</v>
      </c>
      <c r="D439">
        <v>0</v>
      </c>
      <c r="E439" t="s">
        <v>2987</v>
      </c>
    </row>
    <row r="440" spans="1:5" x14ac:dyDescent="0.2">
      <c r="A440" t="s">
        <v>2556</v>
      </c>
      <c r="B440" t="s">
        <v>2988</v>
      </c>
      <c r="C440" t="s">
        <v>2988</v>
      </c>
      <c r="D440">
        <v>0</v>
      </c>
      <c r="E440" t="s">
        <v>2987</v>
      </c>
    </row>
    <row r="441" spans="1:5" x14ac:dyDescent="0.2">
      <c r="A441" t="s">
        <v>255</v>
      </c>
      <c r="B441" t="s">
        <v>255</v>
      </c>
      <c r="C441" t="s">
        <v>1</v>
      </c>
      <c r="D441">
        <v>1</v>
      </c>
      <c r="E441" t="s">
        <v>2987</v>
      </c>
    </row>
    <row r="442" spans="1:5" x14ac:dyDescent="0.2">
      <c r="A442" t="s">
        <v>2557</v>
      </c>
      <c r="B442" t="s">
        <v>1649</v>
      </c>
      <c r="C442" t="s">
        <v>1</v>
      </c>
      <c r="D442">
        <v>0.375</v>
      </c>
      <c r="E442" t="s">
        <v>2989</v>
      </c>
    </row>
    <row r="443" spans="1:5" x14ac:dyDescent="0.2">
      <c r="A443" t="s">
        <v>2558</v>
      </c>
      <c r="B443" t="s">
        <v>2988</v>
      </c>
      <c r="C443" t="s">
        <v>2988</v>
      </c>
      <c r="D443">
        <v>0</v>
      </c>
      <c r="E443" t="s">
        <v>2987</v>
      </c>
    </row>
    <row r="444" spans="1:5" x14ac:dyDescent="0.2">
      <c r="A444" t="s">
        <v>2559</v>
      </c>
      <c r="B444" t="s">
        <v>1301</v>
      </c>
      <c r="C444" t="s">
        <v>0</v>
      </c>
      <c r="D444">
        <v>0.30000001192092896</v>
      </c>
      <c r="E444" t="s">
        <v>2989</v>
      </c>
    </row>
    <row r="445" spans="1:5" x14ac:dyDescent="0.2">
      <c r="A445" t="s">
        <v>2560</v>
      </c>
      <c r="B445" t="s">
        <v>2024</v>
      </c>
      <c r="C445" t="s">
        <v>1</v>
      </c>
      <c r="D445">
        <v>0.3695652186870575</v>
      </c>
      <c r="E445" t="s">
        <v>2989</v>
      </c>
    </row>
    <row r="446" spans="1:5" x14ac:dyDescent="0.2">
      <c r="A446" t="s">
        <v>2561</v>
      </c>
      <c r="B446" t="s">
        <v>1301</v>
      </c>
      <c r="C446" t="s">
        <v>0</v>
      </c>
      <c r="D446">
        <v>0.5</v>
      </c>
      <c r="E446" t="s">
        <v>2987</v>
      </c>
    </row>
    <row r="447" spans="1:5" x14ac:dyDescent="0.2">
      <c r="A447" t="s">
        <v>2562</v>
      </c>
      <c r="B447" t="s">
        <v>113</v>
      </c>
      <c r="C447" t="s">
        <v>1</v>
      </c>
      <c r="D447">
        <v>0.36000001430511475</v>
      </c>
      <c r="E447" t="s">
        <v>2989</v>
      </c>
    </row>
    <row r="448" spans="1:5" x14ac:dyDescent="0.2">
      <c r="A448" t="s">
        <v>2563</v>
      </c>
      <c r="B448" t="s">
        <v>115</v>
      </c>
      <c r="C448" t="s">
        <v>1</v>
      </c>
      <c r="D448">
        <v>0.49275362491607666</v>
      </c>
      <c r="E448" t="s">
        <v>2987</v>
      </c>
    </row>
    <row r="449" spans="1:5" x14ac:dyDescent="0.2">
      <c r="A449" t="s">
        <v>2564</v>
      </c>
      <c r="B449" t="s">
        <v>117</v>
      </c>
      <c r="C449" t="s">
        <v>1</v>
      </c>
      <c r="D449">
        <v>0.25806450843811035</v>
      </c>
      <c r="E449" t="s">
        <v>2989</v>
      </c>
    </row>
    <row r="450" spans="1:5" x14ac:dyDescent="0.2">
      <c r="A450" t="s">
        <v>2565</v>
      </c>
      <c r="B450" t="s">
        <v>1303</v>
      </c>
      <c r="C450" t="s">
        <v>0</v>
      </c>
      <c r="D450">
        <v>0.37209302186965942</v>
      </c>
      <c r="E450" t="s">
        <v>2989</v>
      </c>
    </row>
    <row r="451" spans="1:5" x14ac:dyDescent="0.2">
      <c r="A451" t="s">
        <v>2566</v>
      </c>
      <c r="B451" t="s">
        <v>1839</v>
      </c>
      <c r="C451" t="s">
        <v>1</v>
      </c>
      <c r="D451">
        <v>0.33613446354866028</v>
      </c>
      <c r="E451" t="s">
        <v>2989</v>
      </c>
    </row>
    <row r="452" spans="1:5" x14ac:dyDescent="0.2">
      <c r="A452" t="s">
        <v>2567</v>
      </c>
      <c r="B452" t="s">
        <v>2988</v>
      </c>
      <c r="C452" t="s">
        <v>2988</v>
      </c>
      <c r="D452">
        <v>0</v>
      </c>
      <c r="E452" t="s">
        <v>2987</v>
      </c>
    </row>
    <row r="453" spans="1:5" x14ac:dyDescent="0.2">
      <c r="A453" t="s">
        <v>2568</v>
      </c>
      <c r="B453" t="s">
        <v>254</v>
      </c>
      <c r="C453" t="s">
        <v>0</v>
      </c>
      <c r="D453">
        <v>0.41379311680793762</v>
      </c>
      <c r="E453" t="s">
        <v>2987</v>
      </c>
    </row>
    <row r="454" spans="1:5" x14ac:dyDescent="0.2">
      <c r="A454" t="s">
        <v>2569</v>
      </c>
      <c r="B454" t="s">
        <v>1022</v>
      </c>
      <c r="C454" t="s">
        <v>0</v>
      </c>
      <c r="D454">
        <v>0.25</v>
      </c>
      <c r="E454" t="s">
        <v>2989</v>
      </c>
    </row>
    <row r="455" spans="1:5" x14ac:dyDescent="0.2">
      <c r="A455" t="s">
        <v>2570</v>
      </c>
      <c r="B455" t="s">
        <v>1320</v>
      </c>
      <c r="C455" t="s">
        <v>1</v>
      </c>
      <c r="D455">
        <v>0.34482759237289429</v>
      </c>
      <c r="E455" t="s">
        <v>2989</v>
      </c>
    </row>
    <row r="456" spans="1:5" x14ac:dyDescent="0.2">
      <c r="A456" t="s">
        <v>2571</v>
      </c>
      <c r="B456" t="s">
        <v>437</v>
      </c>
      <c r="C456" t="s">
        <v>1</v>
      </c>
      <c r="D456">
        <v>0.20270270109176636</v>
      </c>
      <c r="E456" t="s">
        <v>2989</v>
      </c>
    </row>
    <row r="457" spans="1:5" x14ac:dyDescent="0.2">
      <c r="A457" t="s">
        <v>2572</v>
      </c>
      <c r="B457" t="s">
        <v>400</v>
      </c>
      <c r="C457" t="s">
        <v>0</v>
      </c>
      <c r="D457">
        <v>0.36000001430511475</v>
      </c>
      <c r="E457" t="s">
        <v>2989</v>
      </c>
    </row>
    <row r="458" spans="1:5" x14ac:dyDescent="0.2">
      <c r="A458" t="s">
        <v>2573</v>
      </c>
      <c r="B458" t="s">
        <v>537</v>
      </c>
      <c r="C458" t="s">
        <v>1</v>
      </c>
      <c r="D458">
        <v>0.369047611951828</v>
      </c>
      <c r="E458" t="s">
        <v>2989</v>
      </c>
    </row>
    <row r="459" spans="1:5" x14ac:dyDescent="0.2">
      <c r="A459" t="s">
        <v>2574</v>
      </c>
      <c r="B459" t="s">
        <v>33</v>
      </c>
      <c r="C459" t="s">
        <v>1</v>
      </c>
      <c r="D459">
        <v>0.17307692766189575</v>
      </c>
      <c r="E459" t="s">
        <v>2989</v>
      </c>
    </row>
    <row r="460" spans="1:5" x14ac:dyDescent="0.2">
      <c r="A460" t="s">
        <v>2575</v>
      </c>
      <c r="B460" t="s">
        <v>1430</v>
      </c>
      <c r="C460" t="s">
        <v>0</v>
      </c>
      <c r="D460">
        <v>0.31578946113586426</v>
      </c>
      <c r="E460" t="s">
        <v>2989</v>
      </c>
    </row>
    <row r="461" spans="1:5" x14ac:dyDescent="0.2">
      <c r="A461" t="s">
        <v>2576</v>
      </c>
      <c r="B461" t="s">
        <v>2988</v>
      </c>
      <c r="C461" t="s">
        <v>2988</v>
      </c>
      <c r="D461">
        <v>0</v>
      </c>
      <c r="E461" t="s">
        <v>2987</v>
      </c>
    </row>
    <row r="462" spans="1:5" x14ac:dyDescent="0.2">
      <c r="A462" t="s">
        <v>2577</v>
      </c>
      <c r="B462" t="s">
        <v>1591</v>
      </c>
      <c r="C462" t="s">
        <v>1</v>
      </c>
      <c r="D462">
        <v>0.23529411852359772</v>
      </c>
      <c r="E462" t="s">
        <v>2989</v>
      </c>
    </row>
    <row r="463" spans="1:5" x14ac:dyDescent="0.2">
      <c r="A463" t="s">
        <v>2578</v>
      </c>
      <c r="B463" t="s">
        <v>2988</v>
      </c>
      <c r="C463" t="s">
        <v>2988</v>
      </c>
      <c r="D463">
        <v>0</v>
      </c>
      <c r="E463" t="s">
        <v>2987</v>
      </c>
    </row>
    <row r="464" spans="1:5" x14ac:dyDescent="0.2">
      <c r="A464" t="s">
        <v>2579</v>
      </c>
      <c r="B464" t="s">
        <v>2988</v>
      </c>
      <c r="C464" t="s">
        <v>2988</v>
      </c>
      <c r="D464">
        <v>0</v>
      </c>
      <c r="E464" t="s">
        <v>2987</v>
      </c>
    </row>
    <row r="465" spans="1:5" x14ac:dyDescent="0.2">
      <c r="A465" t="s">
        <v>2580</v>
      </c>
      <c r="B465" t="s">
        <v>914</v>
      </c>
      <c r="C465" t="s">
        <v>0</v>
      </c>
      <c r="D465">
        <v>0.34285715222358704</v>
      </c>
      <c r="E465" t="s">
        <v>2989</v>
      </c>
    </row>
    <row r="466" spans="1:5" x14ac:dyDescent="0.2">
      <c r="A466" t="s">
        <v>2581</v>
      </c>
      <c r="B466" t="s">
        <v>2015</v>
      </c>
      <c r="C466" t="s">
        <v>1</v>
      </c>
      <c r="D466">
        <v>0.32335329055786133</v>
      </c>
      <c r="E466" t="s">
        <v>2989</v>
      </c>
    </row>
    <row r="467" spans="1:5" x14ac:dyDescent="0.2">
      <c r="A467" t="s">
        <v>2582</v>
      </c>
      <c r="B467" t="s">
        <v>834</v>
      </c>
      <c r="C467" t="s">
        <v>0</v>
      </c>
      <c r="D467">
        <v>1</v>
      </c>
      <c r="E467" t="s">
        <v>2987</v>
      </c>
    </row>
    <row r="468" spans="1:5" x14ac:dyDescent="0.2">
      <c r="A468" t="s">
        <v>2583</v>
      </c>
      <c r="B468" t="s">
        <v>1669</v>
      </c>
      <c r="C468" t="s">
        <v>1</v>
      </c>
      <c r="D468">
        <v>0.40000000596046448</v>
      </c>
      <c r="E468" t="s">
        <v>2987</v>
      </c>
    </row>
    <row r="469" spans="1:5" x14ac:dyDescent="0.2">
      <c r="A469" t="s">
        <v>2584</v>
      </c>
      <c r="B469" t="s">
        <v>1669</v>
      </c>
      <c r="C469" t="s">
        <v>1</v>
      </c>
      <c r="D469">
        <v>0.34810125827789307</v>
      </c>
      <c r="E469" t="s">
        <v>2989</v>
      </c>
    </row>
    <row r="470" spans="1:5" x14ac:dyDescent="0.2">
      <c r="A470" t="s">
        <v>2585</v>
      </c>
      <c r="B470" t="s">
        <v>1670</v>
      </c>
      <c r="C470" t="s">
        <v>1</v>
      </c>
      <c r="D470">
        <v>0.29268291592597961</v>
      </c>
      <c r="E470" t="s">
        <v>2989</v>
      </c>
    </row>
    <row r="471" spans="1:5" x14ac:dyDescent="0.2">
      <c r="A471" t="s">
        <v>2586</v>
      </c>
      <c r="B471" t="s">
        <v>1670</v>
      </c>
      <c r="C471" t="s">
        <v>1</v>
      </c>
      <c r="D471">
        <v>0.34146341681480408</v>
      </c>
      <c r="E471" t="s">
        <v>2989</v>
      </c>
    </row>
    <row r="472" spans="1:5" x14ac:dyDescent="0.2">
      <c r="A472" t="s">
        <v>2587</v>
      </c>
      <c r="B472" t="s">
        <v>834</v>
      </c>
      <c r="C472" t="s">
        <v>0</v>
      </c>
      <c r="D472">
        <v>0.34782609343528748</v>
      </c>
      <c r="E472" t="s">
        <v>2989</v>
      </c>
    </row>
    <row r="473" spans="1:5" x14ac:dyDescent="0.2">
      <c r="A473" t="s">
        <v>2588</v>
      </c>
      <c r="B473" t="s">
        <v>1671</v>
      </c>
      <c r="C473" t="s">
        <v>1</v>
      </c>
      <c r="D473">
        <v>0.28421053290367126</v>
      </c>
      <c r="E473" t="s">
        <v>2989</v>
      </c>
    </row>
    <row r="474" spans="1:5" x14ac:dyDescent="0.2">
      <c r="A474" t="s">
        <v>2589</v>
      </c>
      <c r="B474" t="s">
        <v>1671</v>
      </c>
      <c r="C474" t="s">
        <v>1</v>
      </c>
      <c r="D474">
        <v>0.26666668057441711</v>
      </c>
      <c r="E474" t="s">
        <v>2989</v>
      </c>
    </row>
    <row r="475" spans="1:5" x14ac:dyDescent="0.2">
      <c r="A475" t="s">
        <v>2590</v>
      </c>
      <c r="B475" t="s">
        <v>1671</v>
      </c>
      <c r="C475" t="s">
        <v>1</v>
      </c>
      <c r="D475">
        <v>0.28571429848670959</v>
      </c>
      <c r="E475" t="s">
        <v>2989</v>
      </c>
    </row>
    <row r="476" spans="1:5" x14ac:dyDescent="0.2">
      <c r="A476" t="s">
        <v>2591</v>
      </c>
      <c r="B476" t="s">
        <v>1671</v>
      </c>
      <c r="C476" t="s">
        <v>1</v>
      </c>
      <c r="D476">
        <v>0.22018349170684814</v>
      </c>
      <c r="E476" t="s">
        <v>2989</v>
      </c>
    </row>
    <row r="477" spans="1:5" x14ac:dyDescent="0.2">
      <c r="A477" t="s">
        <v>2592</v>
      </c>
      <c r="B477" t="s">
        <v>1490</v>
      </c>
      <c r="C477" t="s">
        <v>1</v>
      </c>
      <c r="D477">
        <v>0.54117649793624878</v>
      </c>
      <c r="E477" t="s">
        <v>2987</v>
      </c>
    </row>
    <row r="478" spans="1:5" x14ac:dyDescent="0.2">
      <c r="A478" t="s">
        <v>2593</v>
      </c>
      <c r="B478" t="s">
        <v>936</v>
      </c>
      <c r="C478" t="s">
        <v>0</v>
      </c>
      <c r="D478">
        <v>0.11764705926179886</v>
      </c>
      <c r="E478" t="s">
        <v>2989</v>
      </c>
    </row>
    <row r="479" spans="1:5" x14ac:dyDescent="0.2">
      <c r="A479" t="s">
        <v>2594</v>
      </c>
      <c r="B479" t="s">
        <v>787</v>
      </c>
      <c r="C479" t="s">
        <v>1</v>
      </c>
      <c r="D479">
        <v>0.28070175647735596</v>
      </c>
      <c r="E479" t="s">
        <v>2989</v>
      </c>
    </row>
    <row r="480" spans="1:5" x14ac:dyDescent="0.2">
      <c r="A480" t="s">
        <v>2595</v>
      </c>
      <c r="B480" t="s">
        <v>1699</v>
      </c>
      <c r="C480" t="s">
        <v>1</v>
      </c>
      <c r="D480">
        <v>0.29629629850387573</v>
      </c>
      <c r="E480" t="s">
        <v>2989</v>
      </c>
    </row>
    <row r="481" spans="1:5" x14ac:dyDescent="0.2">
      <c r="A481" t="s">
        <v>2596</v>
      </c>
      <c r="B481" t="s">
        <v>984</v>
      </c>
      <c r="C481" t="s">
        <v>1</v>
      </c>
      <c r="D481">
        <v>0.36923077702522278</v>
      </c>
      <c r="E481" t="s">
        <v>2989</v>
      </c>
    </row>
    <row r="482" spans="1:5" x14ac:dyDescent="0.2">
      <c r="A482" t="s">
        <v>2597</v>
      </c>
      <c r="B482" t="s">
        <v>350</v>
      </c>
      <c r="C482" t="s">
        <v>0</v>
      </c>
      <c r="D482">
        <v>0.48571428656578064</v>
      </c>
      <c r="E482" t="s">
        <v>2987</v>
      </c>
    </row>
    <row r="483" spans="1:5" x14ac:dyDescent="0.2">
      <c r="A483" t="s">
        <v>2598</v>
      </c>
      <c r="B483" t="s">
        <v>2988</v>
      </c>
      <c r="C483" t="s">
        <v>2988</v>
      </c>
      <c r="D483">
        <v>0</v>
      </c>
      <c r="E483" t="s">
        <v>2987</v>
      </c>
    </row>
    <row r="484" spans="1:5" x14ac:dyDescent="0.2">
      <c r="A484" t="s">
        <v>2599</v>
      </c>
      <c r="B484" t="s">
        <v>2988</v>
      </c>
      <c r="C484" t="s">
        <v>2988</v>
      </c>
      <c r="D484">
        <v>0</v>
      </c>
      <c r="E484" t="s">
        <v>2987</v>
      </c>
    </row>
    <row r="485" spans="1:5" x14ac:dyDescent="0.2">
      <c r="A485" t="s">
        <v>2600</v>
      </c>
      <c r="B485" t="s">
        <v>190</v>
      </c>
      <c r="C485" t="s">
        <v>0</v>
      </c>
      <c r="D485">
        <v>0.29032257199287415</v>
      </c>
      <c r="E485" t="s">
        <v>2989</v>
      </c>
    </row>
    <row r="486" spans="1:5" x14ac:dyDescent="0.2">
      <c r="A486" t="s">
        <v>2601</v>
      </c>
      <c r="B486" t="s">
        <v>836</v>
      </c>
      <c r="C486" t="s">
        <v>0</v>
      </c>
      <c r="D486">
        <v>1</v>
      </c>
      <c r="E486" t="s">
        <v>2987</v>
      </c>
    </row>
    <row r="487" spans="1:5" x14ac:dyDescent="0.2">
      <c r="A487" t="s">
        <v>2602</v>
      </c>
      <c r="B487" t="s">
        <v>1324</v>
      </c>
      <c r="C487" t="s">
        <v>1</v>
      </c>
      <c r="D487">
        <v>0.27906978130340576</v>
      </c>
      <c r="E487" t="s">
        <v>2989</v>
      </c>
    </row>
    <row r="488" spans="1:5" x14ac:dyDescent="0.2">
      <c r="A488" t="s">
        <v>2603</v>
      </c>
      <c r="B488" t="s">
        <v>1794</v>
      </c>
      <c r="C488" t="s">
        <v>1</v>
      </c>
      <c r="D488">
        <v>0.31034481525421143</v>
      </c>
      <c r="E488" t="s">
        <v>2989</v>
      </c>
    </row>
    <row r="489" spans="1:5" x14ac:dyDescent="0.2">
      <c r="A489" t="s">
        <v>2604</v>
      </c>
      <c r="B489" t="s">
        <v>1795</v>
      </c>
      <c r="C489" t="s">
        <v>1</v>
      </c>
      <c r="D489">
        <v>0.2910798192024231</v>
      </c>
      <c r="E489" t="s">
        <v>2989</v>
      </c>
    </row>
    <row r="490" spans="1:5" x14ac:dyDescent="0.2">
      <c r="A490" t="s">
        <v>2605</v>
      </c>
      <c r="B490" t="s">
        <v>2988</v>
      </c>
      <c r="C490" t="s">
        <v>2988</v>
      </c>
      <c r="D490">
        <v>0</v>
      </c>
      <c r="E490" t="s">
        <v>2987</v>
      </c>
    </row>
    <row r="491" spans="1:5" x14ac:dyDescent="0.2">
      <c r="A491" t="s">
        <v>2606</v>
      </c>
      <c r="B491" t="s">
        <v>48</v>
      </c>
      <c r="C491" t="s">
        <v>0</v>
      </c>
      <c r="D491">
        <v>0.2222222238779068</v>
      </c>
      <c r="E491" t="s">
        <v>2989</v>
      </c>
    </row>
    <row r="492" spans="1:5" x14ac:dyDescent="0.2">
      <c r="A492" t="s">
        <v>2607</v>
      </c>
      <c r="B492" t="s">
        <v>2988</v>
      </c>
      <c r="C492" t="s">
        <v>2988</v>
      </c>
      <c r="D492">
        <v>0</v>
      </c>
      <c r="E492" t="s">
        <v>2987</v>
      </c>
    </row>
    <row r="493" spans="1:5" x14ac:dyDescent="0.2">
      <c r="A493" t="s">
        <v>2608</v>
      </c>
      <c r="B493" t="s">
        <v>791</v>
      </c>
      <c r="C493" t="s">
        <v>1</v>
      </c>
      <c r="D493">
        <v>0.2950819730758667</v>
      </c>
      <c r="E493" t="s">
        <v>2989</v>
      </c>
    </row>
    <row r="494" spans="1:5" x14ac:dyDescent="0.2">
      <c r="A494" t="s">
        <v>2609</v>
      </c>
      <c r="B494" t="s">
        <v>793</v>
      </c>
      <c r="C494" t="s">
        <v>1</v>
      </c>
      <c r="D494">
        <v>0.29629629850387573</v>
      </c>
      <c r="E494" t="s">
        <v>2989</v>
      </c>
    </row>
    <row r="495" spans="1:5" x14ac:dyDescent="0.2">
      <c r="A495" t="s">
        <v>2610</v>
      </c>
      <c r="B495" t="s">
        <v>500</v>
      </c>
      <c r="C495" t="s">
        <v>0</v>
      </c>
      <c r="D495">
        <v>0.62962961196899414</v>
      </c>
      <c r="E495" t="s">
        <v>2987</v>
      </c>
    </row>
    <row r="496" spans="1:5" x14ac:dyDescent="0.2">
      <c r="A496" t="s">
        <v>2611</v>
      </c>
      <c r="B496" t="s">
        <v>492</v>
      </c>
      <c r="C496" t="s">
        <v>0</v>
      </c>
      <c r="D496">
        <v>0.48571428656578064</v>
      </c>
      <c r="E496" t="s">
        <v>2987</v>
      </c>
    </row>
    <row r="497" spans="1:5" x14ac:dyDescent="0.2">
      <c r="A497" t="s">
        <v>2612</v>
      </c>
      <c r="B497" t="s">
        <v>500</v>
      </c>
      <c r="C497" t="s">
        <v>0</v>
      </c>
      <c r="D497">
        <v>0.56666666269302368</v>
      </c>
      <c r="E497" t="s">
        <v>2987</v>
      </c>
    </row>
    <row r="498" spans="1:5" x14ac:dyDescent="0.2">
      <c r="A498" t="s">
        <v>2613</v>
      </c>
      <c r="B498" t="s">
        <v>986</v>
      </c>
      <c r="C498" t="s">
        <v>1</v>
      </c>
      <c r="D498">
        <v>0.48387095332145691</v>
      </c>
      <c r="E498" t="s">
        <v>2987</v>
      </c>
    </row>
    <row r="499" spans="1:5" x14ac:dyDescent="0.2">
      <c r="A499" t="s">
        <v>2614</v>
      </c>
      <c r="B499" t="s">
        <v>124</v>
      </c>
      <c r="C499" t="s">
        <v>0</v>
      </c>
      <c r="D499">
        <v>1</v>
      </c>
      <c r="E499" t="s">
        <v>2987</v>
      </c>
    </row>
    <row r="500" spans="1:5" x14ac:dyDescent="0.2">
      <c r="A500" t="s">
        <v>2615</v>
      </c>
      <c r="B500" t="s">
        <v>2114</v>
      </c>
      <c r="C500" t="s">
        <v>1</v>
      </c>
      <c r="D500">
        <v>0.19780220091342926</v>
      </c>
      <c r="E500" t="s">
        <v>2989</v>
      </c>
    </row>
    <row r="501" spans="1:5" x14ac:dyDescent="0.2">
      <c r="A501" t="s">
        <v>2616</v>
      </c>
      <c r="B501" t="s">
        <v>794</v>
      </c>
      <c r="C501" t="s">
        <v>0</v>
      </c>
      <c r="D501">
        <v>0.375</v>
      </c>
      <c r="E501" t="s">
        <v>2989</v>
      </c>
    </row>
    <row r="502" spans="1:5" x14ac:dyDescent="0.2">
      <c r="A502" t="s">
        <v>2617</v>
      </c>
      <c r="B502" t="s">
        <v>2988</v>
      </c>
      <c r="C502" t="s">
        <v>2988</v>
      </c>
      <c r="D502">
        <v>0</v>
      </c>
      <c r="E502" t="s">
        <v>2987</v>
      </c>
    </row>
    <row r="503" spans="1:5" x14ac:dyDescent="0.2">
      <c r="A503" t="s">
        <v>2618</v>
      </c>
      <c r="B503" t="s">
        <v>335</v>
      </c>
      <c r="C503" t="s">
        <v>1</v>
      </c>
      <c r="D503">
        <v>0.44943821430206299</v>
      </c>
      <c r="E503" t="s">
        <v>2987</v>
      </c>
    </row>
    <row r="504" spans="1:5" x14ac:dyDescent="0.2">
      <c r="A504" t="s">
        <v>2619</v>
      </c>
      <c r="B504" t="s">
        <v>888</v>
      </c>
      <c r="C504" t="s">
        <v>0</v>
      </c>
      <c r="D504">
        <v>0.48571428656578064</v>
      </c>
      <c r="E504" t="s">
        <v>2987</v>
      </c>
    </row>
    <row r="505" spans="1:5" x14ac:dyDescent="0.2">
      <c r="A505" t="s">
        <v>2620</v>
      </c>
      <c r="B505" t="s">
        <v>2988</v>
      </c>
      <c r="C505" t="s">
        <v>2988</v>
      </c>
      <c r="D505">
        <v>0</v>
      </c>
      <c r="E505" t="s">
        <v>2987</v>
      </c>
    </row>
    <row r="506" spans="1:5" x14ac:dyDescent="0.2">
      <c r="A506" t="s">
        <v>2621</v>
      </c>
      <c r="B506" t="s">
        <v>1592</v>
      </c>
      <c r="C506" t="s">
        <v>1</v>
      </c>
      <c r="D506">
        <v>0.42424243688583374</v>
      </c>
      <c r="E506" t="s">
        <v>2987</v>
      </c>
    </row>
    <row r="507" spans="1:5" x14ac:dyDescent="0.2">
      <c r="A507" t="s">
        <v>2622</v>
      </c>
      <c r="B507" t="s">
        <v>1310</v>
      </c>
      <c r="C507" t="s">
        <v>1</v>
      </c>
      <c r="D507">
        <v>0.34782609343528748</v>
      </c>
      <c r="E507" t="s">
        <v>2989</v>
      </c>
    </row>
    <row r="508" spans="1:5" x14ac:dyDescent="0.2">
      <c r="A508" t="s">
        <v>2623</v>
      </c>
      <c r="B508" t="s">
        <v>1185</v>
      </c>
      <c r="C508" t="s">
        <v>0</v>
      </c>
      <c r="D508">
        <v>0.2708333432674408</v>
      </c>
      <c r="E508" t="s">
        <v>2989</v>
      </c>
    </row>
    <row r="509" spans="1:5" x14ac:dyDescent="0.2">
      <c r="A509" t="s">
        <v>2624</v>
      </c>
      <c r="B509" t="s">
        <v>2988</v>
      </c>
      <c r="C509" t="s">
        <v>2988</v>
      </c>
      <c r="D509">
        <v>5.8823529630899429E-2</v>
      </c>
      <c r="E509" t="s">
        <v>2987</v>
      </c>
    </row>
    <row r="510" spans="1:5" x14ac:dyDescent="0.2">
      <c r="A510" t="s">
        <v>2625</v>
      </c>
      <c r="B510" t="s">
        <v>2988</v>
      </c>
      <c r="C510" t="s">
        <v>2988</v>
      </c>
      <c r="D510">
        <v>0</v>
      </c>
      <c r="E510" t="s">
        <v>2987</v>
      </c>
    </row>
    <row r="511" spans="1:5" x14ac:dyDescent="0.2">
      <c r="A511" t="s">
        <v>2626</v>
      </c>
      <c r="B511" t="s">
        <v>1935</v>
      </c>
      <c r="C511" t="s">
        <v>1</v>
      </c>
      <c r="D511">
        <v>0.32727271318435669</v>
      </c>
      <c r="E511" t="s">
        <v>2989</v>
      </c>
    </row>
    <row r="512" spans="1:5" x14ac:dyDescent="0.2">
      <c r="A512" t="s">
        <v>2627</v>
      </c>
      <c r="B512" t="s">
        <v>1934</v>
      </c>
      <c r="C512" t="s">
        <v>1</v>
      </c>
      <c r="D512">
        <v>0.24074074625968933</v>
      </c>
      <c r="E512" t="s">
        <v>2989</v>
      </c>
    </row>
    <row r="513" spans="1:5" x14ac:dyDescent="0.2">
      <c r="A513" t="s">
        <v>2628</v>
      </c>
      <c r="B513" t="s">
        <v>1305</v>
      </c>
      <c r="C513" t="s">
        <v>0</v>
      </c>
      <c r="D513">
        <v>1</v>
      </c>
      <c r="E513" t="s">
        <v>2987</v>
      </c>
    </row>
    <row r="514" spans="1:5" x14ac:dyDescent="0.2">
      <c r="A514" t="s">
        <v>2629</v>
      </c>
      <c r="B514" t="s">
        <v>1764</v>
      </c>
      <c r="C514" t="s">
        <v>1</v>
      </c>
      <c r="D514">
        <v>1</v>
      </c>
      <c r="E514" t="s">
        <v>2987</v>
      </c>
    </row>
    <row r="515" spans="1:5" x14ac:dyDescent="0.2">
      <c r="A515" t="s">
        <v>2630</v>
      </c>
      <c r="B515" t="s">
        <v>1413</v>
      </c>
      <c r="C515" t="s">
        <v>1</v>
      </c>
      <c r="D515">
        <v>0.375</v>
      </c>
      <c r="E515" t="s">
        <v>2989</v>
      </c>
    </row>
    <row r="516" spans="1:5" x14ac:dyDescent="0.2">
      <c r="A516" t="s">
        <v>2631</v>
      </c>
      <c r="B516" t="s">
        <v>1413</v>
      </c>
      <c r="C516" t="s">
        <v>1</v>
      </c>
      <c r="D516">
        <v>0.19354838132858276</v>
      </c>
      <c r="E516" t="s">
        <v>2989</v>
      </c>
    </row>
    <row r="517" spans="1:5" x14ac:dyDescent="0.2">
      <c r="A517" t="s">
        <v>2632</v>
      </c>
      <c r="B517" t="s">
        <v>1942</v>
      </c>
      <c r="C517" t="s">
        <v>1</v>
      </c>
      <c r="D517">
        <v>0.50549453496932983</v>
      </c>
      <c r="E517" t="s">
        <v>2987</v>
      </c>
    </row>
    <row r="518" spans="1:5" x14ac:dyDescent="0.2">
      <c r="A518" t="s">
        <v>2633</v>
      </c>
      <c r="B518" t="s">
        <v>2988</v>
      </c>
      <c r="C518" t="s">
        <v>2988</v>
      </c>
      <c r="D518">
        <v>0</v>
      </c>
      <c r="E518" t="s">
        <v>2987</v>
      </c>
    </row>
    <row r="519" spans="1:5" x14ac:dyDescent="0.2">
      <c r="A519" t="s">
        <v>2634</v>
      </c>
      <c r="B519" t="s">
        <v>2988</v>
      </c>
      <c r="C519" t="s">
        <v>2988</v>
      </c>
      <c r="D519">
        <v>0</v>
      </c>
      <c r="E519" t="s">
        <v>2987</v>
      </c>
    </row>
    <row r="520" spans="1:5" x14ac:dyDescent="0.2">
      <c r="A520" t="s">
        <v>2635</v>
      </c>
      <c r="B520" t="s">
        <v>1616</v>
      </c>
      <c r="C520" t="s">
        <v>1</v>
      </c>
      <c r="D520">
        <v>0.36923077702522278</v>
      </c>
      <c r="E520" t="s">
        <v>2989</v>
      </c>
    </row>
    <row r="521" spans="1:5" x14ac:dyDescent="0.2">
      <c r="A521" t="s">
        <v>2636</v>
      </c>
      <c r="B521" t="s">
        <v>2016</v>
      </c>
      <c r="C521" t="s">
        <v>1</v>
      </c>
      <c r="D521">
        <v>0.76666665077209473</v>
      </c>
      <c r="E521" t="s">
        <v>2987</v>
      </c>
    </row>
    <row r="522" spans="1:5" x14ac:dyDescent="0.2">
      <c r="A522" t="s">
        <v>2637</v>
      </c>
      <c r="B522" t="s">
        <v>1087</v>
      </c>
      <c r="C522" t="s">
        <v>1</v>
      </c>
      <c r="D522">
        <v>0.44776120781898499</v>
      </c>
      <c r="E522" t="s">
        <v>2987</v>
      </c>
    </row>
    <row r="523" spans="1:5" x14ac:dyDescent="0.2">
      <c r="A523" t="s">
        <v>2638</v>
      </c>
      <c r="B523" t="s">
        <v>796</v>
      </c>
      <c r="C523" t="s">
        <v>0</v>
      </c>
      <c r="D523">
        <v>0.32653060555458069</v>
      </c>
      <c r="E523" t="s">
        <v>2989</v>
      </c>
    </row>
    <row r="524" spans="1:5" x14ac:dyDescent="0.2">
      <c r="A524" t="s">
        <v>2639</v>
      </c>
      <c r="B524" t="s">
        <v>2988</v>
      </c>
      <c r="C524" t="s">
        <v>2988</v>
      </c>
      <c r="D524">
        <v>0</v>
      </c>
      <c r="E524" t="s">
        <v>2987</v>
      </c>
    </row>
    <row r="525" spans="1:5" x14ac:dyDescent="0.2">
      <c r="A525" t="s">
        <v>2640</v>
      </c>
      <c r="B525" t="s">
        <v>1650</v>
      </c>
      <c r="C525" t="s">
        <v>1</v>
      </c>
      <c r="D525">
        <v>0.31034481525421143</v>
      </c>
      <c r="E525" t="s">
        <v>2989</v>
      </c>
    </row>
    <row r="526" spans="1:5" x14ac:dyDescent="0.2">
      <c r="A526" t="s">
        <v>2641</v>
      </c>
      <c r="B526" t="s">
        <v>2988</v>
      </c>
      <c r="C526" t="s">
        <v>2988</v>
      </c>
      <c r="D526">
        <v>0</v>
      </c>
      <c r="E526" t="s">
        <v>2987</v>
      </c>
    </row>
    <row r="527" spans="1:5" x14ac:dyDescent="0.2">
      <c r="A527" t="s">
        <v>2642</v>
      </c>
      <c r="B527" t="s">
        <v>2988</v>
      </c>
      <c r="C527" t="s">
        <v>2988</v>
      </c>
      <c r="D527">
        <v>0</v>
      </c>
      <c r="E527" t="s">
        <v>2987</v>
      </c>
    </row>
    <row r="528" spans="1:5" x14ac:dyDescent="0.2">
      <c r="A528" t="s">
        <v>2643</v>
      </c>
      <c r="B528" t="s">
        <v>990</v>
      </c>
      <c r="C528" t="s">
        <v>1</v>
      </c>
      <c r="D528">
        <v>1</v>
      </c>
      <c r="E528" t="s">
        <v>2987</v>
      </c>
    </row>
    <row r="529" spans="1:5" x14ac:dyDescent="0.2">
      <c r="A529" t="s">
        <v>2644</v>
      </c>
      <c r="B529" t="s">
        <v>1570</v>
      </c>
      <c r="C529" t="s">
        <v>1</v>
      </c>
      <c r="D529">
        <v>0.190476194024086</v>
      </c>
      <c r="E529" t="s">
        <v>2989</v>
      </c>
    </row>
    <row r="530" spans="1:5" x14ac:dyDescent="0.2">
      <c r="A530" t="s">
        <v>2645</v>
      </c>
      <c r="B530" t="s">
        <v>890</v>
      </c>
      <c r="C530" t="s">
        <v>0</v>
      </c>
      <c r="D530">
        <v>0.56097561120986938</v>
      </c>
      <c r="E530" t="s">
        <v>2987</v>
      </c>
    </row>
    <row r="531" spans="1:5" x14ac:dyDescent="0.2">
      <c r="A531" t="s">
        <v>2646</v>
      </c>
      <c r="B531" t="s">
        <v>2988</v>
      </c>
      <c r="C531" t="s">
        <v>2988</v>
      </c>
      <c r="D531">
        <v>0</v>
      </c>
      <c r="E531" t="s">
        <v>2987</v>
      </c>
    </row>
    <row r="532" spans="1:5" x14ac:dyDescent="0.2">
      <c r="A532" t="s">
        <v>2647</v>
      </c>
      <c r="B532" t="s">
        <v>2988</v>
      </c>
      <c r="C532" t="s">
        <v>2988</v>
      </c>
      <c r="D532">
        <v>1.3698630034923553E-2</v>
      </c>
      <c r="E532" t="s">
        <v>2987</v>
      </c>
    </row>
    <row r="533" spans="1:5" x14ac:dyDescent="0.2">
      <c r="A533" t="s">
        <v>257</v>
      </c>
      <c r="B533" t="s">
        <v>257</v>
      </c>
      <c r="C533" t="s">
        <v>1</v>
      </c>
      <c r="D533">
        <v>1</v>
      </c>
      <c r="E533" t="s">
        <v>2987</v>
      </c>
    </row>
    <row r="534" spans="1:5" x14ac:dyDescent="0.2">
      <c r="A534" t="s">
        <v>2648</v>
      </c>
      <c r="B534" t="s">
        <v>484</v>
      </c>
      <c r="C534" t="s">
        <v>0</v>
      </c>
      <c r="D534">
        <v>0.375</v>
      </c>
      <c r="E534" t="s">
        <v>2989</v>
      </c>
    </row>
    <row r="535" spans="1:5" x14ac:dyDescent="0.2">
      <c r="A535" t="s">
        <v>2649</v>
      </c>
      <c r="B535" t="s">
        <v>2115</v>
      </c>
      <c r="C535" t="s">
        <v>1</v>
      </c>
      <c r="D535">
        <v>0.26923078298568726</v>
      </c>
      <c r="E535" t="s">
        <v>2989</v>
      </c>
    </row>
    <row r="536" spans="1:5" x14ac:dyDescent="0.2">
      <c r="A536" t="s">
        <v>2650</v>
      </c>
      <c r="B536" t="s">
        <v>248</v>
      </c>
      <c r="C536" t="s">
        <v>0</v>
      </c>
      <c r="D536">
        <v>0.18181818723678589</v>
      </c>
      <c r="E536" t="s">
        <v>2989</v>
      </c>
    </row>
    <row r="537" spans="1:5" x14ac:dyDescent="0.2">
      <c r="A537" t="s">
        <v>2651</v>
      </c>
      <c r="B537" t="s">
        <v>2988</v>
      </c>
      <c r="C537" t="s">
        <v>2988</v>
      </c>
      <c r="D537">
        <v>0</v>
      </c>
      <c r="E537" t="s">
        <v>2987</v>
      </c>
    </row>
    <row r="538" spans="1:5" x14ac:dyDescent="0.2">
      <c r="A538" t="s">
        <v>2652</v>
      </c>
      <c r="B538" t="s">
        <v>2988</v>
      </c>
      <c r="C538" t="s">
        <v>2988</v>
      </c>
      <c r="D538">
        <v>0</v>
      </c>
      <c r="E538" t="s">
        <v>2987</v>
      </c>
    </row>
    <row r="539" spans="1:5" x14ac:dyDescent="0.2">
      <c r="A539" t="s">
        <v>2653</v>
      </c>
      <c r="B539" t="s">
        <v>196</v>
      </c>
      <c r="C539" t="s">
        <v>0</v>
      </c>
      <c r="D539">
        <v>0.21951219439506531</v>
      </c>
      <c r="E539" t="s">
        <v>2989</v>
      </c>
    </row>
    <row r="540" spans="1:5" x14ac:dyDescent="0.2">
      <c r="A540" t="s">
        <v>2654</v>
      </c>
      <c r="B540" t="s">
        <v>391</v>
      </c>
      <c r="C540" t="s">
        <v>1</v>
      </c>
      <c r="D540">
        <v>0.28947368264198303</v>
      </c>
      <c r="E540" t="s">
        <v>2989</v>
      </c>
    </row>
    <row r="541" spans="1:5" x14ac:dyDescent="0.2">
      <c r="A541" t="s">
        <v>2655</v>
      </c>
      <c r="B541" t="s">
        <v>1123</v>
      </c>
      <c r="C541" t="s">
        <v>0</v>
      </c>
      <c r="D541">
        <v>0.39344263076782227</v>
      </c>
      <c r="E541" t="s">
        <v>2989</v>
      </c>
    </row>
    <row r="542" spans="1:5" x14ac:dyDescent="0.2">
      <c r="A542" t="s">
        <v>2656</v>
      </c>
      <c r="B542" t="s">
        <v>1226</v>
      </c>
      <c r="C542" t="s">
        <v>0</v>
      </c>
      <c r="D542">
        <v>0.14754098653793335</v>
      </c>
      <c r="E542" t="s">
        <v>2989</v>
      </c>
    </row>
    <row r="543" spans="1:5" x14ac:dyDescent="0.2">
      <c r="A543" t="s">
        <v>2657</v>
      </c>
      <c r="B543" t="s">
        <v>1566</v>
      </c>
      <c r="C543" t="s">
        <v>1</v>
      </c>
      <c r="D543">
        <v>0.34482759237289429</v>
      </c>
      <c r="E543" t="s">
        <v>2989</v>
      </c>
    </row>
    <row r="544" spans="1:5" x14ac:dyDescent="0.2">
      <c r="A544" t="s">
        <v>2658</v>
      </c>
      <c r="B544" t="s">
        <v>1566</v>
      </c>
      <c r="C544" t="s">
        <v>1</v>
      </c>
      <c r="D544">
        <v>0.3333333432674408</v>
      </c>
      <c r="E544" t="s">
        <v>2989</v>
      </c>
    </row>
    <row r="545" spans="1:5" x14ac:dyDescent="0.2">
      <c r="A545" t="s">
        <v>2659</v>
      </c>
      <c r="B545" t="s">
        <v>2988</v>
      </c>
      <c r="C545" t="s">
        <v>2988</v>
      </c>
      <c r="D545">
        <v>0</v>
      </c>
      <c r="E545" t="s">
        <v>2987</v>
      </c>
    </row>
    <row r="546" spans="1:5" x14ac:dyDescent="0.2">
      <c r="A546" t="s">
        <v>2660</v>
      </c>
      <c r="B546" t="s">
        <v>537</v>
      </c>
      <c r="C546" t="s">
        <v>1</v>
      </c>
      <c r="D546">
        <v>0.32222223281860352</v>
      </c>
      <c r="E546" t="s">
        <v>2989</v>
      </c>
    </row>
    <row r="547" spans="1:5" x14ac:dyDescent="0.2">
      <c r="A547" t="s">
        <v>2661</v>
      </c>
      <c r="B547" t="s">
        <v>1568</v>
      </c>
      <c r="C547" t="s">
        <v>1</v>
      </c>
      <c r="D547">
        <v>0.20370370149612427</v>
      </c>
      <c r="E547" t="s">
        <v>2989</v>
      </c>
    </row>
    <row r="548" spans="1:5" x14ac:dyDescent="0.2">
      <c r="A548" t="s">
        <v>2662</v>
      </c>
      <c r="B548" t="s">
        <v>1261</v>
      </c>
      <c r="C548" t="s">
        <v>1</v>
      </c>
      <c r="D548">
        <v>0.6355140209197998</v>
      </c>
      <c r="E548" t="s">
        <v>2987</v>
      </c>
    </row>
    <row r="549" spans="1:5" x14ac:dyDescent="0.2">
      <c r="A549" t="s">
        <v>2663</v>
      </c>
      <c r="B549" t="s">
        <v>1261</v>
      </c>
      <c r="C549" t="s">
        <v>1</v>
      </c>
      <c r="D549">
        <v>0.20000000298023224</v>
      </c>
      <c r="E549" t="s">
        <v>2989</v>
      </c>
    </row>
    <row r="550" spans="1:5" x14ac:dyDescent="0.2">
      <c r="A550" t="s">
        <v>2664</v>
      </c>
      <c r="B550" t="s">
        <v>1261</v>
      </c>
      <c r="C550" t="s">
        <v>1</v>
      </c>
      <c r="D550">
        <v>0.1666666716337204</v>
      </c>
      <c r="E550" t="s">
        <v>2989</v>
      </c>
    </row>
    <row r="551" spans="1:5" x14ac:dyDescent="0.2">
      <c r="A551" t="s">
        <v>2665</v>
      </c>
      <c r="B551" t="s">
        <v>1518</v>
      </c>
      <c r="C551" t="s">
        <v>1</v>
      </c>
      <c r="D551">
        <v>0.28333333134651184</v>
      </c>
      <c r="E551" t="s">
        <v>2989</v>
      </c>
    </row>
    <row r="552" spans="1:5" x14ac:dyDescent="0.2">
      <c r="A552" t="s">
        <v>2666</v>
      </c>
      <c r="B552" t="s">
        <v>1345</v>
      </c>
      <c r="C552" t="s">
        <v>0</v>
      </c>
      <c r="D552">
        <v>0.38461539149284363</v>
      </c>
      <c r="E552" t="s">
        <v>2989</v>
      </c>
    </row>
    <row r="553" spans="1:5" x14ac:dyDescent="0.2">
      <c r="A553" t="s">
        <v>2667</v>
      </c>
      <c r="B553" t="s">
        <v>1570</v>
      </c>
      <c r="C553" t="s">
        <v>1</v>
      </c>
      <c r="D553">
        <v>0.17204301059246063</v>
      </c>
      <c r="E553" t="s">
        <v>2989</v>
      </c>
    </row>
    <row r="554" spans="1:5" x14ac:dyDescent="0.2">
      <c r="A554" t="s">
        <v>2668</v>
      </c>
      <c r="B554" t="s">
        <v>1570</v>
      </c>
      <c r="C554" t="s">
        <v>1</v>
      </c>
      <c r="D554">
        <v>0.31182795763015747</v>
      </c>
      <c r="E554" t="s">
        <v>2989</v>
      </c>
    </row>
    <row r="555" spans="1:5" x14ac:dyDescent="0.2">
      <c r="A555" t="s">
        <v>2669</v>
      </c>
      <c r="B555" t="s">
        <v>2988</v>
      </c>
      <c r="C555" t="s">
        <v>2988</v>
      </c>
      <c r="D555">
        <v>0</v>
      </c>
      <c r="E555" t="s">
        <v>2987</v>
      </c>
    </row>
    <row r="556" spans="1:5" x14ac:dyDescent="0.2">
      <c r="A556" t="s">
        <v>2670</v>
      </c>
      <c r="B556" t="s">
        <v>900</v>
      </c>
      <c r="C556" t="s">
        <v>0</v>
      </c>
      <c r="D556">
        <v>0.640625</v>
      </c>
      <c r="E556" t="s">
        <v>2987</v>
      </c>
    </row>
    <row r="557" spans="1:5" x14ac:dyDescent="0.2">
      <c r="A557" t="s">
        <v>2671</v>
      </c>
      <c r="B557" t="s">
        <v>900</v>
      </c>
      <c r="C557" t="s">
        <v>0</v>
      </c>
      <c r="D557">
        <v>0.26428571343421936</v>
      </c>
      <c r="E557" t="s">
        <v>2989</v>
      </c>
    </row>
    <row r="558" spans="1:5" x14ac:dyDescent="0.2">
      <c r="A558" t="s">
        <v>2672</v>
      </c>
      <c r="B558" t="s">
        <v>900</v>
      </c>
      <c r="C558" t="s">
        <v>0</v>
      </c>
      <c r="D558">
        <v>0.2434210479259491</v>
      </c>
      <c r="E558" t="s">
        <v>2989</v>
      </c>
    </row>
    <row r="559" spans="1:5" x14ac:dyDescent="0.2">
      <c r="A559" t="s">
        <v>2673</v>
      </c>
      <c r="B559" t="s">
        <v>900</v>
      </c>
      <c r="C559" t="s">
        <v>0</v>
      </c>
      <c r="D559">
        <v>0.24832214415073395</v>
      </c>
      <c r="E559" t="s">
        <v>2989</v>
      </c>
    </row>
    <row r="560" spans="1:5" x14ac:dyDescent="0.2">
      <c r="A560" t="s">
        <v>2674</v>
      </c>
      <c r="B560" t="s">
        <v>2988</v>
      </c>
      <c r="C560" t="s">
        <v>2988</v>
      </c>
      <c r="D560">
        <v>0</v>
      </c>
      <c r="E560" t="s">
        <v>2987</v>
      </c>
    </row>
    <row r="561" spans="1:5" x14ac:dyDescent="0.2">
      <c r="A561" t="s">
        <v>2675</v>
      </c>
      <c r="B561" t="s">
        <v>2988</v>
      </c>
      <c r="C561" t="s">
        <v>2988</v>
      </c>
      <c r="D561">
        <v>0</v>
      </c>
      <c r="E561" t="s">
        <v>2987</v>
      </c>
    </row>
    <row r="562" spans="1:5" x14ac:dyDescent="0.2">
      <c r="A562" t="s">
        <v>2676</v>
      </c>
      <c r="B562" t="s">
        <v>506</v>
      </c>
      <c r="C562" t="s">
        <v>0</v>
      </c>
      <c r="D562">
        <v>1</v>
      </c>
      <c r="E562" t="s">
        <v>2987</v>
      </c>
    </row>
    <row r="563" spans="1:5" x14ac:dyDescent="0.2">
      <c r="A563" t="s">
        <v>2677</v>
      </c>
      <c r="B563" t="s">
        <v>508</v>
      </c>
      <c r="C563" t="s">
        <v>0</v>
      </c>
      <c r="D563">
        <v>1</v>
      </c>
      <c r="E563" t="s">
        <v>2987</v>
      </c>
    </row>
    <row r="564" spans="1:5" x14ac:dyDescent="0.2">
      <c r="A564" t="s">
        <v>2678</v>
      </c>
      <c r="B564" t="s">
        <v>1529</v>
      </c>
      <c r="C564" t="s">
        <v>0</v>
      </c>
      <c r="D564">
        <v>0.33962264657020569</v>
      </c>
      <c r="E564" t="s">
        <v>2989</v>
      </c>
    </row>
    <row r="565" spans="1:5" x14ac:dyDescent="0.2">
      <c r="A565" t="s">
        <v>2679</v>
      </c>
      <c r="B565" t="s">
        <v>1531</v>
      </c>
      <c r="C565" t="s">
        <v>0</v>
      </c>
      <c r="D565">
        <v>0.45283019542694092</v>
      </c>
      <c r="E565" t="s">
        <v>2987</v>
      </c>
    </row>
    <row r="566" spans="1:5" x14ac:dyDescent="0.2">
      <c r="A566" t="s">
        <v>2680</v>
      </c>
      <c r="B566" t="s">
        <v>98</v>
      </c>
      <c r="C566" t="s">
        <v>0</v>
      </c>
      <c r="D566">
        <v>1</v>
      </c>
      <c r="E566" t="s">
        <v>2987</v>
      </c>
    </row>
    <row r="567" spans="1:5" x14ac:dyDescent="0.2">
      <c r="A567" t="s">
        <v>2681</v>
      </c>
      <c r="B567" t="s">
        <v>374</v>
      </c>
      <c r="C567" t="s">
        <v>0</v>
      </c>
      <c r="D567">
        <v>0.36000001430511475</v>
      </c>
      <c r="E567" t="s">
        <v>2989</v>
      </c>
    </row>
    <row r="568" spans="1:5" x14ac:dyDescent="0.2">
      <c r="A568" t="s">
        <v>2682</v>
      </c>
      <c r="B568" t="s">
        <v>1032</v>
      </c>
      <c r="C568" t="s">
        <v>0</v>
      </c>
      <c r="D568">
        <v>0.1666666716337204</v>
      </c>
      <c r="E568" t="s">
        <v>2989</v>
      </c>
    </row>
    <row r="569" spans="1:5" x14ac:dyDescent="0.2">
      <c r="A569" t="s">
        <v>2683</v>
      </c>
      <c r="B569" t="s">
        <v>309</v>
      </c>
      <c r="C569" t="s">
        <v>1</v>
      </c>
      <c r="D569">
        <v>0.25112107396125793</v>
      </c>
      <c r="E569" t="s">
        <v>2989</v>
      </c>
    </row>
    <row r="570" spans="1:5" x14ac:dyDescent="0.2">
      <c r="A570" t="s">
        <v>2684</v>
      </c>
      <c r="B570" t="s">
        <v>1572</v>
      </c>
      <c r="C570" t="s">
        <v>1</v>
      </c>
      <c r="D570">
        <v>0.44999998807907104</v>
      </c>
      <c r="E570" t="s">
        <v>2987</v>
      </c>
    </row>
    <row r="571" spans="1:5" x14ac:dyDescent="0.2">
      <c r="A571" t="s">
        <v>2685</v>
      </c>
      <c r="B571" t="s">
        <v>1137</v>
      </c>
      <c r="C571" t="s">
        <v>0</v>
      </c>
      <c r="D571">
        <v>1</v>
      </c>
      <c r="E571" t="s">
        <v>2987</v>
      </c>
    </row>
    <row r="572" spans="1:5" x14ac:dyDescent="0.2">
      <c r="A572" t="s">
        <v>2686</v>
      </c>
      <c r="B572" t="s">
        <v>100</v>
      </c>
      <c r="C572" t="s">
        <v>0</v>
      </c>
      <c r="D572">
        <v>1</v>
      </c>
      <c r="E572" t="s">
        <v>2987</v>
      </c>
    </row>
    <row r="573" spans="1:5" x14ac:dyDescent="0.2">
      <c r="A573" t="s">
        <v>2687</v>
      </c>
      <c r="B573" t="s">
        <v>2988</v>
      </c>
      <c r="C573" t="s">
        <v>2988</v>
      </c>
      <c r="D573">
        <v>0</v>
      </c>
      <c r="E573" t="s">
        <v>2987</v>
      </c>
    </row>
    <row r="574" spans="1:5" x14ac:dyDescent="0.2">
      <c r="A574" t="s">
        <v>2688</v>
      </c>
      <c r="B574" t="s">
        <v>538</v>
      </c>
      <c r="C574" t="s">
        <v>0</v>
      </c>
      <c r="D574">
        <v>0.30434781312942505</v>
      </c>
      <c r="E574" t="s">
        <v>2989</v>
      </c>
    </row>
    <row r="575" spans="1:5" x14ac:dyDescent="0.2">
      <c r="A575" t="s">
        <v>2689</v>
      </c>
      <c r="B575" t="s">
        <v>1169</v>
      </c>
      <c r="C575" t="s">
        <v>0</v>
      </c>
      <c r="D575">
        <v>0.45454546809196472</v>
      </c>
      <c r="E575" t="s">
        <v>2987</v>
      </c>
    </row>
    <row r="576" spans="1:5" x14ac:dyDescent="0.2">
      <c r="A576" t="s">
        <v>2690</v>
      </c>
      <c r="B576" t="s">
        <v>1483</v>
      </c>
      <c r="C576" t="s">
        <v>1</v>
      </c>
      <c r="D576">
        <v>1</v>
      </c>
      <c r="E576" t="s">
        <v>2987</v>
      </c>
    </row>
    <row r="577" spans="1:5" x14ac:dyDescent="0.2">
      <c r="A577" t="s">
        <v>2691</v>
      </c>
      <c r="B577" t="s">
        <v>2988</v>
      </c>
      <c r="C577" t="s">
        <v>2988</v>
      </c>
      <c r="D577">
        <v>0</v>
      </c>
      <c r="E577" t="s">
        <v>2987</v>
      </c>
    </row>
    <row r="578" spans="1:5" x14ac:dyDescent="0.2">
      <c r="A578" t="s">
        <v>2692</v>
      </c>
      <c r="B578" t="s">
        <v>1483</v>
      </c>
      <c r="C578" t="s">
        <v>1</v>
      </c>
      <c r="D578">
        <v>0.2222222238779068</v>
      </c>
      <c r="E578" t="s">
        <v>2989</v>
      </c>
    </row>
    <row r="579" spans="1:5" x14ac:dyDescent="0.2">
      <c r="A579" t="s">
        <v>2693</v>
      </c>
      <c r="B579" t="s">
        <v>2988</v>
      </c>
      <c r="C579" t="s">
        <v>2988</v>
      </c>
      <c r="D579">
        <v>0</v>
      </c>
      <c r="E579" t="s">
        <v>2987</v>
      </c>
    </row>
    <row r="580" spans="1:5" x14ac:dyDescent="0.2">
      <c r="A580" t="s">
        <v>2694</v>
      </c>
      <c r="B580" t="s">
        <v>2988</v>
      </c>
      <c r="C580" t="s">
        <v>2988</v>
      </c>
      <c r="D580">
        <v>0</v>
      </c>
      <c r="E580" t="s">
        <v>2987</v>
      </c>
    </row>
    <row r="581" spans="1:5" x14ac:dyDescent="0.2">
      <c r="A581" t="s">
        <v>2695</v>
      </c>
      <c r="B581" t="s">
        <v>1917</v>
      </c>
      <c r="C581" t="s">
        <v>1</v>
      </c>
      <c r="D581">
        <v>0.36000001430511475</v>
      </c>
      <c r="E581" t="s">
        <v>2989</v>
      </c>
    </row>
    <row r="582" spans="1:5" x14ac:dyDescent="0.2">
      <c r="A582" t="s">
        <v>2696</v>
      </c>
      <c r="B582" t="s">
        <v>2988</v>
      </c>
      <c r="C582" t="s">
        <v>2988</v>
      </c>
      <c r="D582">
        <v>0</v>
      </c>
      <c r="E582" t="s">
        <v>2987</v>
      </c>
    </row>
    <row r="583" spans="1:5" x14ac:dyDescent="0.2">
      <c r="A583" t="s">
        <v>2697</v>
      </c>
      <c r="B583" t="s">
        <v>1865</v>
      </c>
      <c r="C583" t="s">
        <v>1</v>
      </c>
      <c r="D583">
        <v>0.23529411852359772</v>
      </c>
      <c r="E583" t="s">
        <v>2989</v>
      </c>
    </row>
    <row r="584" spans="1:5" x14ac:dyDescent="0.2">
      <c r="A584" t="s">
        <v>2698</v>
      </c>
      <c r="B584" t="s">
        <v>809</v>
      </c>
      <c r="C584" t="s">
        <v>1</v>
      </c>
      <c r="D584">
        <v>0.29032257199287415</v>
      </c>
      <c r="E584" t="s">
        <v>2989</v>
      </c>
    </row>
    <row r="585" spans="1:5" x14ac:dyDescent="0.2">
      <c r="A585" t="s">
        <v>2699</v>
      </c>
      <c r="B585" t="s">
        <v>1306</v>
      </c>
      <c r="C585" t="s">
        <v>1</v>
      </c>
      <c r="D585">
        <v>0.2641509473323822</v>
      </c>
      <c r="E585" t="s">
        <v>2989</v>
      </c>
    </row>
    <row r="586" spans="1:5" x14ac:dyDescent="0.2">
      <c r="A586" t="s">
        <v>2700</v>
      </c>
      <c r="B586" t="s">
        <v>1941</v>
      </c>
      <c r="C586" t="s">
        <v>1</v>
      </c>
      <c r="D586">
        <v>0.32876712083816528</v>
      </c>
      <c r="E586" t="s">
        <v>2989</v>
      </c>
    </row>
    <row r="587" spans="1:5" x14ac:dyDescent="0.2">
      <c r="A587" t="s">
        <v>2701</v>
      </c>
      <c r="B587" t="s">
        <v>992</v>
      </c>
      <c r="C587" t="s">
        <v>1</v>
      </c>
      <c r="D587">
        <v>0.29032257199287415</v>
      </c>
      <c r="E587" t="s">
        <v>2989</v>
      </c>
    </row>
    <row r="588" spans="1:5" x14ac:dyDescent="0.2">
      <c r="A588" t="s">
        <v>2702</v>
      </c>
      <c r="B588" t="s">
        <v>686</v>
      </c>
      <c r="C588" t="s">
        <v>1</v>
      </c>
      <c r="D588">
        <v>0.32653060555458069</v>
      </c>
      <c r="E588" t="s">
        <v>2989</v>
      </c>
    </row>
    <row r="589" spans="1:5" x14ac:dyDescent="0.2">
      <c r="A589" t="s">
        <v>2703</v>
      </c>
      <c r="B589" t="s">
        <v>2988</v>
      </c>
      <c r="C589" t="s">
        <v>2988</v>
      </c>
      <c r="D589">
        <v>0</v>
      </c>
      <c r="E589" t="s">
        <v>2987</v>
      </c>
    </row>
    <row r="590" spans="1:5" x14ac:dyDescent="0.2">
      <c r="A590" t="s">
        <v>2704</v>
      </c>
      <c r="B590" t="s">
        <v>1705</v>
      </c>
      <c r="C590" t="s">
        <v>1</v>
      </c>
      <c r="D590">
        <v>0.375</v>
      </c>
      <c r="E590" t="s">
        <v>2989</v>
      </c>
    </row>
    <row r="591" spans="1:5" x14ac:dyDescent="0.2">
      <c r="A591" t="s">
        <v>2705</v>
      </c>
      <c r="B591" t="s">
        <v>2988</v>
      </c>
      <c r="C591" t="s">
        <v>2988</v>
      </c>
      <c r="D591">
        <v>0</v>
      </c>
      <c r="E591" t="s">
        <v>2987</v>
      </c>
    </row>
    <row r="592" spans="1:5" x14ac:dyDescent="0.2">
      <c r="A592" t="s">
        <v>2706</v>
      </c>
      <c r="B592" t="s">
        <v>798</v>
      </c>
      <c r="C592" t="s">
        <v>0</v>
      </c>
      <c r="D592">
        <v>0.28070175647735596</v>
      </c>
      <c r="E592" t="s">
        <v>2989</v>
      </c>
    </row>
    <row r="593" spans="1:5" x14ac:dyDescent="0.2">
      <c r="A593" t="s">
        <v>2707</v>
      </c>
      <c r="B593" t="s">
        <v>156</v>
      </c>
      <c r="C593" t="s">
        <v>0</v>
      </c>
      <c r="D593">
        <v>0.36283186078071594</v>
      </c>
      <c r="E593" t="s">
        <v>2989</v>
      </c>
    </row>
    <row r="594" spans="1:5" x14ac:dyDescent="0.2">
      <c r="A594" t="s">
        <v>2708</v>
      </c>
      <c r="B594" t="s">
        <v>994</v>
      </c>
      <c r="C594" t="s">
        <v>1</v>
      </c>
      <c r="D594">
        <v>0.39080458879470825</v>
      </c>
      <c r="E594" t="s">
        <v>2989</v>
      </c>
    </row>
    <row r="595" spans="1:5" x14ac:dyDescent="0.2">
      <c r="A595" t="s">
        <v>2709</v>
      </c>
      <c r="B595" t="s">
        <v>994</v>
      </c>
      <c r="C595" t="s">
        <v>1</v>
      </c>
      <c r="D595">
        <v>0.39080458879470825</v>
      </c>
      <c r="E595" t="s">
        <v>2989</v>
      </c>
    </row>
    <row r="596" spans="1:5" x14ac:dyDescent="0.2">
      <c r="A596" t="s">
        <v>2710</v>
      </c>
      <c r="B596" t="s">
        <v>944</v>
      </c>
      <c r="C596" t="s">
        <v>1</v>
      </c>
      <c r="D596">
        <v>0.76666665077209473</v>
      </c>
      <c r="E596" t="s">
        <v>2987</v>
      </c>
    </row>
    <row r="597" spans="1:5" x14ac:dyDescent="0.2">
      <c r="A597" t="s">
        <v>2711</v>
      </c>
      <c r="B597" t="s">
        <v>944</v>
      </c>
      <c r="C597" t="s">
        <v>1</v>
      </c>
      <c r="D597">
        <v>0.37096774578094482</v>
      </c>
      <c r="E597" t="s">
        <v>2989</v>
      </c>
    </row>
    <row r="598" spans="1:5" x14ac:dyDescent="0.2">
      <c r="A598" t="s">
        <v>2712</v>
      </c>
      <c r="B598" t="s">
        <v>944</v>
      </c>
      <c r="C598" t="s">
        <v>1</v>
      </c>
      <c r="D598">
        <v>0.57499998807907104</v>
      </c>
      <c r="E598" t="s">
        <v>2987</v>
      </c>
    </row>
    <row r="599" spans="1:5" x14ac:dyDescent="0.2">
      <c r="A599" t="s">
        <v>2713</v>
      </c>
      <c r="B599" t="s">
        <v>2988</v>
      </c>
      <c r="C599" t="s">
        <v>2988</v>
      </c>
      <c r="D599">
        <v>0</v>
      </c>
      <c r="E599" t="s">
        <v>2987</v>
      </c>
    </row>
    <row r="600" spans="1:5" x14ac:dyDescent="0.2">
      <c r="A600" t="s">
        <v>2714</v>
      </c>
      <c r="B600" t="s">
        <v>2988</v>
      </c>
      <c r="C600" t="s">
        <v>2988</v>
      </c>
      <c r="D600">
        <v>0</v>
      </c>
      <c r="E600" t="s">
        <v>2987</v>
      </c>
    </row>
    <row r="601" spans="1:5" x14ac:dyDescent="0.2">
      <c r="A601" t="s">
        <v>2715</v>
      </c>
      <c r="B601" t="s">
        <v>40</v>
      </c>
      <c r="C601" t="s">
        <v>0</v>
      </c>
      <c r="D601">
        <v>0.5</v>
      </c>
      <c r="E601" t="s">
        <v>2987</v>
      </c>
    </row>
    <row r="602" spans="1:5" x14ac:dyDescent="0.2">
      <c r="A602" t="s">
        <v>2716</v>
      </c>
      <c r="B602" t="s">
        <v>40</v>
      </c>
      <c r="C602" t="s">
        <v>0</v>
      </c>
      <c r="D602">
        <v>0.57499998807907104</v>
      </c>
      <c r="E602" t="s">
        <v>2987</v>
      </c>
    </row>
    <row r="603" spans="1:5" x14ac:dyDescent="0.2">
      <c r="A603" t="s">
        <v>2717</v>
      </c>
      <c r="B603" t="s">
        <v>109</v>
      </c>
      <c r="C603" t="s">
        <v>1</v>
      </c>
      <c r="D603">
        <v>0.36923077702522278</v>
      </c>
      <c r="E603" t="s">
        <v>2989</v>
      </c>
    </row>
    <row r="604" spans="1:5" x14ac:dyDescent="0.2">
      <c r="A604" t="s">
        <v>2718</v>
      </c>
      <c r="B604" t="s">
        <v>2988</v>
      </c>
      <c r="C604" t="s">
        <v>2988</v>
      </c>
      <c r="D604">
        <v>0</v>
      </c>
      <c r="E604" t="s">
        <v>2987</v>
      </c>
    </row>
    <row r="605" spans="1:5" x14ac:dyDescent="0.2">
      <c r="A605" t="s">
        <v>2719</v>
      </c>
      <c r="B605" t="s">
        <v>1328</v>
      </c>
      <c r="C605" t="s">
        <v>1</v>
      </c>
      <c r="D605">
        <v>0.20863309502601624</v>
      </c>
      <c r="E605" t="s">
        <v>2989</v>
      </c>
    </row>
    <row r="606" spans="1:5" x14ac:dyDescent="0.2">
      <c r="A606" t="s">
        <v>2720</v>
      </c>
      <c r="B606" t="s">
        <v>402</v>
      </c>
      <c r="C606" t="s">
        <v>0</v>
      </c>
      <c r="D606">
        <v>0.64634144306182861</v>
      </c>
      <c r="E606" t="s">
        <v>2987</v>
      </c>
    </row>
    <row r="607" spans="1:5" x14ac:dyDescent="0.2">
      <c r="A607" t="s">
        <v>2721</v>
      </c>
      <c r="B607" t="s">
        <v>402</v>
      </c>
      <c r="C607" t="s">
        <v>0</v>
      </c>
      <c r="D607">
        <v>0.50476193428039551</v>
      </c>
      <c r="E607" t="s">
        <v>2987</v>
      </c>
    </row>
    <row r="608" spans="1:5" x14ac:dyDescent="0.2">
      <c r="A608" t="s">
        <v>2722</v>
      </c>
      <c r="B608" t="s">
        <v>815</v>
      </c>
      <c r="C608" t="s">
        <v>1</v>
      </c>
      <c r="D608">
        <v>0.36000001430511475</v>
      </c>
      <c r="E608" t="s">
        <v>2989</v>
      </c>
    </row>
    <row r="609" spans="1:5" x14ac:dyDescent="0.2">
      <c r="A609" t="s">
        <v>2723</v>
      </c>
      <c r="B609" t="s">
        <v>1617</v>
      </c>
      <c r="C609" t="s">
        <v>1</v>
      </c>
      <c r="D609">
        <v>0.24242424964904785</v>
      </c>
      <c r="E609" t="s">
        <v>2989</v>
      </c>
    </row>
    <row r="610" spans="1:5" x14ac:dyDescent="0.2">
      <c r="A610" t="s">
        <v>2724</v>
      </c>
      <c r="B610" t="s">
        <v>2988</v>
      </c>
      <c r="C610" t="s">
        <v>2988</v>
      </c>
      <c r="D610">
        <v>0</v>
      </c>
      <c r="E610" t="s">
        <v>2987</v>
      </c>
    </row>
    <row r="611" spans="1:5" x14ac:dyDescent="0.2">
      <c r="A611" t="s">
        <v>2725</v>
      </c>
      <c r="B611" t="s">
        <v>1651</v>
      </c>
      <c r="C611" t="s">
        <v>1</v>
      </c>
      <c r="D611">
        <v>0.375</v>
      </c>
      <c r="E611" t="s">
        <v>2989</v>
      </c>
    </row>
    <row r="612" spans="1:5" x14ac:dyDescent="0.2">
      <c r="A612" t="s">
        <v>2726</v>
      </c>
      <c r="B612" t="s">
        <v>817</v>
      </c>
      <c r="C612" t="s">
        <v>1</v>
      </c>
      <c r="D612">
        <v>0.29629629850387573</v>
      </c>
      <c r="E612" t="s">
        <v>2989</v>
      </c>
    </row>
    <row r="613" spans="1:5" x14ac:dyDescent="0.2">
      <c r="A613" t="s">
        <v>2727</v>
      </c>
      <c r="B613" t="s">
        <v>946</v>
      </c>
      <c r="C613" t="s">
        <v>1</v>
      </c>
      <c r="D613">
        <v>0.31034481525421143</v>
      </c>
      <c r="E613" t="s">
        <v>2989</v>
      </c>
    </row>
    <row r="614" spans="1:5" x14ac:dyDescent="0.2">
      <c r="A614" t="s">
        <v>2728</v>
      </c>
      <c r="B614" t="s">
        <v>2988</v>
      </c>
      <c r="C614" t="s">
        <v>2988</v>
      </c>
      <c r="D614">
        <v>0</v>
      </c>
      <c r="E614" t="s">
        <v>2987</v>
      </c>
    </row>
    <row r="615" spans="1:5" x14ac:dyDescent="0.2">
      <c r="A615" t="s">
        <v>2729</v>
      </c>
      <c r="B615" t="s">
        <v>2988</v>
      </c>
      <c r="C615" t="s">
        <v>2988</v>
      </c>
      <c r="D615">
        <v>0</v>
      </c>
      <c r="E615" t="s">
        <v>2987</v>
      </c>
    </row>
    <row r="616" spans="1:5" x14ac:dyDescent="0.2">
      <c r="A616" t="s">
        <v>2730</v>
      </c>
      <c r="B616" t="s">
        <v>2988</v>
      </c>
      <c r="C616" t="s">
        <v>2988</v>
      </c>
      <c r="D616">
        <v>0</v>
      </c>
      <c r="E616" t="s">
        <v>2987</v>
      </c>
    </row>
    <row r="617" spans="1:5" x14ac:dyDescent="0.2">
      <c r="A617" t="s">
        <v>2731</v>
      </c>
      <c r="B617" t="s">
        <v>156</v>
      </c>
      <c r="C617" t="s">
        <v>0</v>
      </c>
      <c r="D617">
        <v>0.23170731961727142</v>
      </c>
      <c r="E617" t="s">
        <v>2989</v>
      </c>
    </row>
    <row r="618" spans="1:5" x14ac:dyDescent="0.2">
      <c r="A618" t="s">
        <v>2732</v>
      </c>
      <c r="B618" t="s">
        <v>449</v>
      </c>
      <c r="C618" t="s">
        <v>1</v>
      </c>
      <c r="D618">
        <v>0.29230770468711853</v>
      </c>
      <c r="E618" t="s">
        <v>2989</v>
      </c>
    </row>
    <row r="619" spans="1:5" x14ac:dyDescent="0.2">
      <c r="A619" t="s">
        <v>2733</v>
      </c>
      <c r="B619" t="s">
        <v>2988</v>
      </c>
      <c r="C619" t="s">
        <v>2988</v>
      </c>
      <c r="D619">
        <v>0</v>
      </c>
      <c r="E619" t="s">
        <v>2987</v>
      </c>
    </row>
    <row r="620" spans="1:5" x14ac:dyDescent="0.2">
      <c r="A620" t="s">
        <v>2734</v>
      </c>
      <c r="B620" t="s">
        <v>2988</v>
      </c>
      <c r="C620" t="s">
        <v>2988</v>
      </c>
      <c r="D620">
        <v>0</v>
      </c>
      <c r="E620" t="s">
        <v>2987</v>
      </c>
    </row>
    <row r="621" spans="1:5" x14ac:dyDescent="0.2">
      <c r="A621" t="s">
        <v>2735</v>
      </c>
      <c r="B621" t="s">
        <v>996</v>
      </c>
      <c r="C621" t="s">
        <v>1</v>
      </c>
      <c r="D621">
        <v>0.36000001430511475</v>
      </c>
      <c r="E621" t="s">
        <v>2989</v>
      </c>
    </row>
    <row r="622" spans="1:5" x14ac:dyDescent="0.2">
      <c r="A622" t="s">
        <v>2736</v>
      </c>
      <c r="B622" t="s">
        <v>2988</v>
      </c>
      <c r="C622" t="s">
        <v>2988</v>
      </c>
      <c r="D622">
        <v>0</v>
      </c>
      <c r="E622" t="s">
        <v>2987</v>
      </c>
    </row>
    <row r="623" spans="1:5" x14ac:dyDescent="0.2">
      <c r="A623" t="s">
        <v>2737</v>
      </c>
      <c r="B623" t="s">
        <v>2988</v>
      </c>
      <c r="C623" t="s">
        <v>2988</v>
      </c>
      <c r="D623">
        <v>0</v>
      </c>
      <c r="E623" t="s">
        <v>2987</v>
      </c>
    </row>
    <row r="624" spans="1:5" x14ac:dyDescent="0.2">
      <c r="A624" t="s">
        <v>2738</v>
      </c>
      <c r="B624" t="s">
        <v>1009</v>
      </c>
      <c r="C624" t="s">
        <v>1</v>
      </c>
      <c r="D624">
        <v>0.36000001430511475</v>
      </c>
      <c r="E624" t="s">
        <v>2989</v>
      </c>
    </row>
    <row r="625" spans="1:5" x14ac:dyDescent="0.2">
      <c r="A625" t="s">
        <v>2739</v>
      </c>
      <c r="B625" t="s">
        <v>1684</v>
      </c>
      <c r="C625" t="s">
        <v>1</v>
      </c>
      <c r="D625">
        <v>0.28099173307418823</v>
      </c>
      <c r="E625" t="s">
        <v>2989</v>
      </c>
    </row>
    <row r="626" spans="1:5" x14ac:dyDescent="0.2">
      <c r="A626" t="s">
        <v>2740</v>
      </c>
      <c r="B626" t="s">
        <v>2988</v>
      </c>
      <c r="C626" t="s">
        <v>2988</v>
      </c>
      <c r="D626">
        <v>0</v>
      </c>
      <c r="E626" t="s">
        <v>2987</v>
      </c>
    </row>
    <row r="627" spans="1:5" x14ac:dyDescent="0.2">
      <c r="A627" t="s">
        <v>2741</v>
      </c>
      <c r="B627" t="s">
        <v>2988</v>
      </c>
      <c r="C627" t="s">
        <v>2988</v>
      </c>
      <c r="D627">
        <v>0</v>
      </c>
      <c r="E627" t="s">
        <v>2987</v>
      </c>
    </row>
    <row r="628" spans="1:5" x14ac:dyDescent="0.2">
      <c r="A628" t="s">
        <v>2742</v>
      </c>
      <c r="B628" t="s">
        <v>1674</v>
      </c>
      <c r="C628" t="s">
        <v>1</v>
      </c>
      <c r="D628">
        <v>0.15384615957736969</v>
      </c>
      <c r="E628" t="s">
        <v>2989</v>
      </c>
    </row>
    <row r="629" spans="1:5" x14ac:dyDescent="0.2">
      <c r="A629" t="s">
        <v>2743</v>
      </c>
      <c r="B629" t="s">
        <v>998</v>
      </c>
      <c r="C629" t="s">
        <v>1</v>
      </c>
      <c r="D629">
        <v>0.39344263076782227</v>
      </c>
      <c r="E629" t="s">
        <v>2989</v>
      </c>
    </row>
    <row r="630" spans="1:5" x14ac:dyDescent="0.2">
      <c r="A630" t="s">
        <v>2744</v>
      </c>
      <c r="B630" t="s">
        <v>1000</v>
      </c>
      <c r="C630" t="s">
        <v>1</v>
      </c>
      <c r="D630">
        <v>0.46153846383094788</v>
      </c>
      <c r="E630" t="s">
        <v>2987</v>
      </c>
    </row>
    <row r="631" spans="1:5" x14ac:dyDescent="0.2">
      <c r="A631" t="s">
        <v>2745</v>
      </c>
      <c r="B631" t="s">
        <v>1333</v>
      </c>
      <c r="C631" t="s">
        <v>0</v>
      </c>
      <c r="D631">
        <v>0.95588237047195435</v>
      </c>
      <c r="E631" t="s">
        <v>2987</v>
      </c>
    </row>
    <row r="632" spans="1:5" x14ac:dyDescent="0.2">
      <c r="A632" t="s">
        <v>2746</v>
      </c>
      <c r="B632" t="s">
        <v>1333</v>
      </c>
      <c r="C632" t="s">
        <v>0</v>
      </c>
      <c r="D632">
        <v>0.31707316637039185</v>
      </c>
      <c r="E632" t="s">
        <v>2989</v>
      </c>
    </row>
    <row r="633" spans="1:5" x14ac:dyDescent="0.2">
      <c r="A633" t="s">
        <v>2747</v>
      </c>
      <c r="B633" t="s">
        <v>1492</v>
      </c>
      <c r="C633" t="s">
        <v>1</v>
      </c>
      <c r="D633">
        <v>0.42424243688583374</v>
      </c>
      <c r="E633" t="s">
        <v>2987</v>
      </c>
    </row>
    <row r="634" spans="1:5" x14ac:dyDescent="0.2">
      <c r="A634" t="s">
        <v>2748</v>
      </c>
      <c r="B634" t="s">
        <v>1940</v>
      </c>
      <c r="C634" t="s">
        <v>1</v>
      </c>
      <c r="D634">
        <v>0.41333332657814026</v>
      </c>
      <c r="E634" t="s">
        <v>2987</v>
      </c>
    </row>
    <row r="635" spans="1:5" x14ac:dyDescent="0.2">
      <c r="A635" t="s">
        <v>2749</v>
      </c>
      <c r="B635" t="s">
        <v>1940</v>
      </c>
      <c r="C635" t="s">
        <v>1</v>
      </c>
      <c r="D635">
        <v>0.26153847575187683</v>
      </c>
      <c r="E635" t="s">
        <v>2989</v>
      </c>
    </row>
    <row r="636" spans="1:5" x14ac:dyDescent="0.2">
      <c r="A636" t="s">
        <v>2750</v>
      </c>
      <c r="B636" t="s">
        <v>1425</v>
      </c>
      <c r="C636" t="s">
        <v>1</v>
      </c>
      <c r="D636">
        <v>0.23931623995304108</v>
      </c>
      <c r="E636" t="s">
        <v>2989</v>
      </c>
    </row>
    <row r="637" spans="1:5" x14ac:dyDescent="0.2">
      <c r="A637" t="s">
        <v>2751</v>
      </c>
      <c r="B637" t="s">
        <v>802</v>
      </c>
      <c r="C637" t="s">
        <v>0</v>
      </c>
      <c r="D637">
        <v>0.36000001430511475</v>
      </c>
      <c r="E637" t="s">
        <v>2989</v>
      </c>
    </row>
    <row r="638" spans="1:5" x14ac:dyDescent="0.2">
      <c r="A638" t="s">
        <v>2752</v>
      </c>
      <c r="B638" t="s">
        <v>2988</v>
      </c>
      <c r="C638" t="s">
        <v>2988</v>
      </c>
      <c r="D638">
        <v>0</v>
      </c>
      <c r="E638" t="s">
        <v>2987</v>
      </c>
    </row>
    <row r="639" spans="1:5" x14ac:dyDescent="0.2">
      <c r="A639" t="s">
        <v>2753</v>
      </c>
      <c r="B639" t="s">
        <v>2988</v>
      </c>
      <c r="C639" t="s">
        <v>2988</v>
      </c>
      <c r="D639">
        <v>0</v>
      </c>
      <c r="E639" t="s">
        <v>2987</v>
      </c>
    </row>
    <row r="640" spans="1:5" x14ac:dyDescent="0.2">
      <c r="A640" t="s">
        <v>2754</v>
      </c>
      <c r="B640" t="s">
        <v>2988</v>
      </c>
      <c r="C640" t="s">
        <v>2988</v>
      </c>
      <c r="D640">
        <v>0</v>
      </c>
      <c r="E640" t="s">
        <v>2987</v>
      </c>
    </row>
    <row r="641" spans="1:5" x14ac:dyDescent="0.2">
      <c r="A641" t="s">
        <v>2755</v>
      </c>
      <c r="B641" t="s">
        <v>1429</v>
      </c>
      <c r="C641" t="s">
        <v>1</v>
      </c>
      <c r="D641">
        <v>0.23376622796058655</v>
      </c>
      <c r="E641" t="s">
        <v>2989</v>
      </c>
    </row>
    <row r="642" spans="1:5" x14ac:dyDescent="0.2">
      <c r="A642" t="s">
        <v>2756</v>
      </c>
      <c r="B642" t="s">
        <v>916</v>
      </c>
      <c r="C642" t="s">
        <v>0</v>
      </c>
      <c r="D642">
        <v>0.23529411852359772</v>
      </c>
      <c r="E642" t="s">
        <v>2989</v>
      </c>
    </row>
    <row r="643" spans="1:5" x14ac:dyDescent="0.2">
      <c r="A643" t="s">
        <v>2757</v>
      </c>
      <c r="B643" t="s">
        <v>2988</v>
      </c>
      <c r="C643" t="s">
        <v>2988</v>
      </c>
      <c r="D643">
        <v>0</v>
      </c>
      <c r="E643" t="s">
        <v>2987</v>
      </c>
    </row>
    <row r="644" spans="1:5" x14ac:dyDescent="0.2">
      <c r="A644" t="s">
        <v>2758</v>
      </c>
      <c r="B644" t="s">
        <v>2114</v>
      </c>
      <c r="C644" t="s">
        <v>1</v>
      </c>
      <c r="D644">
        <v>0.57419353723526001</v>
      </c>
      <c r="E644" t="s">
        <v>2987</v>
      </c>
    </row>
    <row r="645" spans="1:5" x14ac:dyDescent="0.2">
      <c r="A645" t="s">
        <v>2759</v>
      </c>
      <c r="B645" t="s">
        <v>2114</v>
      </c>
      <c r="C645" t="s">
        <v>1</v>
      </c>
      <c r="D645">
        <v>0.57419353723526001</v>
      </c>
      <c r="E645" t="s">
        <v>2987</v>
      </c>
    </row>
    <row r="646" spans="1:5" x14ac:dyDescent="0.2">
      <c r="A646" t="s">
        <v>2760</v>
      </c>
      <c r="B646" t="s">
        <v>1929</v>
      </c>
      <c r="C646" t="s">
        <v>1</v>
      </c>
      <c r="D646">
        <v>1</v>
      </c>
      <c r="E646" t="s">
        <v>2987</v>
      </c>
    </row>
    <row r="647" spans="1:5" x14ac:dyDescent="0.2">
      <c r="A647" t="s">
        <v>2761</v>
      </c>
      <c r="B647" t="s">
        <v>926</v>
      </c>
      <c r="C647" t="s">
        <v>0</v>
      </c>
      <c r="D647">
        <v>0.51666665077209473</v>
      </c>
      <c r="E647" t="s">
        <v>2987</v>
      </c>
    </row>
    <row r="648" spans="1:5" x14ac:dyDescent="0.2">
      <c r="A648" t="s">
        <v>2762</v>
      </c>
      <c r="B648" t="s">
        <v>1594</v>
      </c>
      <c r="C648" t="s">
        <v>1</v>
      </c>
      <c r="D648">
        <v>0.24324324727058411</v>
      </c>
      <c r="E648" t="s">
        <v>2989</v>
      </c>
    </row>
    <row r="649" spans="1:5" x14ac:dyDescent="0.2">
      <c r="A649" t="s">
        <v>2763</v>
      </c>
      <c r="B649" t="s">
        <v>2988</v>
      </c>
      <c r="C649" t="s">
        <v>2988</v>
      </c>
      <c r="D649">
        <v>0.1111111119389534</v>
      </c>
      <c r="E649" t="s">
        <v>2987</v>
      </c>
    </row>
    <row r="650" spans="1:5" x14ac:dyDescent="0.2">
      <c r="A650" t="s">
        <v>2764</v>
      </c>
      <c r="B650" t="s">
        <v>665</v>
      </c>
      <c r="C650" t="s">
        <v>0</v>
      </c>
      <c r="D650">
        <v>0.29629629850387573</v>
      </c>
      <c r="E650" t="s">
        <v>2989</v>
      </c>
    </row>
    <row r="651" spans="1:5" x14ac:dyDescent="0.2">
      <c r="A651" t="s">
        <v>2765</v>
      </c>
      <c r="B651" t="s">
        <v>2988</v>
      </c>
      <c r="C651" t="s">
        <v>2988</v>
      </c>
      <c r="D651">
        <v>0</v>
      </c>
      <c r="E651" t="s">
        <v>2987</v>
      </c>
    </row>
    <row r="652" spans="1:5" x14ac:dyDescent="0.2">
      <c r="A652" t="s">
        <v>2766</v>
      </c>
      <c r="B652" t="s">
        <v>379</v>
      </c>
      <c r="C652" t="s">
        <v>1</v>
      </c>
      <c r="D652">
        <v>0.31034481525421143</v>
      </c>
      <c r="E652" t="s">
        <v>2989</v>
      </c>
    </row>
    <row r="653" spans="1:5" x14ac:dyDescent="0.2">
      <c r="A653" t="s">
        <v>2767</v>
      </c>
      <c r="B653" t="s">
        <v>2019</v>
      </c>
      <c r="C653" t="s">
        <v>1</v>
      </c>
      <c r="D653">
        <v>0.17777778208255768</v>
      </c>
      <c r="E653" t="s">
        <v>2989</v>
      </c>
    </row>
    <row r="654" spans="1:5" x14ac:dyDescent="0.2">
      <c r="A654" t="s">
        <v>2768</v>
      </c>
      <c r="B654" t="s">
        <v>821</v>
      </c>
      <c r="C654" t="s">
        <v>1</v>
      </c>
      <c r="D654">
        <v>1</v>
      </c>
      <c r="E654" t="s">
        <v>2987</v>
      </c>
    </row>
    <row r="655" spans="1:5" x14ac:dyDescent="0.2">
      <c r="A655" t="s">
        <v>2769</v>
      </c>
      <c r="B655" t="s">
        <v>648</v>
      </c>
      <c r="C655" t="s">
        <v>0</v>
      </c>
      <c r="D655">
        <v>0.380952388048172</v>
      </c>
      <c r="E655" t="s">
        <v>2989</v>
      </c>
    </row>
    <row r="656" spans="1:5" x14ac:dyDescent="0.2">
      <c r="A656" t="s">
        <v>2770</v>
      </c>
      <c r="B656" t="s">
        <v>1431</v>
      </c>
      <c r="C656" t="s">
        <v>1</v>
      </c>
      <c r="D656">
        <v>0.26966291666030884</v>
      </c>
      <c r="E656" t="s">
        <v>2989</v>
      </c>
    </row>
    <row r="657" spans="1:5" x14ac:dyDescent="0.2">
      <c r="A657" t="s">
        <v>2771</v>
      </c>
      <c r="B657" t="s">
        <v>1610</v>
      </c>
      <c r="C657" t="s">
        <v>1</v>
      </c>
      <c r="D657">
        <v>0.26086956262588501</v>
      </c>
      <c r="E657" t="s">
        <v>2989</v>
      </c>
    </row>
    <row r="658" spans="1:5" x14ac:dyDescent="0.2">
      <c r="A658" t="s">
        <v>2772</v>
      </c>
      <c r="B658" t="s">
        <v>2988</v>
      </c>
      <c r="C658" t="s">
        <v>2988</v>
      </c>
      <c r="D658">
        <v>0</v>
      </c>
      <c r="E658" t="s">
        <v>2987</v>
      </c>
    </row>
    <row r="659" spans="1:5" x14ac:dyDescent="0.2">
      <c r="A659" t="s">
        <v>2773</v>
      </c>
      <c r="B659" t="s">
        <v>706</v>
      </c>
      <c r="C659" t="s">
        <v>0</v>
      </c>
      <c r="D659">
        <v>0.4285714328289032</v>
      </c>
      <c r="E659" t="s">
        <v>2987</v>
      </c>
    </row>
    <row r="660" spans="1:5" x14ac:dyDescent="0.2">
      <c r="A660" t="s">
        <v>2774</v>
      </c>
      <c r="B660" t="s">
        <v>1241</v>
      </c>
      <c r="C660" t="s">
        <v>1</v>
      </c>
      <c r="D660">
        <v>0.33789953589439392</v>
      </c>
      <c r="E660" t="s">
        <v>2989</v>
      </c>
    </row>
    <row r="661" spans="1:5" x14ac:dyDescent="0.2">
      <c r="A661" t="s">
        <v>2775</v>
      </c>
      <c r="B661" t="s">
        <v>2988</v>
      </c>
      <c r="C661" t="s">
        <v>2988</v>
      </c>
      <c r="D661">
        <v>0</v>
      </c>
      <c r="E661" t="s">
        <v>2987</v>
      </c>
    </row>
    <row r="662" spans="1:5" x14ac:dyDescent="0.2">
      <c r="A662" t="s">
        <v>2776</v>
      </c>
      <c r="B662" t="s">
        <v>1306</v>
      </c>
      <c r="C662" t="s">
        <v>1</v>
      </c>
      <c r="D662">
        <v>0.34146341681480408</v>
      </c>
      <c r="E662" t="s">
        <v>2989</v>
      </c>
    </row>
    <row r="663" spans="1:5" x14ac:dyDescent="0.2">
      <c r="A663" t="s">
        <v>2777</v>
      </c>
      <c r="B663" t="s">
        <v>2110</v>
      </c>
      <c r="C663" t="s">
        <v>1</v>
      </c>
      <c r="D663">
        <v>0.2291666716337204</v>
      </c>
      <c r="E663" t="s">
        <v>2989</v>
      </c>
    </row>
    <row r="664" spans="1:5" x14ac:dyDescent="0.2">
      <c r="A664" t="s">
        <v>2778</v>
      </c>
      <c r="B664" t="s">
        <v>1679</v>
      </c>
      <c r="C664" t="s">
        <v>1</v>
      </c>
      <c r="D664">
        <v>0.3684210479259491</v>
      </c>
      <c r="E664" t="s">
        <v>2989</v>
      </c>
    </row>
    <row r="665" spans="1:5" x14ac:dyDescent="0.2">
      <c r="A665" t="s">
        <v>2779</v>
      </c>
      <c r="B665" t="s">
        <v>1685</v>
      </c>
      <c r="C665" t="s">
        <v>1</v>
      </c>
      <c r="D665">
        <v>0.23529411852359772</v>
      </c>
      <c r="E665" t="s">
        <v>2989</v>
      </c>
    </row>
    <row r="666" spans="1:5" x14ac:dyDescent="0.2">
      <c r="A666" t="s">
        <v>2780</v>
      </c>
      <c r="B666" t="s">
        <v>1435</v>
      </c>
      <c r="C666" t="s">
        <v>1</v>
      </c>
      <c r="D666">
        <v>0.31034481525421143</v>
      </c>
      <c r="E666" t="s">
        <v>2989</v>
      </c>
    </row>
    <row r="667" spans="1:5" x14ac:dyDescent="0.2">
      <c r="A667" t="s">
        <v>2781</v>
      </c>
      <c r="B667" t="s">
        <v>1330</v>
      </c>
      <c r="C667" t="s">
        <v>1</v>
      </c>
      <c r="D667">
        <v>0.24161073565483093</v>
      </c>
      <c r="E667" t="s">
        <v>2989</v>
      </c>
    </row>
    <row r="668" spans="1:5" x14ac:dyDescent="0.2">
      <c r="A668" t="s">
        <v>2782</v>
      </c>
      <c r="B668" t="s">
        <v>694</v>
      </c>
      <c r="C668" t="s">
        <v>0</v>
      </c>
      <c r="D668">
        <v>0.44736841320991516</v>
      </c>
      <c r="E668" t="s">
        <v>2987</v>
      </c>
    </row>
    <row r="669" spans="1:5" x14ac:dyDescent="0.2">
      <c r="A669" t="s">
        <v>2783</v>
      </c>
      <c r="B669" t="s">
        <v>406</v>
      </c>
      <c r="C669" t="s">
        <v>0</v>
      </c>
      <c r="D669">
        <v>0.375</v>
      </c>
      <c r="E669" t="s">
        <v>2989</v>
      </c>
    </row>
    <row r="670" spans="1:5" x14ac:dyDescent="0.2">
      <c r="A670" t="s">
        <v>2784</v>
      </c>
      <c r="B670" t="s">
        <v>594</v>
      </c>
      <c r="C670" t="s">
        <v>0</v>
      </c>
      <c r="D670">
        <v>0.13333334028720856</v>
      </c>
      <c r="E670" t="s">
        <v>2989</v>
      </c>
    </row>
    <row r="671" spans="1:5" x14ac:dyDescent="0.2">
      <c r="A671" t="s">
        <v>2785</v>
      </c>
      <c r="B671" t="s">
        <v>1367</v>
      </c>
      <c r="C671" t="s">
        <v>0</v>
      </c>
      <c r="D671">
        <v>0.62962961196899414</v>
      </c>
      <c r="E671" t="s">
        <v>2987</v>
      </c>
    </row>
    <row r="672" spans="1:5" x14ac:dyDescent="0.2">
      <c r="A672" t="s">
        <v>2786</v>
      </c>
      <c r="B672" t="s">
        <v>1898</v>
      </c>
      <c r="C672" t="s">
        <v>1</v>
      </c>
      <c r="D672">
        <v>0.3684210479259491</v>
      </c>
      <c r="E672" t="s">
        <v>2989</v>
      </c>
    </row>
    <row r="673" spans="1:5" x14ac:dyDescent="0.2">
      <c r="A673" t="s">
        <v>2787</v>
      </c>
      <c r="B673" t="s">
        <v>1301</v>
      </c>
      <c r="C673" t="s">
        <v>0</v>
      </c>
      <c r="D673">
        <v>0.3333333432674408</v>
      </c>
      <c r="E673" t="s">
        <v>2989</v>
      </c>
    </row>
    <row r="674" spans="1:5" x14ac:dyDescent="0.2">
      <c r="A674" t="s">
        <v>2788</v>
      </c>
      <c r="B674" t="s">
        <v>1539</v>
      </c>
      <c r="C674" t="s">
        <v>0</v>
      </c>
      <c r="D674">
        <v>0.28070175647735596</v>
      </c>
      <c r="E674" t="s">
        <v>2989</v>
      </c>
    </row>
    <row r="675" spans="1:5" x14ac:dyDescent="0.2">
      <c r="A675" t="s">
        <v>2789</v>
      </c>
      <c r="B675" t="s">
        <v>2988</v>
      </c>
      <c r="C675" t="s">
        <v>2988</v>
      </c>
      <c r="D675">
        <v>0</v>
      </c>
      <c r="E675" t="s">
        <v>2987</v>
      </c>
    </row>
    <row r="676" spans="1:5" x14ac:dyDescent="0.2">
      <c r="A676" t="s">
        <v>2790</v>
      </c>
      <c r="B676" t="s">
        <v>2988</v>
      </c>
      <c r="C676" t="s">
        <v>2988</v>
      </c>
      <c r="D676">
        <v>0</v>
      </c>
      <c r="E676" t="s">
        <v>2987</v>
      </c>
    </row>
    <row r="677" spans="1:5" x14ac:dyDescent="0.2">
      <c r="A677" t="s">
        <v>2791</v>
      </c>
      <c r="B677" t="s">
        <v>2988</v>
      </c>
      <c r="C677" t="s">
        <v>2988</v>
      </c>
      <c r="D677">
        <v>0</v>
      </c>
      <c r="E677" t="s">
        <v>2987</v>
      </c>
    </row>
    <row r="678" spans="1:5" x14ac:dyDescent="0.2">
      <c r="A678" t="s">
        <v>2792</v>
      </c>
      <c r="B678" t="s">
        <v>2988</v>
      </c>
      <c r="C678" t="s">
        <v>2988</v>
      </c>
      <c r="D678">
        <v>0</v>
      </c>
      <c r="E678" t="s">
        <v>2987</v>
      </c>
    </row>
    <row r="679" spans="1:5" x14ac:dyDescent="0.2">
      <c r="A679" t="s">
        <v>2793</v>
      </c>
      <c r="B679" t="s">
        <v>1002</v>
      </c>
      <c r="C679" t="s">
        <v>1</v>
      </c>
      <c r="D679">
        <v>0.19780220091342926</v>
      </c>
      <c r="E679" t="s">
        <v>2989</v>
      </c>
    </row>
    <row r="680" spans="1:5" x14ac:dyDescent="0.2">
      <c r="A680" t="s">
        <v>2794</v>
      </c>
      <c r="B680" t="s">
        <v>2988</v>
      </c>
      <c r="C680" t="s">
        <v>2988</v>
      </c>
      <c r="D680">
        <v>0</v>
      </c>
      <c r="E680" t="s">
        <v>2987</v>
      </c>
    </row>
    <row r="681" spans="1:5" x14ac:dyDescent="0.2">
      <c r="A681" t="s">
        <v>2795</v>
      </c>
      <c r="B681" t="s">
        <v>2988</v>
      </c>
      <c r="C681" t="s">
        <v>2988</v>
      </c>
      <c r="D681">
        <v>0</v>
      </c>
      <c r="E681" t="s">
        <v>2987</v>
      </c>
    </row>
    <row r="682" spans="1:5" x14ac:dyDescent="0.2">
      <c r="A682" t="s">
        <v>2796</v>
      </c>
      <c r="B682" t="s">
        <v>256</v>
      </c>
      <c r="C682" t="s">
        <v>0</v>
      </c>
      <c r="D682">
        <v>0.34567901492118835</v>
      </c>
      <c r="E682" t="s">
        <v>2989</v>
      </c>
    </row>
    <row r="683" spans="1:5" x14ac:dyDescent="0.2">
      <c r="A683" t="s">
        <v>2797</v>
      </c>
      <c r="B683" t="s">
        <v>2988</v>
      </c>
      <c r="C683" t="s">
        <v>2988</v>
      </c>
      <c r="D683">
        <v>0</v>
      </c>
      <c r="E683" t="s">
        <v>2987</v>
      </c>
    </row>
    <row r="684" spans="1:5" x14ac:dyDescent="0.2">
      <c r="A684" t="s">
        <v>2798</v>
      </c>
      <c r="B684" t="s">
        <v>2988</v>
      </c>
      <c r="C684" t="s">
        <v>2988</v>
      </c>
      <c r="D684">
        <v>0</v>
      </c>
      <c r="E684" t="s">
        <v>2987</v>
      </c>
    </row>
    <row r="685" spans="1:5" x14ac:dyDescent="0.2">
      <c r="A685" t="s">
        <v>2799</v>
      </c>
      <c r="B685" t="s">
        <v>2988</v>
      </c>
      <c r="C685" t="s">
        <v>2988</v>
      </c>
      <c r="D685">
        <v>0</v>
      </c>
      <c r="E685" t="s">
        <v>2987</v>
      </c>
    </row>
    <row r="686" spans="1:5" x14ac:dyDescent="0.2">
      <c r="A686" t="s">
        <v>2800</v>
      </c>
      <c r="B686" t="s">
        <v>825</v>
      </c>
      <c r="C686" t="s">
        <v>1</v>
      </c>
      <c r="D686">
        <v>0.39344263076782227</v>
      </c>
      <c r="E686" t="s">
        <v>2989</v>
      </c>
    </row>
    <row r="687" spans="1:5" x14ac:dyDescent="0.2">
      <c r="A687" t="s">
        <v>2801</v>
      </c>
      <c r="B687" t="s">
        <v>687</v>
      </c>
      <c r="C687" t="s">
        <v>0</v>
      </c>
      <c r="D687">
        <v>1</v>
      </c>
      <c r="E687" t="s">
        <v>2987</v>
      </c>
    </row>
    <row r="688" spans="1:5" x14ac:dyDescent="0.2">
      <c r="A688" t="s">
        <v>2802</v>
      </c>
      <c r="B688" t="s">
        <v>1384</v>
      </c>
      <c r="C688" t="s">
        <v>0</v>
      </c>
      <c r="D688">
        <v>0.3333333432674408</v>
      </c>
      <c r="E688" t="s">
        <v>2989</v>
      </c>
    </row>
    <row r="689" spans="1:5" x14ac:dyDescent="0.2">
      <c r="A689" t="s">
        <v>2803</v>
      </c>
      <c r="B689" t="s">
        <v>827</v>
      </c>
      <c r="C689" t="s">
        <v>1</v>
      </c>
      <c r="D689">
        <v>0.375</v>
      </c>
      <c r="E689" t="s">
        <v>2989</v>
      </c>
    </row>
    <row r="690" spans="1:5" x14ac:dyDescent="0.2">
      <c r="A690" t="s">
        <v>2804</v>
      </c>
      <c r="B690" t="s">
        <v>650</v>
      </c>
      <c r="C690" t="s">
        <v>0</v>
      </c>
      <c r="D690">
        <v>0.2222222238779068</v>
      </c>
      <c r="E690" t="s">
        <v>2989</v>
      </c>
    </row>
    <row r="691" spans="1:5" x14ac:dyDescent="0.2">
      <c r="A691" t="s">
        <v>2805</v>
      </c>
      <c r="B691" t="s">
        <v>829</v>
      </c>
      <c r="C691" t="s">
        <v>1</v>
      </c>
      <c r="D691">
        <v>0.375</v>
      </c>
      <c r="E691" t="s">
        <v>2989</v>
      </c>
    </row>
    <row r="692" spans="1:5" x14ac:dyDescent="0.2">
      <c r="A692" t="s">
        <v>2806</v>
      </c>
      <c r="B692" t="s">
        <v>1087</v>
      </c>
      <c r="C692" t="s">
        <v>1</v>
      </c>
      <c r="D692">
        <v>0.31034481525421143</v>
      </c>
      <c r="E692" t="s">
        <v>2989</v>
      </c>
    </row>
    <row r="693" spans="1:5" x14ac:dyDescent="0.2">
      <c r="A693" t="s">
        <v>2807</v>
      </c>
      <c r="B693" t="s">
        <v>412</v>
      </c>
      <c r="C693" t="s">
        <v>0</v>
      </c>
      <c r="D693">
        <v>0.36000001430511475</v>
      </c>
      <c r="E693" t="s">
        <v>2989</v>
      </c>
    </row>
    <row r="694" spans="1:5" x14ac:dyDescent="0.2">
      <c r="A694" t="s">
        <v>2808</v>
      </c>
      <c r="B694" t="s">
        <v>2988</v>
      </c>
      <c r="C694" t="s">
        <v>2988</v>
      </c>
      <c r="D694">
        <v>0</v>
      </c>
      <c r="E694" t="s">
        <v>2987</v>
      </c>
    </row>
    <row r="695" spans="1:5" x14ac:dyDescent="0.2">
      <c r="A695" t="s">
        <v>2809</v>
      </c>
      <c r="B695" t="s">
        <v>1347</v>
      </c>
      <c r="C695" t="s">
        <v>0</v>
      </c>
      <c r="D695">
        <v>0.37837839126586914</v>
      </c>
      <c r="E695" t="s">
        <v>2989</v>
      </c>
    </row>
    <row r="696" spans="1:5" x14ac:dyDescent="0.2">
      <c r="A696" t="s">
        <v>2810</v>
      </c>
      <c r="B696" t="s">
        <v>2988</v>
      </c>
      <c r="C696" t="s">
        <v>2988</v>
      </c>
      <c r="D696">
        <v>0</v>
      </c>
      <c r="E696" t="s">
        <v>2987</v>
      </c>
    </row>
    <row r="697" spans="1:5" x14ac:dyDescent="0.2">
      <c r="A697" t="s">
        <v>2811</v>
      </c>
      <c r="B697" t="s">
        <v>1438</v>
      </c>
      <c r="C697" t="s">
        <v>0</v>
      </c>
      <c r="D697">
        <v>0.15686275064945221</v>
      </c>
      <c r="E697" t="s">
        <v>2989</v>
      </c>
    </row>
    <row r="698" spans="1:5" x14ac:dyDescent="0.2">
      <c r="A698" t="s">
        <v>2812</v>
      </c>
      <c r="B698" t="s">
        <v>2988</v>
      </c>
      <c r="C698" t="s">
        <v>2988</v>
      </c>
      <c r="D698">
        <v>0</v>
      </c>
      <c r="E698" t="s">
        <v>2987</v>
      </c>
    </row>
    <row r="699" spans="1:5" x14ac:dyDescent="0.2">
      <c r="A699" t="s">
        <v>2813</v>
      </c>
      <c r="B699" t="s">
        <v>2988</v>
      </c>
      <c r="C699" t="s">
        <v>2988</v>
      </c>
      <c r="D699">
        <v>0</v>
      </c>
      <c r="E699" t="s">
        <v>2987</v>
      </c>
    </row>
    <row r="700" spans="1:5" x14ac:dyDescent="0.2">
      <c r="A700" t="s">
        <v>2814</v>
      </c>
      <c r="B700" t="s">
        <v>1799</v>
      </c>
      <c r="C700" t="s">
        <v>1</v>
      </c>
      <c r="D700">
        <v>0.62711864709854126</v>
      </c>
      <c r="E700" t="s">
        <v>2987</v>
      </c>
    </row>
    <row r="701" spans="1:5" x14ac:dyDescent="0.2">
      <c r="A701" t="s">
        <v>2815</v>
      </c>
      <c r="B701" t="s">
        <v>126</v>
      </c>
      <c r="C701" t="s">
        <v>0</v>
      </c>
      <c r="D701">
        <v>1</v>
      </c>
      <c r="E701" t="s">
        <v>2987</v>
      </c>
    </row>
    <row r="702" spans="1:5" x14ac:dyDescent="0.2">
      <c r="A702" t="s">
        <v>2816</v>
      </c>
      <c r="B702" t="s">
        <v>2988</v>
      </c>
      <c r="C702" t="s">
        <v>2988</v>
      </c>
      <c r="D702">
        <v>0</v>
      </c>
      <c r="E702" t="s">
        <v>2987</v>
      </c>
    </row>
    <row r="703" spans="1:5" x14ac:dyDescent="0.2">
      <c r="A703" t="s">
        <v>2817</v>
      </c>
      <c r="B703" t="s">
        <v>1173</v>
      </c>
      <c r="C703" t="s">
        <v>0</v>
      </c>
      <c r="D703">
        <v>1</v>
      </c>
      <c r="E703" t="s">
        <v>2987</v>
      </c>
    </row>
    <row r="704" spans="1:5" x14ac:dyDescent="0.2">
      <c r="A704" t="s">
        <v>2818</v>
      </c>
      <c r="B704" t="s">
        <v>1209</v>
      </c>
      <c r="C704" t="s">
        <v>1</v>
      </c>
      <c r="D704">
        <v>1</v>
      </c>
      <c r="E704" t="s">
        <v>2987</v>
      </c>
    </row>
    <row r="705" spans="1:5" x14ac:dyDescent="0.2">
      <c r="A705" t="s">
        <v>2819</v>
      </c>
      <c r="B705" t="s">
        <v>1159</v>
      </c>
      <c r="C705" t="s">
        <v>0</v>
      </c>
      <c r="D705">
        <v>1</v>
      </c>
      <c r="E705" t="s">
        <v>2987</v>
      </c>
    </row>
    <row r="706" spans="1:5" x14ac:dyDescent="0.2">
      <c r="A706" t="s">
        <v>2820</v>
      </c>
      <c r="B706" t="s">
        <v>1700</v>
      </c>
      <c r="C706" t="s">
        <v>1</v>
      </c>
      <c r="D706">
        <v>0.30000001192092896</v>
      </c>
      <c r="E706" t="s">
        <v>2989</v>
      </c>
    </row>
    <row r="707" spans="1:5" x14ac:dyDescent="0.2">
      <c r="A707" t="s">
        <v>2821</v>
      </c>
      <c r="B707" t="s">
        <v>2988</v>
      </c>
      <c r="C707" t="s">
        <v>2988</v>
      </c>
      <c r="D707">
        <v>0</v>
      </c>
      <c r="E707" t="s">
        <v>2987</v>
      </c>
    </row>
    <row r="708" spans="1:5" x14ac:dyDescent="0.2">
      <c r="A708" t="s">
        <v>2822</v>
      </c>
      <c r="B708" t="s">
        <v>2988</v>
      </c>
      <c r="C708" t="s">
        <v>2988</v>
      </c>
      <c r="D708">
        <v>0</v>
      </c>
      <c r="E708" t="s">
        <v>2987</v>
      </c>
    </row>
    <row r="709" spans="1:5" x14ac:dyDescent="0.2">
      <c r="A709" t="s">
        <v>2823</v>
      </c>
      <c r="B709" t="s">
        <v>2988</v>
      </c>
      <c r="C709" t="s">
        <v>2988</v>
      </c>
      <c r="D709">
        <v>0</v>
      </c>
      <c r="E709" t="s">
        <v>2987</v>
      </c>
    </row>
    <row r="710" spans="1:5" x14ac:dyDescent="0.2">
      <c r="A710" t="s">
        <v>2824</v>
      </c>
      <c r="B710" t="s">
        <v>1354</v>
      </c>
      <c r="C710" t="s">
        <v>1</v>
      </c>
      <c r="D710">
        <v>0.53932583332061768</v>
      </c>
      <c r="E710" t="s">
        <v>2987</v>
      </c>
    </row>
    <row r="711" spans="1:5" x14ac:dyDescent="0.2">
      <c r="A711" t="s">
        <v>2825</v>
      </c>
      <c r="B711" t="s">
        <v>1477</v>
      </c>
      <c r="C711" t="s">
        <v>1</v>
      </c>
      <c r="D711">
        <v>0.25</v>
      </c>
      <c r="E711" t="s">
        <v>2989</v>
      </c>
    </row>
    <row r="712" spans="1:5" x14ac:dyDescent="0.2">
      <c r="A712" t="s">
        <v>2826</v>
      </c>
      <c r="B712" t="s">
        <v>1846</v>
      </c>
      <c r="C712" t="s">
        <v>1</v>
      </c>
      <c r="D712">
        <v>0.25757575035095215</v>
      </c>
      <c r="E712" t="s">
        <v>2989</v>
      </c>
    </row>
    <row r="713" spans="1:5" x14ac:dyDescent="0.2">
      <c r="A713" t="s">
        <v>2827</v>
      </c>
      <c r="B713" t="s">
        <v>1218</v>
      </c>
      <c r="C713" t="s">
        <v>0</v>
      </c>
      <c r="D713">
        <v>1</v>
      </c>
      <c r="E713" t="s">
        <v>2987</v>
      </c>
    </row>
    <row r="714" spans="1:5" x14ac:dyDescent="0.2">
      <c r="A714" t="s">
        <v>2828</v>
      </c>
      <c r="B714" t="s">
        <v>230</v>
      </c>
      <c r="C714" t="s">
        <v>0</v>
      </c>
      <c r="D714">
        <v>0.36000001430511475</v>
      </c>
      <c r="E714" t="s">
        <v>2989</v>
      </c>
    </row>
    <row r="715" spans="1:5" x14ac:dyDescent="0.2">
      <c r="A715" t="s">
        <v>2829</v>
      </c>
      <c r="B715" t="s">
        <v>228</v>
      </c>
      <c r="C715" t="s">
        <v>0</v>
      </c>
      <c r="D715">
        <v>1</v>
      </c>
      <c r="E715" t="s">
        <v>2987</v>
      </c>
    </row>
    <row r="716" spans="1:5" x14ac:dyDescent="0.2">
      <c r="A716" t="s">
        <v>2830</v>
      </c>
      <c r="B716" t="s">
        <v>2988</v>
      </c>
      <c r="C716" t="s">
        <v>2988</v>
      </c>
      <c r="D716">
        <v>0</v>
      </c>
      <c r="E716" t="s">
        <v>2987</v>
      </c>
    </row>
    <row r="717" spans="1:5" x14ac:dyDescent="0.2">
      <c r="A717" t="s">
        <v>2831</v>
      </c>
      <c r="B717" t="s">
        <v>989</v>
      </c>
      <c r="C717" t="s">
        <v>0</v>
      </c>
      <c r="D717">
        <v>0.32173913717269897</v>
      </c>
      <c r="E717" t="s">
        <v>2989</v>
      </c>
    </row>
    <row r="718" spans="1:5" x14ac:dyDescent="0.2">
      <c r="A718" t="s">
        <v>2832</v>
      </c>
      <c r="B718" t="s">
        <v>987</v>
      </c>
      <c r="C718" t="s">
        <v>0</v>
      </c>
      <c r="D718">
        <v>0.20652173459529877</v>
      </c>
      <c r="E718" t="s">
        <v>2989</v>
      </c>
    </row>
    <row r="719" spans="1:5" x14ac:dyDescent="0.2">
      <c r="A719" t="s">
        <v>2833</v>
      </c>
      <c r="B719" t="s">
        <v>1936</v>
      </c>
      <c r="C719" t="s">
        <v>1</v>
      </c>
      <c r="D719">
        <v>0.45283019542694092</v>
      </c>
      <c r="E719" t="s">
        <v>2987</v>
      </c>
    </row>
    <row r="720" spans="1:5" x14ac:dyDescent="0.2">
      <c r="A720" t="s">
        <v>2834</v>
      </c>
      <c r="B720" t="s">
        <v>2089</v>
      </c>
      <c r="C720" t="s">
        <v>1</v>
      </c>
      <c r="D720">
        <v>0.20270270109176636</v>
      </c>
      <c r="E720" t="s">
        <v>2989</v>
      </c>
    </row>
    <row r="721" spans="1:5" x14ac:dyDescent="0.2">
      <c r="A721" t="s">
        <v>2835</v>
      </c>
      <c r="B721" t="s">
        <v>102</v>
      </c>
      <c r="C721" t="s">
        <v>0</v>
      </c>
      <c r="D721">
        <v>1</v>
      </c>
      <c r="E721" t="s">
        <v>2987</v>
      </c>
    </row>
    <row r="722" spans="1:5" x14ac:dyDescent="0.2">
      <c r="A722" t="s">
        <v>2836</v>
      </c>
      <c r="B722" t="s">
        <v>698</v>
      </c>
      <c r="C722" t="s">
        <v>0</v>
      </c>
      <c r="D722">
        <v>0.30612245202064514</v>
      </c>
      <c r="E722" t="s">
        <v>2989</v>
      </c>
    </row>
    <row r="723" spans="1:5" x14ac:dyDescent="0.2">
      <c r="A723" t="s">
        <v>2837</v>
      </c>
      <c r="B723" t="s">
        <v>1675</v>
      </c>
      <c r="C723" t="s">
        <v>1</v>
      </c>
      <c r="D723">
        <v>0.27272728085517883</v>
      </c>
      <c r="E723" t="s">
        <v>2989</v>
      </c>
    </row>
    <row r="724" spans="1:5" x14ac:dyDescent="0.2">
      <c r="A724" t="s">
        <v>2838</v>
      </c>
      <c r="B724" t="s">
        <v>1675</v>
      </c>
      <c r="C724" t="s">
        <v>1</v>
      </c>
      <c r="D724">
        <v>0.19200000166893005</v>
      </c>
      <c r="E724" t="s">
        <v>2989</v>
      </c>
    </row>
    <row r="725" spans="1:5" x14ac:dyDescent="0.2">
      <c r="A725" t="s">
        <v>2839</v>
      </c>
      <c r="B725" t="s">
        <v>1675</v>
      </c>
      <c r="C725" t="s">
        <v>1</v>
      </c>
      <c r="D725">
        <v>0.19200000166893005</v>
      </c>
      <c r="E725" t="s">
        <v>2989</v>
      </c>
    </row>
    <row r="726" spans="1:5" x14ac:dyDescent="0.2">
      <c r="A726" t="s">
        <v>2840</v>
      </c>
      <c r="B726" t="s">
        <v>1494</v>
      </c>
      <c r="C726" t="s">
        <v>1</v>
      </c>
      <c r="D726">
        <v>0.31034481525421143</v>
      </c>
      <c r="E726" t="s">
        <v>2989</v>
      </c>
    </row>
    <row r="727" spans="1:5" x14ac:dyDescent="0.2">
      <c r="A727" t="s">
        <v>2841</v>
      </c>
      <c r="B727" t="s">
        <v>270</v>
      </c>
      <c r="C727" t="s">
        <v>0</v>
      </c>
      <c r="D727">
        <v>0.43037974834442139</v>
      </c>
      <c r="E727" t="s">
        <v>2987</v>
      </c>
    </row>
    <row r="728" spans="1:5" x14ac:dyDescent="0.2">
      <c r="A728" t="s">
        <v>2842</v>
      </c>
      <c r="B728" t="s">
        <v>2988</v>
      </c>
      <c r="C728" t="s">
        <v>2988</v>
      </c>
      <c r="D728">
        <v>0</v>
      </c>
      <c r="E728" t="s">
        <v>2987</v>
      </c>
    </row>
    <row r="729" spans="1:5" x14ac:dyDescent="0.2">
      <c r="A729" t="s">
        <v>2843</v>
      </c>
      <c r="B729" t="s">
        <v>1371</v>
      </c>
      <c r="C729" t="s">
        <v>0</v>
      </c>
      <c r="D729">
        <v>0.2222222238779068</v>
      </c>
      <c r="E729" t="s">
        <v>2989</v>
      </c>
    </row>
    <row r="730" spans="1:5" x14ac:dyDescent="0.2">
      <c r="A730" t="s">
        <v>2844</v>
      </c>
      <c r="B730" t="s">
        <v>2988</v>
      </c>
      <c r="C730" t="s">
        <v>2988</v>
      </c>
      <c r="D730">
        <v>0</v>
      </c>
      <c r="E730" t="s">
        <v>2987</v>
      </c>
    </row>
    <row r="731" spans="1:5" x14ac:dyDescent="0.2">
      <c r="A731" t="s">
        <v>2845</v>
      </c>
      <c r="B731" t="s">
        <v>467</v>
      </c>
      <c r="C731" t="s">
        <v>1</v>
      </c>
      <c r="D731">
        <v>0.41071429848670959</v>
      </c>
      <c r="E731" t="s">
        <v>2987</v>
      </c>
    </row>
    <row r="732" spans="1:5" x14ac:dyDescent="0.2">
      <c r="A732" t="s">
        <v>2846</v>
      </c>
      <c r="B732" t="s">
        <v>2988</v>
      </c>
      <c r="C732" t="s">
        <v>2988</v>
      </c>
      <c r="D732">
        <v>0</v>
      </c>
      <c r="E732" t="s">
        <v>2987</v>
      </c>
    </row>
    <row r="733" spans="1:5" x14ac:dyDescent="0.2">
      <c r="A733" t="s">
        <v>2847</v>
      </c>
      <c r="B733" t="s">
        <v>966</v>
      </c>
      <c r="C733" t="s">
        <v>0</v>
      </c>
      <c r="D733">
        <v>0.41791045665740967</v>
      </c>
      <c r="E733" t="s">
        <v>2987</v>
      </c>
    </row>
    <row r="734" spans="1:5" x14ac:dyDescent="0.2">
      <c r="A734" t="s">
        <v>2848</v>
      </c>
      <c r="B734" t="s">
        <v>841</v>
      </c>
      <c r="C734" t="s">
        <v>1</v>
      </c>
      <c r="D734">
        <v>0.28070175647735596</v>
      </c>
      <c r="E734" t="s">
        <v>2989</v>
      </c>
    </row>
    <row r="735" spans="1:5" x14ac:dyDescent="0.2">
      <c r="A735" t="s">
        <v>2849</v>
      </c>
      <c r="B735" t="s">
        <v>1694</v>
      </c>
      <c r="C735" t="s">
        <v>1</v>
      </c>
      <c r="D735">
        <v>0.3333333432674408</v>
      </c>
      <c r="E735" t="s">
        <v>2989</v>
      </c>
    </row>
    <row r="736" spans="1:5" x14ac:dyDescent="0.2">
      <c r="A736" t="s">
        <v>2850</v>
      </c>
      <c r="B736" t="s">
        <v>2988</v>
      </c>
      <c r="C736" t="s">
        <v>2988</v>
      </c>
      <c r="D736">
        <v>0</v>
      </c>
      <c r="E736" t="s">
        <v>2987</v>
      </c>
    </row>
    <row r="737" spans="1:5" x14ac:dyDescent="0.2">
      <c r="A737" t="s">
        <v>2851</v>
      </c>
      <c r="B737" t="s">
        <v>588</v>
      </c>
      <c r="C737" t="s">
        <v>0</v>
      </c>
      <c r="D737">
        <v>0.12903225421905518</v>
      </c>
      <c r="E737" t="s">
        <v>2989</v>
      </c>
    </row>
    <row r="738" spans="1:5" x14ac:dyDescent="0.2">
      <c r="A738" t="s">
        <v>2852</v>
      </c>
      <c r="B738" t="s">
        <v>2988</v>
      </c>
      <c r="C738" t="s">
        <v>2988</v>
      </c>
      <c r="D738">
        <v>0</v>
      </c>
      <c r="E738" t="s">
        <v>2987</v>
      </c>
    </row>
    <row r="739" spans="1:5" x14ac:dyDescent="0.2">
      <c r="A739" t="s">
        <v>2853</v>
      </c>
      <c r="B739" t="s">
        <v>560</v>
      </c>
      <c r="C739" t="s">
        <v>0</v>
      </c>
      <c r="D739">
        <v>0.32653060555458069</v>
      </c>
      <c r="E739" t="s">
        <v>2989</v>
      </c>
    </row>
    <row r="740" spans="1:5" x14ac:dyDescent="0.2">
      <c r="A740" t="s">
        <v>2854</v>
      </c>
      <c r="B740" t="s">
        <v>1175</v>
      </c>
      <c r="C740" t="s">
        <v>0</v>
      </c>
      <c r="D740">
        <v>0.31034481525421143</v>
      </c>
      <c r="E740" t="s">
        <v>2989</v>
      </c>
    </row>
    <row r="741" spans="1:5" x14ac:dyDescent="0.2">
      <c r="A741" t="s">
        <v>2855</v>
      </c>
      <c r="B741" t="s">
        <v>293</v>
      </c>
      <c r="C741" t="s">
        <v>1</v>
      </c>
      <c r="D741">
        <v>0.18461538851261139</v>
      </c>
      <c r="E741" t="s">
        <v>2989</v>
      </c>
    </row>
    <row r="742" spans="1:5" x14ac:dyDescent="0.2">
      <c r="A742" t="s">
        <v>2856</v>
      </c>
      <c r="B742" t="s">
        <v>1944</v>
      </c>
      <c r="C742" t="s">
        <v>1</v>
      </c>
      <c r="D742">
        <v>0.27272728085517883</v>
      </c>
      <c r="E742" t="s">
        <v>2989</v>
      </c>
    </row>
    <row r="743" spans="1:5" x14ac:dyDescent="0.2">
      <c r="A743" t="s">
        <v>2857</v>
      </c>
      <c r="B743" t="s">
        <v>2988</v>
      </c>
      <c r="C743" t="s">
        <v>2988</v>
      </c>
      <c r="D743">
        <v>0</v>
      </c>
      <c r="E743" t="s">
        <v>2987</v>
      </c>
    </row>
    <row r="744" spans="1:5" x14ac:dyDescent="0.2">
      <c r="A744" t="s">
        <v>2858</v>
      </c>
      <c r="B744" t="s">
        <v>351</v>
      </c>
      <c r="C744" t="s">
        <v>0</v>
      </c>
      <c r="D744">
        <v>0.32727271318435669</v>
      </c>
      <c r="E744" t="s">
        <v>2989</v>
      </c>
    </row>
    <row r="745" spans="1:5" x14ac:dyDescent="0.2">
      <c r="A745" t="s">
        <v>2859</v>
      </c>
      <c r="B745" t="s">
        <v>1332</v>
      </c>
      <c r="C745" t="s">
        <v>1</v>
      </c>
      <c r="D745">
        <v>0.12765957415103912</v>
      </c>
      <c r="E745" t="s">
        <v>2989</v>
      </c>
    </row>
    <row r="746" spans="1:5" x14ac:dyDescent="0.2">
      <c r="A746" t="s">
        <v>2860</v>
      </c>
      <c r="B746" t="s">
        <v>2988</v>
      </c>
      <c r="C746" t="s">
        <v>2988</v>
      </c>
      <c r="D746">
        <v>0</v>
      </c>
      <c r="E746" t="s">
        <v>2987</v>
      </c>
    </row>
    <row r="747" spans="1:5" x14ac:dyDescent="0.2">
      <c r="A747" t="s">
        <v>2861</v>
      </c>
      <c r="B747" t="s">
        <v>2988</v>
      </c>
      <c r="C747" t="s">
        <v>2988</v>
      </c>
      <c r="D747">
        <v>0</v>
      </c>
      <c r="E747" t="s">
        <v>2987</v>
      </c>
    </row>
    <row r="748" spans="1:5" x14ac:dyDescent="0.2">
      <c r="A748" t="s">
        <v>2862</v>
      </c>
      <c r="B748" t="s">
        <v>1388</v>
      </c>
      <c r="C748" t="s">
        <v>0</v>
      </c>
      <c r="D748">
        <v>0.35294118523597717</v>
      </c>
      <c r="E748" t="s">
        <v>2989</v>
      </c>
    </row>
    <row r="749" spans="1:5" x14ac:dyDescent="0.2">
      <c r="A749" t="s">
        <v>2863</v>
      </c>
      <c r="B749" t="s">
        <v>1388</v>
      </c>
      <c r="C749" t="s">
        <v>0</v>
      </c>
      <c r="D749">
        <v>0.375</v>
      </c>
      <c r="E749" t="s">
        <v>2989</v>
      </c>
    </row>
    <row r="750" spans="1:5" x14ac:dyDescent="0.2">
      <c r="A750" t="s">
        <v>2864</v>
      </c>
      <c r="B750" t="s">
        <v>488</v>
      </c>
      <c r="C750" t="s">
        <v>0</v>
      </c>
      <c r="D750">
        <v>0.21739129722118378</v>
      </c>
      <c r="E750" t="s">
        <v>2989</v>
      </c>
    </row>
    <row r="751" spans="1:5" x14ac:dyDescent="0.2">
      <c r="A751" t="s">
        <v>2865</v>
      </c>
      <c r="B751" t="s">
        <v>2988</v>
      </c>
      <c r="C751" t="s">
        <v>2988</v>
      </c>
      <c r="D751">
        <v>0</v>
      </c>
      <c r="E751" t="s">
        <v>2987</v>
      </c>
    </row>
    <row r="752" spans="1:5" x14ac:dyDescent="0.2">
      <c r="A752" t="s">
        <v>2866</v>
      </c>
      <c r="B752" t="s">
        <v>128</v>
      </c>
      <c r="C752" t="s">
        <v>0</v>
      </c>
      <c r="D752">
        <v>0.58333331346511841</v>
      </c>
      <c r="E752" t="s">
        <v>2987</v>
      </c>
    </row>
    <row r="753" spans="1:5" x14ac:dyDescent="0.2">
      <c r="A753" t="s">
        <v>2867</v>
      </c>
      <c r="B753" t="s">
        <v>2988</v>
      </c>
      <c r="C753" t="s">
        <v>2988</v>
      </c>
      <c r="D753">
        <v>0</v>
      </c>
      <c r="E753" t="s">
        <v>2987</v>
      </c>
    </row>
    <row r="754" spans="1:5" x14ac:dyDescent="0.2">
      <c r="A754" t="s">
        <v>2868</v>
      </c>
      <c r="B754" t="s">
        <v>2988</v>
      </c>
      <c r="C754" t="s">
        <v>2988</v>
      </c>
      <c r="D754">
        <v>0</v>
      </c>
      <c r="E754" t="s">
        <v>2987</v>
      </c>
    </row>
    <row r="755" spans="1:5" x14ac:dyDescent="0.2">
      <c r="A755" t="s">
        <v>2869</v>
      </c>
      <c r="B755" t="s">
        <v>845</v>
      </c>
      <c r="C755" t="s">
        <v>1</v>
      </c>
      <c r="D755">
        <v>0.375</v>
      </c>
      <c r="E755" t="s">
        <v>2989</v>
      </c>
    </row>
    <row r="756" spans="1:5" x14ac:dyDescent="0.2">
      <c r="A756" t="s">
        <v>2870</v>
      </c>
      <c r="B756" t="s">
        <v>2988</v>
      </c>
      <c r="C756" t="s">
        <v>2988</v>
      </c>
      <c r="D756">
        <v>0</v>
      </c>
      <c r="E756" t="s">
        <v>2987</v>
      </c>
    </row>
    <row r="757" spans="1:5" x14ac:dyDescent="0.2">
      <c r="A757" t="s">
        <v>2871</v>
      </c>
      <c r="B757" t="s">
        <v>2108</v>
      </c>
      <c r="C757" t="s">
        <v>1</v>
      </c>
      <c r="D757">
        <v>0.67123287916183472</v>
      </c>
      <c r="E757" t="s">
        <v>2987</v>
      </c>
    </row>
    <row r="758" spans="1:5" x14ac:dyDescent="0.2">
      <c r="A758" t="s">
        <v>2872</v>
      </c>
      <c r="B758" t="s">
        <v>1351</v>
      </c>
      <c r="C758" t="s">
        <v>0</v>
      </c>
      <c r="D758">
        <v>0.20512820780277252</v>
      </c>
      <c r="E758" t="s">
        <v>2989</v>
      </c>
    </row>
    <row r="759" spans="1:5" x14ac:dyDescent="0.2">
      <c r="A759" t="s">
        <v>2873</v>
      </c>
      <c r="B759" t="s">
        <v>1605</v>
      </c>
      <c r="C759" t="s">
        <v>1</v>
      </c>
      <c r="D759">
        <v>0.19780220091342926</v>
      </c>
      <c r="E759" t="s">
        <v>2989</v>
      </c>
    </row>
    <row r="760" spans="1:5" x14ac:dyDescent="0.2">
      <c r="A760" t="s">
        <v>2874</v>
      </c>
      <c r="B760" t="s">
        <v>2988</v>
      </c>
      <c r="C760" t="s">
        <v>2988</v>
      </c>
      <c r="D760">
        <v>0</v>
      </c>
      <c r="E760" t="s">
        <v>2987</v>
      </c>
    </row>
    <row r="761" spans="1:5" x14ac:dyDescent="0.2">
      <c r="A761" t="s">
        <v>2875</v>
      </c>
      <c r="B761" t="s">
        <v>1386</v>
      </c>
      <c r="C761" t="s">
        <v>0</v>
      </c>
      <c r="D761">
        <v>0.45283019542694092</v>
      </c>
      <c r="E761" t="s">
        <v>2987</v>
      </c>
    </row>
    <row r="762" spans="1:5" x14ac:dyDescent="0.2">
      <c r="A762" t="s">
        <v>2876</v>
      </c>
      <c r="B762" t="s">
        <v>716</v>
      </c>
      <c r="C762" t="s">
        <v>0</v>
      </c>
      <c r="D762">
        <v>0.55421686172485352</v>
      </c>
      <c r="E762" t="s">
        <v>2987</v>
      </c>
    </row>
    <row r="763" spans="1:5" x14ac:dyDescent="0.2">
      <c r="A763" t="s">
        <v>2877</v>
      </c>
      <c r="B763" t="s">
        <v>1892</v>
      </c>
      <c r="C763" t="s">
        <v>1</v>
      </c>
      <c r="D763">
        <v>0.36923077702522278</v>
      </c>
      <c r="E763" t="s">
        <v>2989</v>
      </c>
    </row>
    <row r="764" spans="1:5" x14ac:dyDescent="0.2">
      <c r="A764" t="s">
        <v>2878</v>
      </c>
      <c r="B764" t="s">
        <v>1004</v>
      </c>
      <c r="C764" t="s">
        <v>1</v>
      </c>
      <c r="D764">
        <v>0.4444444477558136</v>
      </c>
      <c r="E764" t="s">
        <v>2987</v>
      </c>
    </row>
    <row r="765" spans="1:5" x14ac:dyDescent="0.2">
      <c r="A765" t="s">
        <v>2879</v>
      </c>
      <c r="B765" t="s">
        <v>847</v>
      </c>
      <c r="C765" t="s">
        <v>1</v>
      </c>
      <c r="D765">
        <v>0.375</v>
      </c>
      <c r="E765" t="s">
        <v>2989</v>
      </c>
    </row>
    <row r="766" spans="1:5" x14ac:dyDescent="0.2">
      <c r="A766" t="s">
        <v>2880</v>
      </c>
      <c r="B766" t="s">
        <v>1073</v>
      </c>
      <c r="C766" t="s">
        <v>1</v>
      </c>
      <c r="D766">
        <v>0.19354838132858276</v>
      </c>
      <c r="E766" t="s">
        <v>2989</v>
      </c>
    </row>
    <row r="767" spans="1:5" x14ac:dyDescent="0.2">
      <c r="A767" t="s">
        <v>2881</v>
      </c>
      <c r="B767" t="s">
        <v>1727</v>
      </c>
      <c r="C767" t="s">
        <v>1</v>
      </c>
      <c r="D767">
        <v>0.24324324727058411</v>
      </c>
      <c r="E767" t="s">
        <v>2989</v>
      </c>
    </row>
    <row r="768" spans="1:5" x14ac:dyDescent="0.2">
      <c r="A768" t="s">
        <v>2882</v>
      </c>
      <c r="B768" t="s">
        <v>968</v>
      </c>
      <c r="C768" t="s">
        <v>0</v>
      </c>
      <c r="D768">
        <v>0.31034481525421143</v>
      </c>
      <c r="E768" t="s">
        <v>2989</v>
      </c>
    </row>
    <row r="769" spans="1:5" x14ac:dyDescent="0.2">
      <c r="A769" t="s">
        <v>2883</v>
      </c>
      <c r="B769" t="s">
        <v>2988</v>
      </c>
      <c r="C769" t="s">
        <v>2988</v>
      </c>
      <c r="D769">
        <v>0</v>
      </c>
      <c r="E769" t="s">
        <v>2987</v>
      </c>
    </row>
    <row r="770" spans="1:5" x14ac:dyDescent="0.2">
      <c r="A770" t="s">
        <v>2884</v>
      </c>
      <c r="B770" t="s">
        <v>156</v>
      </c>
      <c r="C770" t="s">
        <v>0</v>
      </c>
      <c r="D770">
        <v>0.2083333283662796</v>
      </c>
      <c r="E770" t="s">
        <v>2989</v>
      </c>
    </row>
    <row r="771" spans="1:5" x14ac:dyDescent="0.2">
      <c r="A771" t="s">
        <v>2885</v>
      </c>
      <c r="B771" t="s">
        <v>469</v>
      </c>
      <c r="C771" t="s">
        <v>1</v>
      </c>
      <c r="D771">
        <v>0.48571428656578064</v>
      </c>
      <c r="E771" t="s">
        <v>2987</v>
      </c>
    </row>
    <row r="772" spans="1:5" x14ac:dyDescent="0.2">
      <c r="A772" t="s">
        <v>2886</v>
      </c>
      <c r="B772" t="s">
        <v>156</v>
      </c>
      <c r="C772" t="s">
        <v>0</v>
      </c>
      <c r="D772">
        <v>0.40178570151329041</v>
      </c>
      <c r="E772" t="s">
        <v>2987</v>
      </c>
    </row>
    <row r="773" spans="1:5" x14ac:dyDescent="0.2">
      <c r="A773" t="s">
        <v>2887</v>
      </c>
      <c r="B773" t="s">
        <v>475</v>
      </c>
      <c r="C773" t="s">
        <v>1</v>
      </c>
      <c r="D773">
        <v>0.39344263076782227</v>
      </c>
      <c r="E773" t="s">
        <v>2989</v>
      </c>
    </row>
    <row r="774" spans="1:5" x14ac:dyDescent="0.2">
      <c r="A774" t="s">
        <v>2888</v>
      </c>
      <c r="B774" t="s">
        <v>523</v>
      </c>
      <c r="C774" t="s">
        <v>1</v>
      </c>
      <c r="D774">
        <v>0.32727271318435669</v>
      </c>
      <c r="E774" t="s">
        <v>2989</v>
      </c>
    </row>
    <row r="775" spans="1:5" x14ac:dyDescent="0.2">
      <c r="A775" t="s">
        <v>2889</v>
      </c>
      <c r="B775" t="s">
        <v>1808</v>
      </c>
      <c r="C775" t="s">
        <v>1</v>
      </c>
      <c r="D775">
        <v>0.375</v>
      </c>
      <c r="E775" t="s">
        <v>2989</v>
      </c>
    </row>
    <row r="776" spans="1:5" x14ac:dyDescent="0.2">
      <c r="A776" t="s">
        <v>2890</v>
      </c>
      <c r="B776" t="s">
        <v>477</v>
      </c>
      <c r="C776" t="s">
        <v>1</v>
      </c>
      <c r="D776">
        <v>0.32653060555458069</v>
      </c>
      <c r="E776" t="s">
        <v>2989</v>
      </c>
    </row>
    <row r="777" spans="1:5" x14ac:dyDescent="0.2">
      <c r="A777" t="s">
        <v>2891</v>
      </c>
      <c r="B777" t="s">
        <v>546</v>
      </c>
      <c r="C777" t="s">
        <v>0</v>
      </c>
      <c r="D777">
        <v>0.27272728085517883</v>
      </c>
      <c r="E777" t="s">
        <v>2989</v>
      </c>
    </row>
    <row r="778" spans="1:5" x14ac:dyDescent="0.2">
      <c r="A778" t="s">
        <v>2892</v>
      </c>
      <c r="B778" t="s">
        <v>2988</v>
      </c>
      <c r="C778" t="s">
        <v>2988</v>
      </c>
      <c r="D778">
        <v>0</v>
      </c>
      <c r="E778" t="s">
        <v>2987</v>
      </c>
    </row>
    <row r="779" spans="1:5" x14ac:dyDescent="0.2">
      <c r="A779" t="s">
        <v>2893</v>
      </c>
      <c r="B779" t="s">
        <v>2988</v>
      </c>
      <c r="C779" t="s">
        <v>2988</v>
      </c>
      <c r="D779">
        <v>4.3478261679410934E-2</v>
      </c>
      <c r="E779" t="s">
        <v>2987</v>
      </c>
    </row>
    <row r="780" spans="1:5" x14ac:dyDescent="0.2">
      <c r="A780" t="s">
        <v>2894</v>
      </c>
      <c r="B780" t="s">
        <v>2988</v>
      </c>
      <c r="C780" t="s">
        <v>2988</v>
      </c>
      <c r="D780">
        <v>0</v>
      </c>
      <c r="E780" t="s">
        <v>2987</v>
      </c>
    </row>
    <row r="781" spans="1:5" x14ac:dyDescent="0.2">
      <c r="A781" t="s">
        <v>2895</v>
      </c>
      <c r="B781" t="s">
        <v>2988</v>
      </c>
      <c r="C781" t="s">
        <v>2988</v>
      </c>
      <c r="D781">
        <v>0</v>
      </c>
      <c r="E781" t="s">
        <v>2987</v>
      </c>
    </row>
    <row r="782" spans="1:5" x14ac:dyDescent="0.2">
      <c r="A782" t="s">
        <v>2896</v>
      </c>
      <c r="B782" t="s">
        <v>2988</v>
      </c>
      <c r="C782" t="s">
        <v>2988</v>
      </c>
      <c r="D782">
        <v>5.55555559694767E-2</v>
      </c>
      <c r="E782" t="s">
        <v>2987</v>
      </c>
    </row>
    <row r="783" spans="1:5" x14ac:dyDescent="0.2">
      <c r="A783" t="s">
        <v>2897</v>
      </c>
      <c r="B783" t="s">
        <v>2988</v>
      </c>
      <c r="C783" t="s">
        <v>2988</v>
      </c>
      <c r="D783">
        <v>0</v>
      </c>
      <c r="E783" t="s">
        <v>2987</v>
      </c>
    </row>
    <row r="784" spans="1:5" x14ac:dyDescent="0.2">
      <c r="A784" t="s">
        <v>2898</v>
      </c>
      <c r="B784" t="s">
        <v>2988</v>
      </c>
      <c r="C784" t="s">
        <v>2988</v>
      </c>
      <c r="D784">
        <v>0</v>
      </c>
      <c r="E784" t="s">
        <v>2987</v>
      </c>
    </row>
    <row r="785" spans="1:5" x14ac:dyDescent="0.2">
      <c r="A785" t="s">
        <v>2899</v>
      </c>
      <c r="B785" t="s">
        <v>849</v>
      </c>
      <c r="C785" t="s">
        <v>1</v>
      </c>
      <c r="D785">
        <v>0.29787233471870422</v>
      </c>
      <c r="E785" t="s">
        <v>2989</v>
      </c>
    </row>
    <row r="786" spans="1:5" x14ac:dyDescent="0.2">
      <c r="A786" t="s">
        <v>2900</v>
      </c>
      <c r="B786" t="s">
        <v>156</v>
      </c>
      <c r="C786" t="s">
        <v>0</v>
      </c>
      <c r="D786">
        <v>0.40178570151329041</v>
      </c>
      <c r="E786" t="s">
        <v>2987</v>
      </c>
    </row>
    <row r="787" spans="1:5" x14ac:dyDescent="0.2">
      <c r="A787" t="s">
        <v>2901</v>
      </c>
      <c r="B787" t="s">
        <v>1899</v>
      </c>
      <c r="C787" t="s">
        <v>1</v>
      </c>
      <c r="D787">
        <v>0.39344263076782227</v>
      </c>
      <c r="E787" t="s">
        <v>2989</v>
      </c>
    </row>
    <row r="788" spans="1:5" x14ac:dyDescent="0.2">
      <c r="A788" t="s">
        <v>2902</v>
      </c>
      <c r="B788" t="s">
        <v>851</v>
      </c>
      <c r="C788" t="s">
        <v>1</v>
      </c>
      <c r="D788">
        <v>0.375</v>
      </c>
      <c r="E788" t="s">
        <v>2989</v>
      </c>
    </row>
    <row r="789" spans="1:5" x14ac:dyDescent="0.2">
      <c r="A789" t="s">
        <v>2903</v>
      </c>
      <c r="B789" t="s">
        <v>1550</v>
      </c>
      <c r="C789" t="s">
        <v>1</v>
      </c>
      <c r="D789">
        <v>0.39344263076782227</v>
      </c>
      <c r="E789" t="s">
        <v>2989</v>
      </c>
    </row>
    <row r="790" spans="1:5" x14ac:dyDescent="0.2">
      <c r="A790" t="s">
        <v>2904</v>
      </c>
      <c r="B790" t="s">
        <v>1601</v>
      </c>
      <c r="C790" t="s">
        <v>1</v>
      </c>
      <c r="D790">
        <v>0.6428571343421936</v>
      </c>
      <c r="E790" t="s">
        <v>2987</v>
      </c>
    </row>
    <row r="791" spans="1:5" x14ac:dyDescent="0.2">
      <c r="A791" t="s">
        <v>2905</v>
      </c>
      <c r="B791" t="s">
        <v>1602</v>
      </c>
      <c r="C791" t="s">
        <v>1</v>
      </c>
      <c r="D791">
        <v>0.42465752363204956</v>
      </c>
      <c r="E791" t="s">
        <v>2987</v>
      </c>
    </row>
    <row r="792" spans="1:5" x14ac:dyDescent="0.2">
      <c r="A792" t="s">
        <v>2906</v>
      </c>
      <c r="B792" t="s">
        <v>1490</v>
      </c>
      <c r="C792" t="s">
        <v>1</v>
      </c>
      <c r="D792">
        <v>0.12857143580913544</v>
      </c>
      <c r="E792" t="s">
        <v>2989</v>
      </c>
    </row>
    <row r="793" spans="1:5" x14ac:dyDescent="0.2">
      <c r="A793" t="s">
        <v>2907</v>
      </c>
      <c r="B793" t="s">
        <v>420</v>
      </c>
      <c r="C793" t="s">
        <v>0</v>
      </c>
      <c r="D793">
        <v>0.41379311680793762</v>
      </c>
      <c r="E793" t="s">
        <v>2987</v>
      </c>
    </row>
    <row r="794" spans="1:5" x14ac:dyDescent="0.2">
      <c r="A794" t="s">
        <v>2908</v>
      </c>
      <c r="B794" t="s">
        <v>1595</v>
      </c>
      <c r="C794" t="s">
        <v>1</v>
      </c>
      <c r="D794">
        <v>0.32727271318435669</v>
      </c>
      <c r="E794" t="s">
        <v>2989</v>
      </c>
    </row>
    <row r="795" spans="1:5" x14ac:dyDescent="0.2">
      <c r="A795" t="s">
        <v>2909</v>
      </c>
      <c r="B795" t="s">
        <v>1036</v>
      </c>
      <c r="C795" t="s">
        <v>0</v>
      </c>
      <c r="D795">
        <v>0.29411765933036804</v>
      </c>
      <c r="E795" t="s">
        <v>2989</v>
      </c>
    </row>
    <row r="796" spans="1:5" x14ac:dyDescent="0.2">
      <c r="A796" t="s">
        <v>2910</v>
      </c>
      <c r="B796" t="s">
        <v>516</v>
      </c>
      <c r="C796" t="s">
        <v>0</v>
      </c>
      <c r="D796">
        <v>0.31034481525421143</v>
      </c>
      <c r="E796" t="s">
        <v>2989</v>
      </c>
    </row>
    <row r="797" spans="1:5" x14ac:dyDescent="0.2">
      <c r="A797" t="s">
        <v>2911</v>
      </c>
      <c r="B797" t="s">
        <v>937</v>
      </c>
      <c r="C797" t="s">
        <v>1</v>
      </c>
      <c r="D797">
        <v>0.15094339847564697</v>
      </c>
      <c r="E797" t="s">
        <v>2989</v>
      </c>
    </row>
    <row r="798" spans="1:5" x14ac:dyDescent="0.2">
      <c r="A798" t="s">
        <v>2912</v>
      </c>
      <c r="B798" t="s">
        <v>937</v>
      </c>
      <c r="C798" t="s">
        <v>1</v>
      </c>
      <c r="D798">
        <v>0.15384615957736969</v>
      </c>
      <c r="E798" t="s">
        <v>2989</v>
      </c>
    </row>
    <row r="799" spans="1:5" x14ac:dyDescent="0.2">
      <c r="A799" t="s">
        <v>2913</v>
      </c>
      <c r="B799" t="s">
        <v>693</v>
      </c>
      <c r="C799" t="s">
        <v>1</v>
      </c>
      <c r="D799">
        <v>0.22857142984867096</v>
      </c>
      <c r="E799" t="s">
        <v>2989</v>
      </c>
    </row>
    <row r="800" spans="1:5" x14ac:dyDescent="0.2">
      <c r="A800" t="s">
        <v>2914</v>
      </c>
      <c r="B800" t="s">
        <v>2988</v>
      </c>
      <c r="C800" t="s">
        <v>2988</v>
      </c>
      <c r="D800">
        <v>0</v>
      </c>
      <c r="E800" t="s">
        <v>2987</v>
      </c>
    </row>
    <row r="801" spans="1:5" x14ac:dyDescent="0.2">
      <c r="A801" t="s">
        <v>2915</v>
      </c>
      <c r="B801" t="s">
        <v>2988</v>
      </c>
      <c r="C801" t="s">
        <v>2988</v>
      </c>
      <c r="D801">
        <v>0</v>
      </c>
      <c r="E801" t="s">
        <v>2987</v>
      </c>
    </row>
    <row r="802" spans="1:5" x14ac:dyDescent="0.2">
      <c r="A802" t="s">
        <v>2916</v>
      </c>
      <c r="B802" t="s">
        <v>2988</v>
      </c>
      <c r="C802" t="s">
        <v>2988</v>
      </c>
      <c r="D802">
        <v>0</v>
      </c>
      <c r="E802" t="s">
        <v>2987</v>
      </c>
    </row>
    <row r="803" spans="1:5" x14ac:dyDescent="0.2">
      <c r="A803" t="s">
        <v>2917</v>
      </c>
      <c r="B803" t="s">
        <v>1177</v>
      </c>
      <c r="C803" t="s">
        <v>0</v>
      </c>
      <c r="D803">
        <v>0.28571429848670959</v>
      </c>
      <c r="E803" t="s">
        <v>2989</v>
      </c>
    </row>
    <row r="804" spans="1:5" x14ac:dyDescent="0.2">
      <c r="A804" t="s">
        <v>2918</v>
      </c>
      <c r="B804" t="s">
        <v>2988</v>
      </c>
      <c r="C804" t="s">
        <v>2988</v>
      </c>
      <c r="D804">
        <v>0</v>
      </c>
      <c r="E804" t="s">
        <v>2987</v>
      </c>
    </row>
    <row r="805" spans="1:5" x14ac:dyDescent="0.2">
      <c r="A805" t="s">
        <v>2919</v>
      </c>
      <c r="B805" t="s">
        <v>2988</v>
      </c>
      <c r="C805" t="s">
        <v>2988</v>
      </c>
      <c r="D805">
        <v>0</v>
      </c>
      <c r="E805" t="s">
        <v>2987</v>
      </c>
    </row>
    <row r="806" spans="1:5" x14ac:dyDescent="0.2">
      <c r="A806" t="s">
        <v>2920</v>
      </c>
      <c r="B806" t="s">
        <v>2080</v>
      </c>
      <c r="C806" t="s">
        <v>1</v>
      </c>
      <c r="D806">
        <v>0.2222222238779068</v>
      </c>
      <c r="E806" t="s">
        <v>2989</v>
      </c>
    </row>
    <row r="807" spans="1:5" x14ac:dyDescent="0.2">
      <c r="A807" t="s">
        <v>2921</v>
      </c>
      <c r="B807" t="s">
        <v>2988</v>
      </c>
      <c r="C807" t="s">
        <v>2988</v>
      </c>
      <c r="D807">
        <v>0</v>
      </c>
      <c r="E807" t="s">
        <v>2987</v>
      </c>
    </row>
    <row r="808" spans="1:5" x14ac:dyDescent="0.2">
      <c r="A808" t="s">
        <v>2922</v>
      </c>
      <c r="B808" t="s">
        <v>35</v>
      </c>
      <c r="C808" t="s">
        <v>1</v>
      </c>
      <c r="D808">
        <v>0.21951219439506531</v>
      </c>
      <c r="E808" t="s">
        <v>2989</v>
      </c>
    </row>
    <row r="809" spans="1:5" x14ac:dyDescent="0.2">
      <c r="A809" t="s">
        <v>2923</v>
      </c>
      <c r="B809" t="s">
        <v>1933</v>
      </c>
      <c r="C809" t="s">
        <v>1</v>
      </c>
      <c r="D809">
        <v>0.34000000357627869</v>
      </c>
      <c r="E809" t="s">
        <v>2989</v>
      </c>
    </row>
    <row r="810" spans="1:5" x14ac:dyDescent="0.2">
      <c r="A810" t="s">
        <v>2924</v>
      </c>
      <c r="B810" t="s">
        <v>840</v>
      </c>
      <c r="C810" t="s">
        <v>0</v>
      </c>
      <c r="D810">
        <v>0.25</v>
      </c>
      <c r="E810" t="s">
        <v>2989</v>
      </c>
    </row>
    <row r="811" spans="1:5" x14ac:dyDescent="0.2">
      <c r="A811" t="s">
        <v>2925</v>
      </c>
      <c r="B811" t="s">
        <v>422</v>
      </c>
      <c r="C811" t="s">
        <v>0</v>
      </c>
      <c r="D811">
        <v>0.31578946113586426</v>
      </c>
      <c r="E811" t="s">
        <v>2989</v>
      </c>
    </row>
    <row r="812" spans="1:5" x14ac:dyDescent="0.2">
      <c r="A812" t="s">
        <v>2926</v>
      </c>
      <c r="B812" t="s">
        <v>309</v>
      </c>
      <c r="C812" t="s">
        <v>1</v>
      </c>
      <c r="D812">
        <v>0.27142858505249023</v>
      </c>
      <c r="E812" t="s">
        <v>2989</v>
      </c>
    </row>
    <row r="813" spans="1:5" x14ac:dyDescent="0.2">
      <c r="A813" t="s">
        <v>2927</v>
      </c>
      <c r="B813" t="s">
        <v>2988</v>
      </c>
      <c r="C813" t="s">
        <v>2988</v>
      </c>
      <c r="D813">
        <v>0</v>
      </c>
      <c r="E813" t="s">
        <v>2987</v>
      </c>
    </row>
    <row r="814" spans="1:5" x14ac:dyDescent="0.2">
      <c r="A814" t="s">
        <v>2928</v>
      </c>
      <c r="B814" t="s">
        <v>2988</v>
      </c>
      <c r="C814" t="s">
        <v>2988</v>
      </c>
      <c r="D814">
        <v>0</v>
      </c>
      <c r="E814" t="s">
        <v>2987</v>
      </c>
    </row>
    <row r="815" spans="1:5" x14ac:dyDescent="0.2">
      <c r="A815" t="s">
        <v>2929</v>
      </c>
      <c r="B815" t="s">
        <v>2988</v>
      </c>
      <c r="C815" t="s">
        <v>2988</v>
      </c>
      <c r="D815">
        <v>0</v>
      </c>
      <c r="E815" t="s">
        <v>2987</v>
      </c>
    </row>
    <row r="816" spans="1:5" x14ac:dyDescent="0.2">
      <c r="A816" t="s">
        <v>2930</v>
      </c>
      <c r="B816" t="s">
        <v>2988</v>
      </c>
      <c r="C816" t="s">
        <v>2988</v>
      </c>
      <c r="D816">
        <v>0</v>
      </c>
      <c r="E816" t="s">
        <v>2987</v>
      </c>
    </row>
    <row r="817" spans="1:5" x14ac:dyDescent="0.2">
      <c r="A817" t="s">
        <v>2931</v>
      </c>
      <c r="B817" t="s">
        <v>2988</v>
      </c>
      <c r="C817" t="s">
        <v>2988</v>
      </c>
      <c r="D817">
        <v>0</v>
      </c>
      <c r="E817" t="s">
        <v>2987</v>
      </c>
    </row>
    <row r="818" spans="1:5" x14ac:dyDescent="0.2">
      <c r="A818" t="s">
        <v>2932</v>
      </c>
      <c r="B818" t="s">
        <v>2988</v>
      </c>
      <c r="C818" t="s">
        <v>2988</v>
      </c>
      <c r="D818">
        <v>0</v>
      </c>
      <c r="E818" t="s">
        <v>2987</v>
      </c>
    </row>
    <row r="819" spans="1:5" x14ac:dyDescent="0.2">
      <c r="A819" t="s">
        <v>2933</v>
      </c>
      <c r="B819" t="s">
        <v>1451</v>
      </c>
      <c r="C819" t="s">
        <v>1</v>
      </c>
      <c r="D819">
        <v>0.26086956262588501</v>
      </c>
      <c r="E819" t="s">
        <v>2989</v>
      </c>
    </row>
    <row r="820" spans="1:5" x14ac:dyDescent="0.2">
      <c r="A820" t="s">
        <v>2934</v>
      </c>
      <c r="B820" t="s">
        <v>494</v>
      </c>
      <c r="C820" t="s">
        <v>0</v>
      </c>
      <c r="D820">
        <v>0.37142857909202576</v>
      </c>
      <c r="E820" t="s">
        <v>2989</v>
      </c>
    </row>
    <row r="821" spans="1:5" x14ac:dyDescent="0.2">
      <c r="A821" t="s">
        <v>2935</v>
      </c>
      <c r="B821" t="s">
        <v>2988</v>
      </c>
      <c r="C821" t="s">
        <v>2988</v>
      </c>
      <c r="D821">
        <v>0</v>
      </c>
      <c r="E821" t="s">
        <v>2987</v>
      </c>
    </row>
    <row r="822" spans="1:5" x14ac:dyDescent="0.2">
      <c r="A822" t="s">
        <v>2936</v>
      </c>
      <c r="B822" t="s">
        <v>1686</v>
      </c>
      <c r="C822" t="s">
        <v>1</v>
      </c>
      <c r="D822">
        <v>0.25454545021057129</v>
      </c>
      <c r="E822" t="s">
        <v>2989</v>
      </c>
    </row>
    <row r="823" spans="1:5" x14ac:dyDescent="0.2">
      <c r="A823" t="s">
        <v>2937</v>
      </c>
      <c r="B823" t="s">
        <v>2988</v>
      </c>
      <c r="C823" t="s">
        <v>2988</v>
      </c>
      <c r="D823">
        <v>0</v>
      </c>
      <c r="E823" t="s">
        <v>2987</v>
      </c>
    </row>
    <row r="824" spans="1:5" x14ac:dyDescent="0.2">
      <c r="A824" t="s">
        <v>2938</v>
      </c>
      <c r="B824" t="s">
        <v>590</v>
      </c>
      <c r="C824" t="s">
        <v>0</v>
      </c>
      <c r="D824">
        <v>0.36000001430511475</v>
      </c>
      <c r="E824" t="s">
        <v>2989</v>
      </c>
    </row>
    <row r="825" spans="1:5" x14ac:dyDescent="0.2">
      <c r="A825" t="s">
        <v>2939</v>
      </c>
      <c r="B825" t="s">
        <v>1042</v>
      </c>
      <c r="C825" t="s">
        <v>0</v>
      </c>
      <c r="D825">
        <v>0.19565217196941376</v>
      </c>
      <c r="E825" t="s">
        <v>2989</v>
      </c>
    </row>
    <row r="826" spans="1:5" x14ac:dyDescent="0.2">
      <c r="A826" t="s">
        <v>2940</v>
      </c>
      <c r="B826" t="s">
        <v>1263</v>
      </c>
      <c r="C826" t="s">
        <v>1</v>
      </c>
      <c r="D826">
        <v>0.4337349534034729</v>
      </c>
      <c r="E826" t="s">
        <v>2987</v>
      </c>
    </row>
    <row r="827" spans="1:5" x14ac:dyDescent="0.2">
      <c r="A827" t="s">
        <v>2941</v>
      </c>
      <c r="B827" t="s">
        <v>424</v>
      </c>
      <c r="C827" t="s">
        <v>0</v>
      </c>
      <c r="D827">
        <v>0.28070175647735596</v>
      </c>
      <c r="E827" t="s">
        <v>2989</v>
      </c>
    </row>
    <row r="828" spans="1:5" x14ac:dyDescent="0.2">
      <c r="A828" t="s">
        <v>2942</v>
      </c>
      <c r="B828" t="s">
        <v>2988</v>
      </c>
      <c r="C828" t="s">
        <v>2988</v>
      </c>
      <c r="D828">
        <v>0</v>
      </c>
      <c r="E828" t="s">
        <v>2987</v>
      </c>
    </row>
    <row r="829" spans="1:5" x14ac:dyDescent="0.2">
      <c r="A829" t="s">
        <v>2943</v>
      </c>
      <c r="B829" t="s">
        <v>1654</v>
      </c>
      <c r="C829" t="s">
        <v>1</v>
      </c>
      <c r="D829">
        <v>0.19512194395065308</v>
      </c>
      <c r="E829" t="s">
        <v>2989</v>
      </c>
    </row>
    <row r="830" spans="1:5" x14ac:dyDescent="0.2">
      <c r="A830" t="s">
        <v>2944</v>
      </c>
      <c r="B830" t="s">
        <v>1915</v>
      </c>
      <c r="C830" t="s">
        <v>1</v>
      </c>
      <c r="D830">
        <v>0.27272728085517883</v>
      </c>
      <c r="E830" t="s">
        <v>2989</v>
      </c>
    </row>
    <row r="831" spans="1:5" x14ac:dyDescent="0.2">
      <c r="A831" t="s">
        <v>2945</v>
      </c>
      <c r="B831" t="s">
        <v>1541</v>
      </c>
      <c r="C831" t="s">
        <v>0</v>
      </c>
      <c r="D831">
        <v>0.17543859779834747</v>
      </c>
      <c r="E831" t="s">
        <v>2989</v>
      </c>
    </row>
    <row r="832" spans="1:5" x14ac:dyDescent="0.2">
      <c r="A832" t="s">
        <v>2946</v>
      </c>
      <c r="B832" t="s">
        <v>198</v>
      </c>
      <c r="C832" t="s">
        <v>0</v>
      </c>
      <c r="D832">
        <v>0.11764705926179886</v>
      </c>
      <c r="E832" t="s">
        <v>2989</v>
      </c>
    </row>
    <row r="833" spans="1:5" x14ac:dyDescent="0.2">
      <c r="A833" t="s">
        <v>2947</v>
      </c>
      <c r="B833" t="s">
        <v>2988</v>
      </c>
      <c r="C833" t="s">
        <v>2988</v>
      </c>
      <c r="D833">
        <v>0</v>
      </c>
      <c r="E833" t="s">
        <v>2987</v>
      </c>
    </row>
    <row r="834" spans="1:5" x14ac:dyDescent="0.2">
      <c r="A834" t="s">
        <v>2948</v>
      </c>
      <c r="B834" t="s">
        <v>2988</v>
      </c>
      <c r="C834" t="s">
        <v>2988</v>
      </c>
      <c r="D834">
        <v>0</v>
      </c>
      <c r="E834" t="s">
        <v>2987</v>
      </c>
    </row>
    <row r="835" spans="1:5" x14ac:dyDescent="0.2">
      <c r="A835" t="s">
        <v>2949</v>
      </c>
      <c r="B835" t="s">
        <v>2988</v>
      </c>
      <c r="C835" t="s">
        <v>2988</v>
      </c>
      <c r="D835">
        <v>0</v>
      </c>
      <c r="E835" t="s">
        <v>2987</v>
      </c>
    </row>
    <row r="836" spans="1:5" x14ac:dyDescent="0.2">
      <c r="A836" t="s">
        <v>2950</v>
      </c>
      <c r="B836" t="s">
        <v>1912</v>
      </c>
      <c r="C836" t="s">
        <v>1</v>
      </c>
      <c r="D836">
        <v>0.2916666567325592</v>
      </c>
      <c r="E836" t="s">
        <v>2989</v>
      </c>
    </row>
    <row r="837" spans="1:5" x14ac:dyDescent="0.2">
      <c r="A837" t="s">
        <v>2951</v>
      </c>
      <c r="B837" t="s">
        <v>1453</v>
      </c>
      <c r="C837" t="s">
        <v>1</v>
      </c>
      <c r="D837">
        <v>0.25352111458778381</v>
      </c>
      <c r="E837" t="s">
        <v>2989</v>
      </c>
    </row>
    <row r="838" spans="1:5" x14ac:dyDescent="0.2">
      <c r="A838" t="s">
        <v>2952</v>
      </c>
      <c r="B838" t="s">
        <v>2988</v>
      </c>
      <c r="C838" t="s">
        <v>2988</v>
      </c>
      <c r="D838">
        <v>8.4033617749810219E-3</v>
      </c>
      <c r="E838" t="s">
        <v>2987</v>
      </c>
    </row>
    <row r="839" spans="1:5" x14ac:dyDescent="0.2">
      <c r="A839" t="s">
        <v>2953</v>
      </c>
      <c r="B839" t="s">
        <v>1455</v>
      </c>
      <c r="C839" t="s">
        <v>1</v>
      </c>
      <c r="D839">
        <v>0.25352111458778381</v>
      </c>
      <c r="E839" t="s">
        <v>2989</v>
      </c>
    </row>
    <row r="840" spans="1:5" x14ac:dyDescent="0.2">
      <c r="A840" t="s">
        <v>2954</v>
      </c>
      <c r="B840" t="s">
        <v>1101</v>
      </c>
      <c r="C840" t="s">
        <v>0</v>
      </c>
      <c r="D840">
        <v>0.15384615957736969</v>
      </c>
      <c r="E840" t="s">
        <v>2989</v>
      </c>
    </row>
    <row r="841" spans="1:5" x14ac:dyDescent="0.2">
      <c r="A841" t="s">
        <v>2955</v>
      </c>
      <c r="B841" t="s">
        <v>2988</v>
      </c>
      <c r="C841" t="s">
        <v>2988</v>
      </c>
      <c r="D841">
        <v>0</v>
      </c>
      <c r="E841" t="s">
        <v>2987</v>
      </c>
    </row>
    <row r="842" spans="1:5" x14ac:dyDescent="0.2">
      <c r="A842" t="s">
        <v>2956</v>
      </c>
      <c r="B842" t="s">
        <v>2022</v>
      </c>
      <c r="C842" t="s">
        <v>1</v>
      </c>
      <c r="D842">
        <v>0.33734938502311707</v>
      </c>
      <c r="E842" t="s">
        <v>2989</v>
      </c>
    </row>
    <row r="843" spans="1:5" x14ac:dyDescent="0.2">
      <c r="A843" t="s">
        <v>2957</v>
      </c>
      <c r="B843" t="s">
        <v>2022</v>
      </c>
      <c r="C843" t="s">
        <v>1</v>
      </c>
      <c r="D843">
        <v>0.35443037748336792</v>
      </c>
      <c r="E843" t="s">
        <v>2989</v>
      </c>
    </row>
    <row r="844" spans="1:5" x14ac:dyDescent="0.2">
      <c r="A844" t="s">
        <v>2958</v>
      </c>
      <c r="B844" t="s">
        <v>1334</v>
      </c>
      <c r="C844" t="s">
        <v>1</v>
      </c>
      <c r="D844">
        <v>0.23529411852359772</v>
      </c>
      <c r="E844" t="s">
        <v>2989</v>
      </c>
    </row>
    <row r="845" spans="1:5" x14ac:dyDescent="0.2">
      <c r="A845" t="s">
        <v>2959</v>
      </c>
      <c r="B845" t="s">
        <v>663</v>
      </c>
      <c r="C845" t="s">
        <v>1</v>
      </c>
      <c r="D845">
        <v>0.39344263076782227</v>
      </c>
      <c r="E845" t="s">
        <v>2989</v>
      </c>
    </row>
    <row r="846" spans="1:5" x14ac:dyDescent="0.2">
      <c r="A846" t="s">
        <v>2960</v>
      </c>
      <c r="B846" t="s">
        <v>674</v>
      </c>
      <c r="C846" t="s">
        <v>0</v>
      </c>
      <c r="D846">
        <v>0.18518517911434174</v>
      </c>
      <c r="E846" t="s">
        <v>2989</v>
      </c>
    </row>
    <row r="847" spans="1:5" x14ac:dyDescent="0.2">
      <c r="A847" t="s">
        <v>2961</v>
      </c>
      <c r="B847" t="s">
        <v>434</v>
      </c>
      <c r="C847" t="s">
        <v>0</v>
      </c>
      <c r="D847">
        <v>0.3333333432674408</v>
      </c>
      <c r="E847" t="s">
        <v>2989</v>
      </c>
    </row>
    <row r="848" spans="1:5" x14ac:dyDescent="0.2">
      <c r="A848" t="s">
        <v>2962</v>
      </c>
      <c r="B848" t="s">
        <v>1972</v>
      </c>
      <c r="C848" t="s">
        <v>1</v>
      </c>
      <c r="D848">
        <v>0.3333333432674408</v>
      </c>
      <c r="E848" t="s">
        <v>2989</v>
      </c>
    </row>
    <row r="849" spans="1:5" x14ac:dyDescent="0.2">
      <c r="A849" t="s">
        <v>2963</v>
      </c>
      <c r="B849" t="s">
        <v>1801</v>
      </c>
      <c r="C849" t="s">
        <v>1</v>
      </c>
      <c r="D849">
        <v>0.36734694242477417</v>
      </c>
      <c r="E849" t="s">
        <v>2989</v>
      </c>
    </row>
    <row r="850" spans="1:5" x14ac:dyDescent="0.2">
      <c r="A850" t="s">
        <v>2964</v>
      </c>
      <c r="B850" t="s">
        <v>2988</v>
      </c>
      <c r="C850" t="s">
        <v>2988</v>
      </c>
      <c r="D850">
        <v>0</v>
      </c>
      <c r="E850" t="s">
        <v>2987</v>
      </c>
    </row>
    <row r="851" spans="1:5" x14ac:dyDescent="0.2">
      <c r="A851" t="s">
        <v>2965</v>
      </c>
      <c r="B851" t="s">
        <v>1293</v>
      </c>
      <c r="C851" t="s">
        <v>0</v>
      </c>
      <c r="D851">
        <v>0.4117647111415863</v>
      </c>
      <c r="E851" t="s">
        <v>2987</v>
      </c>
    </row>
    <row r="852" spans="1:5" x14ac:dyDescent="0.2">
      <c r="A852" t="s">
        <v>2966</v>
      </c>
      <c r="B852" t="s">
        <v>784</v>
      </c>
      <c r="C852" t="s">
        <v>0</v>
      </c>
      <c r="D852">
        <v>0.31818181276321411</v>
      </c>
      <c r="E852" t="s">
        <v>2989</v>
      </c>
    </row>
    <row r="853" spans="1:5" x14ac:dyDescent="0.2">
      <c r="A853" t="s">
        <v>2967</v>
      </c>
      <c r="B853" t="s">
        <v>2988</v>
      </c>
      <c r="C853" t="s">
        <v>2988</v>
      </c>
      <c r="D853">
        <v>0</v>
      </c>
      <c r="E853" t="s">
        <v>2987</v>
      </c>
    </row>
    <row r="854" spans="1:5" x14ac:dyDescent="0.2">
      <c r="A854" t="s">
        <v>2968</v>
      </c>
      <c r="B854" t="s">
        <v>518</v>
      </c>
      <c r="C854" t="s">
        <v>0</v>
      </c>
      <c r="D854">
        <v>1</v>
      </c>
      <c r="E854" t="s">
        <v>2987</v>
      </c>
    </row>
    <row r="855" spans="1:5" x14ac:dyDescent="0.2">
      <c r="A855" t="s">
        <v>2969</v>
      </c>
      <c r="B855" t="s">
        <v>2988</v>
      </c>
      <c r="C855" t="s">
        <v>2988</v>
      </c>
      <c r="D855">
        <v>0</v>
      </c>
      <c r="E855" t="s">
        <v>2987</v>
      </c>
    </row>
    <row r="856" spans="1:5" x14ac:dyDescent="0.2">
      <c r="A856" t="s">
        <v>2970</v>
      </c>
      <c r="B856" t="s">
        <v>2988</v>
      </c>
      <c r="C856" t="s">
        <v>2988</v>
      </c>
      <c r="D856">
        <v>0</v>
      </c>
      <c r="E856" t="s">
        <v>2987</v>
      </c>
    </row>
    <row r="857" spans="1:5" x14ac:dyDescent="0.2">
      <c r="A857" t="s">
        <v>2971</v>
      </c>
      <c r="B857" t="s">
        <v>1988</v>
      </c>
      <c r="C857" t="s">
        <v>1</v>
      </c>
      <c r="D857">
        <v>0.80000001192092896</v>
      </c>
      <c r="E857" t="s">
        <v>2987</v>
      </c>
    </row>
    <row r="858" spans="1:5" x14ac:dyDescent="0.2">
      <c r="A858" t="s">
        <v>2972</v>
      </c>
      <c r="B858" t="s">
        <v>1988</v>
      </c>
      <c r="C858" t="s">
        <v>1</v>
      </c>
      <c r="D858">
        <v>0.77777779102325439</v>
      </c>
      <c r="E858" t="s">
        <v>2987</v>
      </c>
    </row>
    <row r="859" spans="1:5" x14ac:dyDescent="0.2">
      <c r="A859" t="s">
        <v>2973</v>
      </c>
      <c r="B859" t="s">
        <v>236</v>
      </c>
      <c r="C859" t="s">
        <v>0</v>
      </c>
      <c r="D859">
        <v>0.62068963050842285</v>
      </c>
      <c r="E859" t="s">
        <v>2987</v>
      </c>
    </row>
    <row r="860" spans="1:5" x14ac:dyDescent="0.2">
      <c r="A860" t="s">
        <v>2974</v>
      </c>
      <c r="B860" t="s">
        <v>1110</v>
      </c>
      <c r="C860" t="s">
        <v>1</v>
      </c>
      <c r="D860">
        <v>0.17592592537403107</v>
      </c>
      <c r="E860" t="s">
        <v>2989</v>
      </c>
    </row>
    <row r="861" spans="1:5" x14ac:dyDescent="0.2">
      <c r="A861" t="s">
        <v>2975</v>
      </c>
      <c r="B861" t="s">
        <v>1110</v>
      </c>
      <c r="C861" t="s">
        <v>1</v>
      </c>
      <c r="D861">
        <v>0.17307692766189575</v>
      </c>
      <c r="E861" t="s">
        <v>2989</v>
      </c>
    </row>
    <row r="862" spans="1:5" x14ac:dyDescent="0.2">
      <c r="A862" t="s">
        <v>2976</v>
      </c>
      <c r="B862" t="s">
        <v>240</v>
      </c>
      <c r="C862" t="s">
        <v>0</v>
      </c>
      <c r="D862">
        <v>0.32653060555458069</v>
      </c>
      <c r="E862" t="s">
        <v>2989</v>
      </c>
    </row>
    <row r="863" spans="1:5" x14ac:dyDescent="0.2">
      <c r="A863" t="s">
        <v>2977</v>
      </c>
      <c r="B863" t="s">
        <v>529</v>
      </c>
      <c r="C863" t="s">
        <v>1</v>
      </c>
      <c r="D863">
        <v>0.39344263076782227</v>
      </c>
      <c r="E863" t="s">
        <v>2989</v>
      </c>
    </row>
    <row r="864" spans="1:5" x14ac:dyDescent="0.2">
      <c r="A864" t="s">
        <v>2978</v>
      </c>
      <c r="B864" t="s">
        <v>2988</v>
      </c>
      <c r="C864" t="s">
        <v>2988</v>
      </c>
      <c r="D864">
        <v>8.3333335816860199E-2</v>
      </c>
      <c r="E864" t="s">
        <v>2987</v>
      </c>
    </row>
    <row r="865" spans="1:5" x14ac:dyDescent="0.2">
      <c r="A865" t="s">
        <v>2979</v>
      </c>
      <c r="B865" t="s">
        <v>949</v>
      </c>
      <c r="C865" t="s">
        <v>1</v>
      </c>
      <c r="D865">
        <v>0.32727271318435669</v>
      </c>
      <c r="E865" t="s">
        <v>2989</v>
      </c>
    </row>
    <row r="866" spans="1:5" x14ac:dyDescent="0.2">
      <c r="A866" t="s">
        <v>2980</v>
      </c>
      <c r="B866" t="s">
        <v>1007</v>
      </c>
      <c r="C866" t="s">
        <v>1</v>
      </c>
      <c r="D866">
        <v>0.53932583332061768</v>
      </c>
      <c r="E866" t="s">
        <v>2987</v>
      </c>
    </row>
    <row r="867" spans="1:5" x14ac:dyDescent="0.2">
      <c r="A867" t="s">
        <v>2981</v>
      </c>
      <c r="B867" t="s">
        <v>951</v>
      </c>
      <c r="C867" t="s">
        <v>1</v>
      </c>
      <c r="D867">
        <v>0.62962961196899414</v>
      </c>
      <c r="E867" t="s">
        <v>2987</v>
      </c>
    </row>
  </sheetData>
  <autoFilter ref="A1:E1" xr:uid="{0FBB35C2-9C61-5B4A-9E2F-CB214704BE47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A98AB-E3ED-0943-A1E9-B205EF12EFFB}">
  <sheetPr codeName="Sheet7"/>
  <dimension ref="A1:E1"/>
  <sheetViews>
    <sheetView zoomScale="200" zoomScaleNormal="200" workbookViewId="0">
      <selection activeCell="E2" sqref="E2"/>
    </sheetView>
  </sheetViews>
  <sheetFormatPr baseColWidth="10" defaultRowHeight="16" x14ac:dyDescent="0.2"/>
  <sheetData>
    <row r="1" spans="1:5" x14ac:dyDescent="0.2">
      <c r="A1" t="s">
        <v>2991</v>
      </c>
      <c r="B1" t="s">
        <v>2992</v>
      </c>
      <c r="C1" t="s">
        <v>2993</v>
      </c>
      <c r="D1" t="s">
        <v>2983</v>
      </c>
      <c r="E1" t="s">
        <v>2994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AC412-D7CA-6E4C-8BA3-E32248751468}">
  <sheetPr codeName="Sheet5"/>
  <dimension ref="A1:H2157"/>
  <sheetViews>
    <sheetView topLeftCell="D1" zoomScale="140" zoomScaleNormal="140" workbookViewId="0">
      <selection activeCell="H2" sqref="H2:H867"/>
    </sheetView>
  </sheetViews>
  <sheetFormatPr baseColWidth="10" defaultRowHeight="16" x14ac:dyDescent="0.2"/>
  <cols>
    <col min="1" max="1" width="91.33203125" bestFit="1" customWidth="1"/>
    <col min="2" max="2" width="12.6640625" bestFit="1" customWidth="1"/>
    <col min="4" max="4" width="60.33203125" bestFit="1" customWidth="1"/>
    <col min="5" max="5" width="57.5" bestFit="1" customWidth="1"/>
    <col min="6" max="6" width="12.6640625" bestFit="1" customWidth="1"/>
    <col min="7" max="7" width="10.6640625" bestFit="1" customWidth="1"/>
    <col min="8" max="8" width="12" bestFit="1" customWidth="1"/>
  </cols>
  <sheetData>
    <row r="1" spans="1:8" x14ac:dyDescent="0.2">
      <c r="A1" t="s">
        <v>0</v>
      </c>
      <c r="B1" t="s">
        <v>2983</v>
      </c>
      <c r="D1" t="s">
        <v>2982</v>
      </c>
      <c r="E1" t="s">
        <v>2984</v>
      </c>
      <c r="F1" t="s">
        <v>2985</v>
      </c>
      <c r="G1" s="1" t="s">
        <v>2986</v>
      </c>
      <c r="H1" t="s">
        <v>2990</v>
      </c>
    </row>
    <row r="2" spans="1:8" x14ac:dyDescent="0.2">
      <c r="A2" t="s">
        <v>2</v>
      </c>
      <c r="B2" t="s">
        <v>0</v>
      </c>
      <c r="D2" t="s">
        <v>2118</v>
      </c>
      <c r="E2" t="str" cm="1">
        <f t="array" ref="E2">IF(COUNTIF(A:A, "*" &amp; LEFT(D2, FIND(" ", D2 &amp; " ") - 1) &amp; "*") &gt; 0,INDEX(A:A,FuzzyVLookup(D2,A:A,0,,,1)),"Non-PDL")</f>
        <v>CABLIVI</v>
      </c>
      <c r="F2" t="str">
        <f>_xlfn.IFNA(_xlfn.XLOOKUP(E2,A:A,B:B),"Non-PDL")</f>
        <v>Non-Preferred</v>
      </c>
      <c r="G2" s="1" cm="1">
        <f t="array" ref="G2">FuzzyPercent(D2,E2,1)</f>
        <v>0.57142859697341919</v>
      </c>
      <c r="H2" t="str">
        <f>IF(F2="Non-PDL","",IF(G2&lt;0.4,"CHECK",""))</f>
        <v/>
      </c>
    </row>
    <row r="3" spans="1:8" x14ac:dyDescent="0.2">
      <c r="A3" t="s">
        <v>4</v>
      </c>
      <c r="B3" t="s">
        <v>0</v>
      </c>
      <c r="D3" t="s">
        <v>2119</v>
      </c>
      <c r="E3" t="str" cm="1">
        <f t="array" ref="E3">IF(COUNTIF(A:A, "*" &amp; LEFT(D3, FIND(" ", D3 &amp; " ") - 1) &amp; "*") &gt; 0,INDEX(A:A,FuzzyVLookup(D3,A:A,0,,,1)),"Non-PDL")</f>
        <v>ABILIFY MYCITE (aripiprazole)</v>
      </c>
      <c r="F3" t="str">
        <f t="shared" ref="F3:F66" si="0">_xlfn.IFNA(_xlfn.XLOOKUP(E3,A:A,B:B),"Non-PDL")</f>
        <v>Non-Preferred</v>
      </c>
      <c r="G3" s="1" cm="1">
        <f t="array" ref="G3">FuzzyPercent(D3,E3,1)</f>
        <v>0.65116280317306519</v>
      </c>
      <c r="H3" t="str">
        <f t="shared" ref="H3:H66" si="1">IF(F3="Non-PDL","",IF(G3&lt;0.4,"CHECK",""))</f>
        <v/>
      </c>
    </row>
    <row r="4" spans="1:8" x14ac:dyDescent="0.2">
      <c r="A4" t="s">
        <v>6</v>
      </c>
      <c r="B4" t="s">
        <v>0</v>
      </c>
      <c r="D4" t="s">
        <v>2120</v>
      </c>
      <c r="E4" t="str" cm="1">
        <f t="array" ref="E4">IF(COUNTIF(A:A, "*" &amp; LEFT(D4, FIND(" ", D4 &amp; " ") - 1) &amp; "*") &gt; 0,INDEX(A:A,FuzzyVLookup(D4,A:A,0,,,1)),"Non-PDL")</f>
        <v>ABILIFY ASIMTUFII (aripiprazole)</v>
      </c>
      <c r="F4" t="str">
        <f t="shared" si="0"/>
        <v>Preferred</v>
      </c>
      <c r="G4" s="1" cm="1">
        <f t="array" ref="G4">FuzzyPercent(D4,E4,1)</f>
        <v>0.69387757778167725</v>
      </c>
      <c r="H4" t="str">
        <f t="shared" si="1"/>
        <v/>
      </c>
    </row>
    <row r="5" spans="1:8" x14ac:dyDescent="0.2">
      <c r="A5" t="s">
        <v>8</v>
      </c>
      <c r="B5" t="s">
        <v>0</v>
      </c>
      <c r="D5" t="s">
        <v>2121</v>
      </c>
      <c r="E5" t="str" cm="1">
        <f t="array" ref="E5">IF(COUNTIF(A:A, "*" &amp; LEFT(D5, FIND(" ", D5 &amp; " ") - 1) &amp; "*") &gt; 0,INDEX(A:A,FuzzyVLookup(D5,A:A,0,,,1)),"Non-PDL")</f>
        <v>ABILIFY MAINTENA (aripiprazole)</v>
      </c>
      <c r="F5" t="str">
        <f t="shared" si="0"/>
        <v>Preferred</v>
      </c>
      <c r="G5" s="1" cm="1">
        <f t="array" ref="G5">FuzzyPercent(D5,E5,1)</f>
        <v>0.6808510422706604</v>
      </c>
      <c r="H5" t="str">
        <f t="shared" si="1"/>
        <v/>
      </c>
    </row>
    <row r="6" spans="1:8" x14ac:dyDescent="0.2">
      <c r="A6" t="s">
        <v>10</v>
      </c>
      <c r="B6" t="s">
        <v>0</v>
      </c>
      <c r="D6" t="s">
        <v>2122</v>
      </c>
      <c r="E6" t="str" cm="1">
        <f t="array" ref="E6">IF(COUNTIF(A:A, "*" &amp; LEFT(D6, FIND(" ", D6 &amp; " ") - 1) &amp; "*") &gt; 0,INDEX(A:A,FuzzyVLookup(D6,A:A,0,,,1)),"Non-PDL")</f>
        <v>Non-PDL</v>
      </c>
      <c r="F6" t="str">
        <f t="shared" si="0"/>
        <v>Non-PDL</v>
      </c>
      <c r="G6" s="1" cm="1">
        <f t="array" ref="G6">FuzzyPercent(D6,E6,1)</f>
        <v>0.125</v>
      </c>
      <c r="H6" t="str">
        <f t="shared" si="1"/>
        <v/>
      </c>
    </row>
    <row r="7" spans="1:8" x14ac:dyDescent="0.2">
      <c r="A7" t="s">
        <v>12</v>
      </c>
      <c r="B7" t="s">
        <v>0</v>
      </c>
      <c r="D7" t="s">
        <v>2123</v>
      </c>
      <c r="E7" t="str" cm="1">
        <f t="array" ref="E7">IF(COUNTIF(A:A, "*" &amp; LEFT(D7, FIND(" ", D7 &amp; " ") - 1) &amp; "*") &gt; 0,INDEX(A:A,FuzzyVLookup(D7,A:A,0,,,1)),"Non-PDL")</f>
        <v>Non-PDL</v>
      </c>
      <c r="F7" t="str">
        <f t="shared" si="0"/>
        <v>Non-PDL</v>
      </c>
      <c r="G7" s="1" cm="1">
        <f t="array" ref="G7">FuzzyPercent(D7,E7,1)</f>
        <v>0.1428571492433548</v>
      </c>
      <c r="H7" t="str">
        <f t="shared" si="1"/>
        <v/>
      </c>
    </row>
    <row r="8" spans="1:8" x14ac:dyDescent="0.2">
      <c r="A8" t="s">
        <v>14</v>
      </c>
      <c r="B8" t="s">
        <v>0</v>
      </c>
      <c r="D8" t="s">
        <v>2124</v>
      </c>
      <c r="E8" t="str" cm="1">
        <f t="array" ref="E8">IF(COUNTIF(A:A, "*" &amp; LEFT(D8, FIND(" ", D8 &amp; " ") - 1) &amp; "*") &gt; 0,INDEX(A:A,FuzzyVLookup(D8,A:A,0,,,1)),"Non-PDL")</f>
        <v>Non-PDL</v>
      </c>
      <c r="F8" t="str">
        <f t="shared" si="0"/>
        <v>Non-PDL</v>
      </c>
      <c r="G8" s="1" cm="1">
        <f t="array" ref="G8">FuzzyPercent(D8,E8,1)</f>
        <v>0</v>
      </c>
      <c r="H8" t="str">
        <f t="shared" si="1"/>
        <v/>
      </c>
    </row>
    <row r="9" spans="1:8" x14ac:dyDescent="0.2">
      <c r="A9" t="s">
        <v>16</v>
      </c>
      <c r="B9" t="s">
        <v>0</v>
      </c>
      <c r="D9" t="s">
        <v>2125</v>
      </c>
      <c r="E9" t="str" cm="1">
        <f t="array" ref="E9">IF(COUNTIF(A:A, "*" &amp; LEFT(D9, FIND(" ", D9 &amp; " ") - 1) &amp; "*") &gt; 0,INDEX(A:A,FuzzyVLookup(D9,A:A,0,,,1)),"Non-PDL")</f>
        <v>Non-PDL</v>
      </c>
      <c r="F9" t="str">
        <f t="shared" si="0"/>
        <v>Non-PDL</v>
      </c>
      <c r="G9" s="1" cm="1">
        <f t="array" ref="G9">FuzzyPercent(D9,E9,1)</f>
        <v>0</v>
      </c>
      <c r="H9" t="str">
        <f t="shared" si="1"/>
        <v/>
      </c>
    </row>
    <row r="10" spans="1:8" x14ac:dyDescent="0.2">
      <c r="A10" t="s">
        <v>18</v>
      </c>
      <c r="B10" t="s">
        <v>0</v>
      </c>
      <c r="D10" t="s">
        <v>2126</v>
      </c>
      <c r="E10" t="str" cm="1">
        <f t="array" ref="E10">IF(COUNTIF(A:A, "*" &amp; LEFT(D10, FIND(" ", D10 &amp; " ") - 1) &amp; "*") &gt; 0,INDEX(A:A,FuzzyVLookup(D10,A:A,0,,,1)),"Non-PDL")</f>
        <v>ADYNOVATE</v>
      </c>
      <c r="F10" t="str">
        <f t="shared" si="0"/>
        <v>Non-Preferred</v>
      </c>
      <c r="G10" s="1" cm="1">
        <f t="array" ref="G10">FuzzyPercent(D10,E10,1)</f>
        <v>0.4375</v>
      </c>
      <c r="H10" t="str">
        <f t="shared" si="1"/>
        <v/>
      </c>
    </row>
    <row r="11" spans="1:8" x14ac:dyDescent="0.2">
      <c r="A11" t="s">
        <v>20</v>
      </c>
      <c r="B11" t="s">
        <v>0</v>
      </c>
      <c r="D11" t="s">
        <v>2127</v>
      </c>
      <c r="E11" t="str" cm="1">
        <f t="array" ref="E11">IF(COUNTIF(A:A, "*" &amp; LEFT(D11, FIND(" ", D11 &amp; " ") - 1) &amp; "*") &gt; 0,INDEX(A:A,FuzzyVLookup(D11,A:A,0,,,1)),"Non-PDL")</f>
        <v>adalimumab-adaz</v>
      </c>
      <c r="F11" t="str">
        <f t="shared" si="0"/>
        <v>Non-Preferred</v>
      </c>
      <c r="G11" s="1" cm="1">
        <f t="array" ref="G11">FuzzyPercent(D11,E11,1)</f>
        <v>1</v>
      </c>
      <c r="H11" t="str">
        <f t="shared" si="1"/>
        <v/>
      </c>
    </row>
    <row r="12" spans="1:8" x14ac:dyDescent="0.2">
      <c r="A12" t="s">
        <v>22</v>
      </c>
      <c r="B12" t="s">
        <v>0</v>
      </c>
      <c r="D12" t="s">
        <v>2128</v>
      </c>
      <c r="E12" t="str" cm="1">
        <f t="array" ref="E12">IF(COUNTIF(A:A, "*" &amp; LEFT(D12, FIND(" ", D12 &amp; " ") - 1) &amp; "*") &gt; 0,INDEX(A:A,FuzzyVLookup(D12,A:A,0,,,1)),"Non-PDL")</f>
        <v>adalimumab-adbm</v>
      </c>
      <c r="F12" t="str">
        <f t="shared" si="0"/>
        <v>Non-Preferred</v>
      </c>
      <c r="G12" s="1" cm="1">
        <f t="array" ref="G12">FuzzyPercent(D12,E12,1)</f>
        <v>0.51724135875701904</v>
      </c>
      <c r="H12" t="str">
        <f t="shared" si="1"/>
        <v/>
      </c>
    </row>
    <row r="13" spans="1:8" x14ac:dyDescent="0.2">
      <c r="A13" t="s">
        <v>24</v>
      </c>
      <c r="B13" t="s">
        <v>0</v>
      </c>
      <c r="D13" t="s">
        <v>2129</v>
      </c>
      <c r="E13" t="str" cm="1">
        <f t="array" ref="E13">IF(COUNTIF(A:A, "*" &amp; LEFT(D13, FIND(" ", D13 &amp; " ") - 1) &amp; "*") &gt; 0,INDEX(A:A,FuzzyVLookup(D13,A:A,0,,,1)),"Non-PDL")</f>
        <v>adalimumab-adbm</v>
      </c>
      <c r="F13" t="str">
        <f t="shared" si="0"/>
        <v>Non-Preferred</v>
      </c>
      <c r="G13" s="1" cm="1">
        <f t="array" ref="G13">FuzzyPercent(D13,E13,1)</f>
        <v>0.45454546809196472</v>
      </c>
      <c r="H13" t="str">
        <f t="shared" si="1"/>
        <v/>
      </c>
    </row>
    <row r="14" spans="1:8" x14ac:dyDescent="0.2">
      <c r="A14" t="s">
        <v>26</v>
      </c>
      <c r="B14" t="s">
        <v>0</v>
      </c>
      <c r="D14" t="s">
        <v>2130</v>
      </c>
      <c r="E14" t="str" cm="1">
        <f t="array" ref="E14">IF(COUNTIF(A:A, "*" &amp; LEFT(D14, FIND(" ", D14 &amp; " ") - 1) &amp; "*") &gt; 0,INDEX(A:A,FuzzyVLookup(D14,A:A,0,,,1)),"Non-PDL")</f>
        <v>adalimumab-fkjp</v>
      </c>
      <c r="F14" t="str">
        <f t="shared" si="0"/>
        <v>Non-Preferred</v>
      </c>
      <c r="G14" s="1" cm="1">
        <f t="array" ref="G14">FuzzyPercent(D14,E14,1)</f>
        <v>0.51724135875701904</v>
      </c>
      <c r="H14" t="str">
        <f t="shared" si="1"/>
        <v/>
      </c>
    </row>
    <row r="15" spans="1:8" x14ac:dyDescent="0.2">
      <c r="A15" t="s">
        <v>28</v>
      </c>
      <c r="B15" t="s">
        <v>0</v>
      </c>
      <c r="D15" t="s">
        <v>2131</v>
      </c>
      <c r="E15" t="str" cm="1">
        <f t="array" ref="E15">IF(COUNTIF(A:A, "*" &amp; LEFT(D15, FIND(" ", D15 &amp; " ") - 1) &amp; "*") &gt; 0,INDEX(A:A,FuzzyVLookup(D15,A:A,0,,,1)),"Non-PDL")</f>
        <v>adalimumab-fkjp</v>
      </c>
      <c r="F15" t="str">
        <f t="shared" si="0"/>
        <v>Non-Preferred</v>
      </c>
      <c r="G15" s="1" cm="1">
        <f t="array" ref="G15">FuzzyPercent(D15,E15,1)</f>
        <v>0.45454546809196472</v>
      </c>
      <c r="H15" t="str">
        <f t="shared" si="1"/>
        <v/>
      </c>
    </row>
    <row r="16" spans="1:8" x14ac:dyDescent="0.2">
      <c r="A16" t="s">
        <v>30</v>
      </c>
      <c r="B16" t="s">
        <v>0</v>
      </c>
      <c r="D16" t="s">
        <v>2132</v>
      </c>
      <c r="E16" t="str" cm="1">
        <f t="array" ref="E16">IF(COUNTIF(A:A, "*" &amp; LEFT(D16, FIND(" ", D16 &amp; " ") - 1) &amp; "*") &gt; 0,INDEX(A:A,FuzzyVLookup(D16,A:A,0,,,1)),"Non-PDL")</f>
        <v>ambrisentan</v>
      </c>
      <c r="F16" t="str">
        <f t="shared" si="0"/>
        <v>Preferred</v>
      </c>
      <c r="G16" s="1" cm="1">
        <f t="array" ref="G16">FuzzyPercent(D16,E16,1)</f>
        <v>0.375</v>
      </c>
      <c r="H16" t="str">
        <f t="shared" si="1"/>
        <v>CHECK</v>
      </c>
    </row>
    <row r="17" spans="1:8" x14ac:dyDescent="0.2">
      <c r="A17" t="s">
        <v>32</v>
      </c>
      <c r="B17" t="s">
        <v>0</v>
      </c>
      <c r="D17" t="s">
        <v>2133</v>
      </c>
      <c r="E17" t="str" cm="1">
        <f t="array" ref="E17">IF(COUNTIF(A:A, "*" &amp; LEFT(D17, FIND(" ", D17 &amp; " ") - 1) &amp; "*") &gt; 0,INDEX(A:A,FuzzyVLookup(D17,A:A,0,,,1)),"Non-PDL")</f>
        <v>ADCIRCA (tadalafil)</v>
      </c>
      <c r="F17" t="str">
        <f t="shared" si="0"/>
        <v>Non-Preferred</v>
      </c>
      <c r="G17" s="1" cm="1">
        <f t="array" ref="G17">FuzzyPercent(D17,E17,1)</f>
        <v>0.53846156597137451</v>
      </c>
      <c r="H17" t="str">
        <f t="shared" si="1"/>
        <v/>
      </c>
    </row>
    <row r="18" spans="1:8" x14ac:dyDescent="0.2">
      <c r="A18" t="s">
        <v>34</v>
      </c>
      <c r="B18" t="s">
        <v>0</v>
      </c>
      <c r="D18" t="s">
        <v>2134</v>
      </c>
      <c r="E18" t="str" cm="1">
        <f t="array" ref="E18">IF(COUNTIF(A:A, "*" &amp; LEFT(D18, FIND(" ", D18 &amp; " ") - 1) &amp; "*") &gt; 0,INDEX(A:A,FuzzyVLookup(D18,A:A,0,,,1)),"Non-PDL")</f>
        <v>ADDERALL (dextroamphetamine/amphetamine)</v>
      </c>
      <c r="F18" t="str">
        <f t="shared" si="0"/>
        <v>Non-Preferred</v>
      </c>
      <c r="G18" s="1" cm="1">
        <f t="array" ref="G18">FuzzyPercent(D18,E18,1)</f>
        <v>0.37096774578094482</v>
      </c>
      <c r="H18" t="str">
        <f t="shared" si="1"/>
        <v>CHECK</v>
      </c>
    </row>
    <row r="19" spans="1:8" x14ac:dyDescent="0.2">
      <c r="A19" t="s">
        <v>36</v>
      </c>
      <c r="B19" t="s">
        <v>0</v>
      </c>
      <c r="D19" t="s">
        <v>2135</v>
      </c>
      <c r="E19" t="str" cm="1">
        <f t="array" ref="E19">IF(COUNTIF(A:A, "*" &amp; LEFT(D19, FIND(" ", D19 &amp; " ") - 1) &amp; "*") &gt; 0,INDEX(A:A,FuzzyVLookup(D19,A:A,0,,,1)),"Non-PDL")</f>
        <v>ADEMPAS (riociguat)</v>
      </c>
      <c r="F19" t="str">
        <f t="shared" si="0"/>
        <v>Non-Preferred</v>
      </c>
      <c r="G19" s="1" cm="1">
        <f t="array" ref="G19">FuzzyPercent(D19,E19,1)</f>
        <v>0.53846156597137451</v>
      </c>
      <c r="H19" t="str">
        <f t="shared" si="1"/>
        <v/>
      </c>
    </row>
    <row r="20" spans="1:8" x14ac:dyDescent="0.2">
      <c r="A20" t="s">
        <v>38</v>
      </c>
      <c r="B20" t="s">
        <v>0</v>
      </c>
      <c r="D20" t="s">
        <v>2136</v>
      </c>
      <c r="E20" t="str" cm="1">
        <f t="array" ref="E20">IF(COUNTIF(A:A, "*" &amp; LEFT(D20, FIND(" ", D20 &amp; " ") - 1) &amp; "*") &gt; 0,INDEX(A:A,FuzzyVLookup(D20,A:A,0,,,1)),"Non-PDL")</f>
        <v>Non-PDL</v>
      </c>
      <c r="F20" t="str">
        <f t="shared" si="0"/>
        <v>Non-PDL</v>
      </c>
      <c r="G20" s="1" cm="1">
        <f t="array" ref="G20">FuzzyPercent(D20,E20,1)</f>
        <v>0</v>
      </c>
      <c r="H20" t="str">
        <f t="shared" si="1"/>
        <v/>
      </c>
    </row>
    <row r="21" spans="1:8" x14ac:dyDescent="0.2">
      <c r="A21" t="s">
        <v>40</v>
      </c>
      <c r="B21" t="s">
        <v>0</v>
      </c>
      <c r="D21" t="s">
        <v>2137</v>
      </c>
      <c r="E21" t="str" cm="1">
        <f t="array" ref="E21">IF(COUNTIF(A:A, "*" &amp; LEFT(D21, FIND(" ", D21 &amp; " ") - 1) &amp; "*") &gt; 0,INDEX(A:A,FuzzyVLookup(D21,A:A,0,,,1)),"Non-PDL")</f>
        <v>ADMELOG (insulin lispro)</v>
      </c>
      <c r="F21" t="str">
        <f t="shared" si="0"/>
        <v>Non-Preferred</v>
      </c>
      <c r="G21" s="1" cm="1">
        <f t="array" ref="G21">FuzzyPercent(D21,E21,1)</f>
        <v>0.45161288976669312</v>
      </c>
      <c r="H21" t="str">
        <f t="shared" si="1"/>
        <v/>
      </c>
    </row>
    <row r="22" spans="1:8" x14ac:dyDescent="0.2">
      <c r="A22" t="s">
        <v>42</v>
      </c>
      <c r="B22" t="s">
        <v>0</v>
      </c>
      <c r="D22" t="s">
        <v>2138</v>
      </c>
      <c r="E22" t="str" cm="1">
        <f t="array" ref="E22">IF(COUNTIF(A:A, "*" &amp; LEFT(D22, FIND(" ", D22 &amp; " ") - 1) &amp; "*") &gt; 0,INDEX(A:A,FuzzyVLookup(D22,A:A,0,,,1)),"Non-PDL")</f>
        <v>ADMELOG (insulin lispro)</v>
      </c>
      <c r="F22" t="str">
        <f t="shared" si="0"/>
        <v>Non-Preferred</v>
      </c>
      <c r="G22" s="1" cm="1">
        <f t="array" ref="G22">FuzzyPercent(D22,E22,1)</f>
        <v>0.5</v>
      </c>
      <c r="H22" t="str">
        <f t="shared" si="1"/>
        <v/>
      </c>
    </row>
    <row r="23" spans="1:8" x14ac:dyDescent="0.2">
      <c r="A23" t="s">
        <v>44</v>
      </c>
      <c r="B23" t="s">
        <v>0</v>
      </c>
      <c r="D23" t="s">
        <v>2139</v>
      </c>
      <c r="E23" t="str" cm="1">
        <f t="array" ref="E23">IF(COUNTIF(A:A, "*" &amp; LEFT(D23, FIND(" ", D23 &amp; " ") - 1) &amp; "*") &gt; 0,INDEX(A:A,FuzzyVLookup(D23,A:A,0,,,1)),"Non-PDL")</f>
        <v>Non-PDL</v>
      </c>
      <c r="F23" t="str">
        <f t="shared" si="0"/>
        <v>Non-PDL</v>
      </c>
      <c r="G23" s="1" cm="1">
        <f t="array" ref="G23">FuzzyPercent(D23,E23,1)</f>
        <v>9.0909093618392944E-2</v>
      </c>
      <c r="H23" t="str">
        <f t="shared" si="1"/>
        <v/>
      </c>
    </row>
    <row r="24" spans="1:8" x14ac:dyDescent="0.2">
      <c r="A24" t="s">
        <v>46</v>
      </c>
      <c r="B24" t="s">
        <v>0</v>
      </c>
      <c r="D24" t="s">
        <v>2140</v>
      </c>
      <c r="E24" t="str" cm="1">
        <f t="array" ref="E24">IF(COUNTIF(A:A, "*" &amp; LEFT(D24, FIND(" ", D24 &amp; " ") - 1) &amp; "*") &gt; 0,INDEX(A:A,FuzzyVLookup(D24,A:A,0,,,1)),"Non-PDL")</f>
        <v>Non-PDL</v>
      </c>
      <c r="F24" t="str">
        <f t="shared" si="0"/>
        <v>Non-PDL</v>
      </c>
      <c r="G24" s="1" cm="1">
        <f t="array" ref="G24">FuzzyPercent(D24,E24,1)</f>
        <v>0</v>
      </c>
      <c r="H24" t="str">
        <f t="shared" si="1"/>
        <v/>
      </c>
    </row>
    <row r="25" spans="1:8" x14ac:dyDescent="0.2">
      <c r="A25" t="s">
        <v>48</v>
      </c>
      <c r="B25" t="s">
        <v>0</v>
      </c>
      <c r="D25" t="s">
        <v>2141</v>
      </c>
      <c r="E25" t="str" cm="1">
        <f t="array" ref="E25">IF(COUNTIF(A:A, "*" &amp; LEFT(D25, FIND(" ", D25 &amp; " ") - 1) &amp; "*") &gt; 0,INDEX(A:A,FuzzyVLookup(D25,A:A,0,,,1)),"Non-PDL")</f>
        <v>GAMMAGARD S-D</v>
      </c>
      <c r="F25" t="str">
        <f t="shared" si="0"/>
        <v>Preferred</v>
      </c>
      <c r="G25" s="1" cm="1">
        <f t="array" ref="G25">FuzzyPercent(D25,E25,1)</f>
        <v>0.38461539149284363</v>
      </c>
      <c r="H25" t="str">
        <f t="shared" si="1"/>
        <v>CHECK</v>
      </c>
    </row>
    <row r="26" spans="1:8" x14ac:dyDescent="0.2">
      <c r="A26" t="s">
        <v>50</v>
      </c>
      <c r="B26" t="s">
        <v>0</v>
      </c>
      <c r="D26" t="s">
        <v>2142</v>
      </c>
      <c r="E26" t="str" cm="1">
        <f t="array" ref="E26">IF(COUNTIF(A:A, "*" &amp; LEFT(D26, FIND(" ", D26 &amp; " ") - 1) &amp; "*") &gt; 0,INDEX(A:A,FuzzyVLookup(D26,A:A,0,,,1)),"Non-PDL")</f>
        <v>ADVAIR HFA (fluticasone/salmeterol)</v>
      </c>
      <c r="F26" t="str">
        <f t="shared" si="0"/>
        <v>Preferred</v>
      </c>
      <c r="G26" s="1" cm="1">
        <f t="array" ref="G26">FuzzyPercent(D26,E26,1)</f>
        <v>0.4444444477558136</v>
      </c>
      <c r="H26" t="str">
        <f t="shared" si="1"/>
        <v/>
      </c>
    </row>
    <row r="27" spans="1:8" x14ac:dyDescent="0.2">
      <c r="A27" t="s">
        <v>52</v>
      </c>
      <c r="B27" t="s">
        <v>0</v>
      </c>
      <c r="D27" t="s">
        <v>2143</v>
      </c>
      <c r="E27" t="str" cm="1">
        <f t="array" ref="E27">IF(COUNTIF(A:A, "*" &amp; LEFT(D27, FIND(" ", D27 &amp; " ") - 1) &amp; "*") &gt; 0,INDEX(A:A,FuzzyVLookup(D27,A:A,0,,,1)),"Non-PDL")</f>
        <v>ADVATE</v>
      </c>
      <c r="F27" t="str">
        <f t="shared" si="0"/>
        <v>Preferred</v>
      </c>
      <c r="G27" s="1" cm="1">
        <f t="array" ref="G27">FuzzyPercent(D27,E27,1)</f>
        <v>1</v>
      </c>
      <c r="H27" t="str">
        <f t="shared" si="1"/>
        <v/>
      </c>
    </row>
    <row r="28" spans="1:8" x14ac:dyDescent="0.2">
      <c r="A28" t="s">
        <v>54</v>
      </c>
      <c r="B28" t="s">
        <v>0</v>
      </c>
      <c r="D28" t="s">
        <v>2144</v>
      </c>
      <c r="E28" t="str" cm="1">
        <f t="array" ref="E28">IF(COUNTIF(A:A, "*" &amp; LEFT(D28, FIND(" ", D28 &amp; " ") - 1) &amp; "*") &gt; 0,INDEX(A:A,FuzzyVLookup(D28,A:A,0,,,1)),"Non-PDL")</f>
        <v>ADYNOVATE</v>
      </c>
      <c r="F28" t="str">
        <f t="shared" si="0"/>
        <v>Non-Preferred</v>
      </c>
      <c r="G28" s="1" cm="1">
        <f t="array" ref="G28">FuzzyPercent(D28,E28,1)</f>
        <v>1</v>
      </c>
      <c r="H28" t="str">
        <f t="shared" si="1"/>
        <v/>
      </c>
    </row>
    <row r="29" spans="1:8" x14ac:dyDescent="0.2">
      <c r="A29" t="s">
        <v>56</v>
      </c>
      <c r="B29" t="s">
        <v>0</v>
      </c>
      <c r="D29" t="s">
        <v>2145</v>
      </c>
      <c r="E29" t="str" cm="1">
        <f t="array" ref="E29">IF(COUNTIF(A:A, "*" &amp; LEFT(D29, FIND(" ", D29 &amp; " ") - 1) &amp; "*") &gt; 0,INDEX(A:A,FuzzyVLookup(D29,A:A,0,,,1)),"Non-PDL")</f>
        <v>AFSTYLA</v>
      </c>
      <c r="F29" t="str">
        <f t="shared" si="0"/>
        <v>Preferred</v>
      </c>
      <c r="G29" s="1" cm="1">
        <f t="array" ref="G29">FuzzyPercent(D29,E29,1)</f>
        <v>1</v>
      </c>
      <c r="H29" t="str">
        <f t="shared" si="1"/>
        <v/>
      </c>
    </row>
    <row r="30" spans="1:8" x14ac:dyDescent="0.2">
      <c r="A30" t="s">
        <v>58</v>
      </c>
      <c r="B30" t="s">
        <v>0</v>
      </c>
      <c r="D30" t="s">
        <v>2146</v>
      </c>
      <c r="E30" t="str" cm="1">
        <f t="array" ref="E30">IF(COUNTIF(A:A, "*" &amp; LEFT(D30, FIND(" ", D30 &amp; " ") - 1) &amp; "*") &gt; 0,INDEX(A:A,FuzzyVLookup(D30,A:A,0,,,1)),"Non-PDL")</f>
        <v>Non-PDL</v>
      </c>
      <c r="F30" t="str">
        <f t="shared" si="0"/>
        <v>Non-PDL</v>
      </c>
      <c r="G30" s="1" cm="1">
        <f t="array" ref="G30">FuzzyPercent(D30,E30,1)</f>
        <v>0</v>
      </c>
      <c r="H30" t="str">
        <f t="shared" si="1"/>
        <v/>
      </c>
    </row>
    <row r="31" spans="1:8" x14ac:dyDescent="0.2">
      <c r="A31" t="s">
        <v>60</v>
      </c>
      <c r="B31" t="s">
        <v>0</v>
      </c>
      <c r="D31" t="s">
        <v>2147</v>
      </c>
      <c r="E31" t="str" cm="1">
        <f t="array" ref="E31">IF(COUNTIF(A:A, "*" &amp; LEFT(D31, FIND(" ", D31 &amp; " ") - 1) &amp; "*") &gt; 0,INDEX(A:A,FuzzyVLookup(D31,A:A,0,,,1)),"Non-PDL")</f>
        <v>AIRDUO DIGIHALER (fluticasone/salmeterol)</v>
      </c>
      <c r="F31" t="str">
        <f t="shared" si="0"/>
        <v>Non-Preferred</v>
      </c>
      <c r="G31" s="1" cm="1">
        <f t="array" ref="G31">FuzzyPercent(D31,E31,1)</f>
        <v>0.56140351295471191</v>
      </c>
      <c r="H31" t="str">
        <f t="shared" si="1"/>
        <v/>
      </c>
    </row>
    <row r="32" spans="1:8" x14ac:dyDescent="0.2">
      <c r="A32" t="s">
        <v>62</v>
      </c>
      <c r="B32" t="s">
        <v>0</v>
      </c>
      <c r="D32" t="s">
        <v>2148</v>
      </c>
      <c r="E32" t="str" cm="1">
        <f t="array" ref="E32">IF(COUNTIF(A:A, "*" &amp; LEFT(D32, FIND(" ", D32 &amp; " ") - 1) &amp; "*") &gt; 0,INDEX(A:A,FuzzyVLookup(D32,A:A,0,,,1)),"Non-PDL")</f>
        <v>paliperidone ER</v>
      </c>
      <c r="F32" t="str">
        <f t="shared" si="0"/>
        <v>Non-Preferred</v>
      </c>
      <c r="G32" s="1" cm="1">
        <f t="array" ref="G32">FuzzyPercent(D32,E32,1)</f>
        <v>0.35294118523597717</v>
      </c>
      <c r="H32" t="str">
        <f t="shared" si="1"/>
        <v>CHECK</v>
      </c>
    </row>
    <row r="33" spans="1:8" x14ac:dyDescent="0.2">
      <c r="A33" t="s">
        <v>64</v>
      </c>
      <c r="B33" t="s">
        <v>0</v>
      </c>
      <c r="D33" t="s">
        <v>2149</v>
      </c>
      <c r="E33" t="str" cm="1">
        <f t="array" ref="E33">IF(COUNTIF(A:A, "*" &amp; LEFT(D33, FIND(" ", D33 &amp; " ") - 1) &amp; "*") &gt; 0,INDEX(A:A,FuzzyVLookup(D33,A:A,0,,,1)),"Non-PDL")</f>
        <v>AIRSUPRA (albuterol/budesonide)</v>
      </c>
      <c r="F33" t="str">
        <f t="shared" si="0"/>
        <v>Non-Preferred</v>
      </c>
      <c r="G33" s="1" cm="1">
        <f t="array" ref="G33">FuzzyPercent(D33,E33,1)</f>
        <v>0.44186046719551086</v>
      </c>
      <c r="H33" t="str">
        <f t="shared" si="1"/>
        <v/>
      </c>
    </row>
    <row r="34" spans="1:8" x14ac:dyDescent="0.2">
      <c r="A34" t="s">
        <v>66</v>
      </c>
      <c r="B34" t="s">
        <v>0</v>
      </c>
      <c r="D34" t="s">
        <v>2150</v>
      </c>
      <c r="E34" t="str" cm="1">
        <f t="array" ref="E34">IF(COUNTIF(A:A, "*" &amp; LEFT(D34, FIND(" ", D34 &amp; " ") - 1) &amp; "*") &gt; 0,INDEX(A:A,FuzzyVLookup(D34,A:A,0,,,1)),"Non-PDL")</f>
        <v>ALYGLO</v>
      </c>
      <c r="F34" t="str">
        <f t="shared" si="0"/>
        <v>Non-Preferred</v>
      </c>
      <c r="G34" s="1" cm="1">
        <f t="array" ref="G34">FuzzyPercent(D34,E34,1)</f>
        <v>0.36363637447357178</v>
      </c>
      <c r="H34" t="str">
        <f t="shared" si="1"/>
        <v>CHECK</v>
      </c>
    </row>
    <row r="35" spans="1:8" x14ac:dyDescent="0.2">
      <c r="A35" t="s">
        <v>68</v>
      </c>
      <c r="B35" t="s">
        <v>0</v>
      </c>
      <c r="D35" t="s">
        <v>2151</v>
      </c>
      <c r="E35" t="str" cm="1">
        <f t="array" ref="E35">IF(COUNTIF(A:A, "*" &amp; LEFT(D35, FIND(" ", D35 &amp; " ") - 1) &amp; "*") &gt; 0,INDEX(A:A,FuzzyVLookup(D35,A:A,0,,,1)),"Non-PDL")</f>
        <v>albuterol HFA</v>
      </c>
      <c r="F35" t="str">
        <f t="shared" si="0"/>
        <v>Preferred</v>
      </c>
      <c r="G35" s="1" cm="1">
        <f t="array" ref="G35">FuzzyPercent(D35,E35,1)</f>
        <v>0.46428570151329041</v>
      </c>
      <c r="H35" t="str">
        <f t="shared" si="1"/>
        <v/>
      </c>
    </row>
    <row r="36" spans="1:8" x14ac:dyDescent="0.2">
      <c r="A36" t="s">
        <v>70</v>
      </c>
      <c r="B36" t="s">
        <v>0</v>
      </c>
      <c r="D36" t="s">
        <v>2152</v>
      </c>
      <c r="E36" t="str" cm="1">
        <f t="array" ref="E36">IF(COUNTIF(A:A, "*" &amp; LEFT(D36, FIND(" ", D36 &amp; " ") - 1) &amp; "*") &gt; 0,INDEX(A:A,FuzzyVLookup(D36,A:A,0,,,1)),"Non-PDL")</f>
        <v>Non-PDL</v>
      </c>
      <c r="F36" t="str">
        <f t="shared" si="0"/>
        <v>Non-PDL</v>
      </c>
      <c r="G36" s="1" cm="1">
        <f t="array" ref="G36">FuzzyPercent(D36,E36,1)</f>
        <v>0.10000000149011612</v>
      </c>
      <c r="H36" t="str">
        <f t="shared" si="1"/>
        <v/>
      </c>
    </row>
    <row r="37" spans="1:8" x14ac:dyDescent="0.2">
      <c r="A37" t="s">
        <v>72</v>
      </c>
      <c r="B37" t="s">
        <v>0</v>
      </c>
      <c r="D37" t="s">
        <v>2153</v>
      </c>
      <c r="E37" t="str" cm="1">
        <f t="array" ref="E37">IF(COUNTIF(A:A, "*" &amp; LEFT(D37, FIND(" ", D37 &amp; " ") - 1) &amp; "*") &gt; 0,INDEX(A:A,FuzzyVLookup(D37,A:A,0,,,1)),"Non-PDL")</f>
        <v>ALECENSA (alectinib)</v>
      </c>
      <c r="F37" t="str">
        <f t="shared" si="0"/>
        <v>Non-Preferred</v>
      </c>
      <c r="G37" s="1" cm="1">
        <f t="array" ref="G37">FuzzyPercent(D37,E37,1)</f>
        <v>0.57142859697341919</v>
      </c>
      <c r="H37" t="str">
        <f t="shared" si="1"/>
        <v/>
      </c>
    </row>
    <row r="38" spans="1:8" x14ac:dyDescent="0.2">
      <c r="A38" t="s">
        <v>74</v>
      </c>
      <c r="B38" t="s">
        <v>0</v>
      </c>
      <c r="D38" t="s">
        <v>2154</v>
      </c>
      <c r="E38" t="str" cm="1">
        <f t="array" ref="E38">IF(COUNTIF(A:A, "*" &amp; LEFT(D38, FIND(" ", D38 &amp; " ") - 1) &amp; "*") &gt; 0,INDEX(A:A,FuzzyVLookup(D38,A:A,0,,,1)),"Non-PDL")</f>
        <v>Non-PDL</v>
      </c>
      <c r="F38" t="str">
        <f t="shared" si="0"/>
        <v>Non-PDL</v>
      </c>
      <c r="G38" s="1" cm="1">
        <f t="array" ref="G38">FuzzyPercent(D38,E38,1)</f>
        <v>6.25E-2</v>
      </c>
      <c r="H38" t="str">
        <f t="shared" si="1"/>
        <v/>
      </c>
    </row>
    <row r="39" spans="1:8" x14ac:dyDescent="0.2">
      <c r="A39" t="s">
        <v>76</v>
      </c>
      <c r="B39" t="s">
        <v>0</v>
      </c>
      <c r="D39" t="s">
        <v>2155</v>
      </c>
      <c r="E39" t="str" cm="1">
        <f t="array" ref="E39">IF(COUNTIF(A:A, "*" &amp; LEFT(D39, FIND(" ", D39 &amp; " ") - 1) &amp; "*") &gt; 0,INDEX(A:A,FuzzyVLookup(D39,A:A,0,,,1)),"Non-PDL")</f>
        <v>ALPROLIX</v>
      </c>
      <c r="F39" t="str">
        <f t="shared" si="0"/>
        <v>Preferred</v>
      </c>
      <c r="G39" s="1" cm="1">
        <f t="array" ref="G39">FuzzyPercent(D39,E39,1)</f>
        <v>1</v>
      </c>
      <c r="H39" t="str">
        <f t="shared" si="1"/>
        <v/>
      </c>
    </row>
    <row r="40" spans="1:8" x14ac:dyDescent="0.2">
      <c r="A40" t="s">
        <v>78</v>
      </c>
      <c r="B40" t="s">
        <v>0</v>
      </c>
      <c r="D40" t="s">
        <v>2156</v>
      </c>
      <c r="E40" t="str" cm="1">
        <f t="array" ref="E40">IF(COUNTIF(A:A, "*" &amp; LEFT(D40, FIND(" ", D40 &amp; " ") - 1) &amp; "*") &gt; 0,INDEX(A:A,FuzzyVLookup(D40,A:A,0,,,1)),"Non-PDL")</f>
        <v>ALTUVIIIO</v>
      </c>
      <c r="F40" t="str">
        <f t="shared" si="0"/>
        <v>Preferred</v>
      </c>
      <c r="G40" s="1" cm="1">
        <f t="array" ref="G40">FuzzyPercent(D40,E40,1)</f>
        <v>1</v>
      </c>
      <c r="H40" t="str">
        <f t="shared" si="1"/>
        <v/>
      </c>
    </row>
    <row r="41" spans="1:8" x14ac:dyDescent="0.2">
      <c r="A41" t="s">
        <v>80</v>
      </c>
      <c r="B41" t="s">
        <v>0</v>
      </c>
      <c r="D41" t="s">
        <v>2157</v>
      </c>
      <c r="E41" t="str" cm="1">
        <f t="array" ref="E41">IF(COUNTIF(A:A, "*" &amp; LEFT(D41, FIND(" ", D41 &amp; " ") - 1) &amp; "*") &gt; 0,INDEX(A:A,FuzzyVLookup(D41,A:A,0,,,1)),"Non-PDL")</f>
        <v>ALUNBRIG (brigatinib)</v>
      </c>
      <c r="F41" t="str">
        <f t="shared" si="0"/>
        <v>Non-Preferred</v>
      </c>
      <c r="G41" s="1" cm="1">
        <f t="array" ref="G41">FuzzyPercent(D41,E41,1)</f>
        <v>0.5517241358757019</v>
      </c>
      <c r="H41" t="str">
        <f t="shared" si="1"/>
        <v/>
      </c>
    </row>
    <row r="42" spans="1:8" x14ac:dyDescent="0.2">
      <c r="A42" t="s">
        <v>82</v>
      </c>
      <c r="B42" t="s">
        <v>0</v>
      </c>
      <c r="D42" t="s">
        <v>2158</v>
      </c>
      <c r="E42" t="str" cm="1">
        <f t="array" ref="E42">IF(COUNTIF(A:A, "*" &amp; LEFT(D42, FIND(" ", D42 &amp; " ") - 1) &amp; "*") &gt; 0,INDEX(A:A,FuzzyVLookup(D42,A:A,0,,,1)),"Non-PDL")</f>
        <v>ALVESCO (ciclesonide)</v>
      </c>
      <c r="F42" t="str">
        <f t="shared" si="0"/>
        <v>Non-Preferred</v>
      </c>
      <c r="G42" s="1" cm="1">
        <f t="array" ref="G42">FuzzyPercent(D42,E42,1)</f>
        <v>0.5</v>
      </c>
      <c r="H42" t="str">
        <f t="shared" si="1"/>
        <v/>
      </c>
    </row>
    <row r="43" spans="1:8" x14ac:dyDescent="0.2">
      <c r="A43" t="s">
        <v>84</v>
      </c>
      <c r="B43" t="s">
        <v>0</v>
      </c>
      <c r="D43" t="s">
        <v>2159</v>
      </c>
      <c r="E43" t="str" cm="1">
        <f t="array" ref="E43">IF(COUNTIF(A:A, "*" &amp; LEFT(D43, FIND(" ", D43 &amp; " ") - 1) &amp; "*") &gt; 0,INDEX(A:A,FuzzyVLookup(D43,A:A,0,,,1)),"Non-PDL")</f>
        <v>ALYGLO</v>
      </c>
      <c r="F43" t="str">
        <f t="shared" si="0"/>
        <v>Non-Preferred</v>
      </c>
      <c r="G43" s="1" cm="1">
        <f t="array" ref="G43">FuzzyPercent(D43,E43,1)</f>
        <v>0.60000002384185791</v>
      </c>
      <c r="H43" t="str">
        <f t="shared" si="1"/>
        <v/>
      </c>
    </row>
    <row r="44" spans="1:8" x14ac:dyDescent="0.2">
      <c r="A44" t="s">
        <v>86</v>
      </c>
      <c r="B44" t="s">
        <v>0</v>
      </c>
      <c r="D44" t="s">
        <v>2160</v>
      </c>
      <c r="E44" t="str" cm="1">
        <f t="array" ref="E44">IF(COUNTIF(A:A, "*" &amp; LEFT(D44, FIND(" ", D44 &amp; " ") - 1) &amp; "*") &gt; 0,INDEX(A:A,FuzzyVLookup(D44,A:A,0,,,1)),"Non-PDL")</f>
        <v>ambrisentan</v>
      </c>
      <c r="F44" t="str">
        <f t="shared" si="0"/>
        <v>Preferred</v>
      </c>
      <c r="G44" s="1" cm="1">
        <f t="array" ref="G44">FuzzyPercent(D44,E44,1)</f>
        <v>0.52941179275512695</v>
      </c>
      <c r="H44" t="str">
        <f t="shared" si="1"/>
        <v/>
      </c>
    </row>
    <row r="45" spans="1:8" x14ac:dyDescent="0.2">
      <c r="A45" t="s">
        <v>88</v>
      </c>
      <c r="B45" t="s">
        <v>0</v>
      </c>
      <c r="D45" t="s">
        <v>2161</v>
      </c>
      <c r="E45" t="str" cm="1">
        <f t="array" ref="E45">IF(COUNTIF(A:A, "*" &amp; LEFT(D45, FIND(" ", D45 &amp; " ") - 1) &amp; "*") &gt; 0,INDEX(A:A,FuzzyVLookup(D45,A:A,0,,,1)),"Non-PDL")</f>
        <v>AMBIEN CR (zolpidem)</v>
      </c>
      <c r="F45" t="str">
        <f t="shared" si="0"/>
        <v>Non-Preferred</v>
      </c>
      <c r="G45" s="1" cm="1">
        <f t="array" ref="G45">FuzzyPercent(D45,E45,1)</f>
        <v>0.62068963050842285</v>
      </c>
      <c r="H45" t="str">
        <f t="shared" si="1"/>
        <v/>
      </c>
    </row>
    <row r="46" spans="1:8" x14ac:dyDescent="0.2">
      <c r="A46" t="s">
        <v>90</v>
      </c>
      <c r="B46" t="s">
        <v>0</v>
      </c>
      <c r="D46" t="s">
        <v>2162</v>
      </c>
      <c r="E46" t="str" cm="1">
        <f t="array" ref="E46">IF(COUNTIF(A:A, "*" &amp; LEFT(D46, FIND(" ", D46 &amp; " ") - 1) &amp; "*") &gt; 0,INDEX(A:A,FuzzyVLookup(D46,A:A,0,,,1)),"Non-PDL")</f>
        <v>ambrisentan</v>
      </c>
      <c r="F46" t="str">
        <f t="shared" si="0"/>
        <v>Preferred</v>
      </c>
      <c r="G46" s="1" cm="1">
        <f t="array" ref="G46">FuzzyPercent(D46,E46,1)</f>
        <v>1</v>
      </c>
      <c r="H46" t="str">
        <f t="shared" si="1"/>
        <v/>
      </c>
    </row>
    <row r="47" spans="1:8" x14ac:dyDescent="0.2">
      <c r="A47" t="s">
        <v>92</v>
      </c>
      <c r="B47" t="s">
        <v>0</v>
      </c>
      <c r="D47" t="s">
        <v>2163</v>
      </c>
      <c r="E47" t="str" cm="1">
        <f t="array" ref="E47">IF(COUNTIF(A:A, "*" &amp; LEFT(D47, FIND(" ", D47 &amp; " ") - 1) &amp; "*") &gt; 0,INDEX(A:A,FuzzyVLookup(D47,A:A,0,,,1)),"Non-PDL")</f>
        <v>aprepitant</v>
      </c>
      <c r="F47" t="str">
        <f t="shared" si="0"/>
        <v>Preferred</v>
      </c>
      <c r="G47" s="1" cm="1">
        <f t="array" ref="G47">FuzzyPercent(D47,E47,1)</f>
        <v>0.55555558204650879</v>
      </c>
      <c r="H47" t="str">
        <f t="shared" si="1"/>
        <v/>
      </c>
    </row>
    <row r="48" spans="1:8" x14ac:dyDescent="0.2">
      <c r="A48" t="s">
        <v>94</v>
      </c>
      <c r="B48" t="s">
        <v>0</v>
      </c>
      <c r="D48" t="s">
        <v>2164</v>
      </c>
      <c r="E48" t="str" cm="1">
        <f t="array" ref="E48">IF(COUNTIF(A:A, "*" &amp; LEFT(D48, FIND(" ", D48 &amp; " ") - 1) &amp; "*") &gt; 0,INDEX(A:A,FuzzyVLookup(D48,A:A,0,,,1)),"Non-PDL")</f>
        <v>AMJEVITA (adalimuab-atto)</v>
      </c>
      <c r="F48" t="str">
        <f t="shared" si="0"/>
        <v>Non-Preferred</v>
      </c>
      <c r="G48" s="1" cm="1">
        <f t="array" ref="G48">FuzzyPercent(D48,E48,1)</f>
        <v>0.47368422150611877</v>
      </c>
      <c r="H48" t="str">
        <f t="shared" si="1"/>
        <v/>
      </c>
    </row>
    <row r="49" spans="1:8" x14ac:dyDescent="0.2">
      <c r="A49" t="s">
        <v>96</v>
      </c>
      <c r="B49" t="s">
        <v>0</v>
      </c>
      <c r="D49" t="s">
        <v>2165</v>
      </c>
      <c r="E49" t="str" cm="1">
        <f t="array" ref="E49">IF(COUNTIF(A:A, "*" &amp; LEFT(D49, FIND(" ", D49 &amp; " ") - 1) &amp; "*") &gt; 0,INDEX(A:A,FuzzyVLookup(D49,A:A,0,,,1)),"Non-PDL")</f>
        <v>AMJEVITA (adalimuab-atto)</v>
      </c>
      <c r="F49" t="str">
        <f t="shared" si="0"/>
        <v>Non-Preferred</v>
      </c>
      <c r="G49" s="1" cm="1">
        <f t="array" ref="G49">FuzzyPercent(D49,E49,1)</f>
        <v>0.48648649454116821</v>
      </c>
      <c r="H49" t="str">
        <f t="shared" si="1"/>
        <v/>
      </c>
    </row>
    <row r="50" spans="1:8" x14ac:dyDescent="0.2">
      <c r="A50" t="s">
        <v>98</v>
      </c>
      <c r="B50" t="s">
        <v>0</v>
      </c>
      <c r="D50" t="s">
        <v>2166</v>
      </c>
      <c r="E50" t="str" cm="1">
        <f t="array" ref="E50">IF(COUNTIF(A:A, "*" &amp; LEFT(D50, FIND(" ", D50 &amp; " ") - 1) &amp; "*") &gt; 0,INDEX(A:A,FuzzyVLookup(D50,A:A,0,,,1)),"Non-PDL")</f>
        <v>amlodipine/atorvastatin</v>
      </c>
      <c r="F50" t="str">
        <f t="shared" si="0"/>
        <v>Non-Preferred</v>
      </c>
      <c r="G50" s="1" cm="1">
        <f t="array" ref="G50">FuzzyPercent(D50,E50,1)</f>
        <v>0.46153846383094788</v>
      </c>
      <c r="H50" t="str">
        <f t="shared" si="1"/>
        <v/>
      </c>
    </row>
    <row r="51" spans="1:8" x14ac:dyDescent="0.2">
      <c r="A51" t="s">
        <v>100</v>
      </c>
      <c r="B51" t="s">
        <v>0</v>
      </c>
      <c r="D51" t="s">
        <v>2167</v>
      </c>
      <c r="E51" t="str" cm="1">
        <f t="array" ref="E51">IF(COUNTIF(A:A, "*" &amp; LEFT(D51, FIND(" ", D51 &amp; " ") - 1) &amp; "*") &gt; 0,INDEX(A:A,FuzzyVLookup(D51,A:A,0,,,1)),"Non-PDL")</f>
        <v>AMONDYS-45 (casimersen)</v>
      </c>
      <c r="F51" t="str">
        <f t="shared" si="0"/>
        <v>Non-Preferred</v>
      </c>
      <c r="G51" s="1" cm="1">
        <f t="array" ref="G51">FuzzyPercent(D51,E51,1)</f>
        <v>0.5151515007019043</v>
      </c>
      <c r="H51" t="str">
        <f t="shared" si="1"/>
        <v/>
      </c>
    </row>
    <row r="52" spans="1:8" x14ac:dyDescent="0.2">
      <c r="A52" t="s">
        <v>102</v>
      </c>
      <c r="B52" t="s">
        <v>0</v>
      </c>
      <c r="D52" t="s">
        <v>2168</v>
      </c>
      <c r="E52" t="str" cm="1">
        <f t="array" ref="E52">IF(COUNTIF(A:A, "*" &amp; LEFT(D52, FIND(" ", D52 &amp; " ") - 1) &amp; "*") &gt; 0,INDEX(A:A,FuzzyVLookup(D52,A:A,0,,,1)),"Non-PDL")</f>
        <v>amcinonide</v>
      </c>
      <c r="F52" t="str">
        <f t="shared" si="0"/>
        <v>Non-Preferred</v>
      </c>
      <c r="G52" s="1" cm="1">
        <f t="array" ref="G52">FuzzyPercent(D52,E52,1)</f>
        <v>0.40000000596046448</v>
      </c>
      <c r="H52" t="str">
        <f t="shared" si="1"/>
        <v/>
      </c>
    </row>
    <row r="53" spans="1:8" x14ac:dyDescent="0.2">
      <c r="A53" t="s">
        <v>104</v>
      </c>
      <c r="B53" t="s">
        <v>0</v>
      </c>
      <c r="D53" t="s">
        <v>2169</v>
      </c>
      <c r="E53" t="str" cm="1">
        <f t="array" ref="E53">IF(COUNTIF(A:A, "*" &amp; LEFT(D53, FIND(" ", D53 &amp; " ") - 1) &amp; "*") &gt; 0,INDEX(A:A,FuzzyVLookup(D53,A:A,0,,,1)),"Non-PDL")</f>
        <v>Non-PDL</v>
      </c>
      <c r="F53" t="str">
        <f t="shared" si="0"/>
        <v>Non-PDL</v>
      </c>
      <c r="G53" s="1" cm="1">
        <f t="array" ref="G53">FuzzyPercent(D53,E53,1)</f>
        <v>0</v>
      </c>
      <c r="H53" t="str">
        <f t="shared" si="1"/>
        <v/>
      </c>
    </row>
    <row r="54" spans="1:8" x14ac:dyDescent="0.2">
      <c r="A54" t="s">
        <v>106</v>
      </c>
      <c r="B54" t="s">
        <v>0</v>
      </c>
      <c r="D54" t="s">
        <v>2170</v>
      </c>
      <c r="E54" t="str" cm="1">
        <f t="array" ref="E54">IF(COUNTIF(A:A, "*" &amp; LEFT(D54, FIND(" ", D54 &amp; " ") - 1) &amp; "*") &gt; 0,INDEX(A:A,FuzzyVLookup(D54,A:A,0,,,1)),"Non-PDL")</f>
        <v>Non-PDL</v>
      </c>
      <c r="F54" t="str">
        <f t="shared" si="0"/>
        <v>Non-PDL</v>
      </c>
      <c r="G54" s="1" cm="1">
        <f t="array" ref="G54">FuzzyPercent(D54,E54,1)</f>
        <v>0.125</v>
      </c>
      <c r="H54" t="str">
        <f t="shared" si="1"/>
        <v/>
      </c>
    </row>
    <row r="55" spans="1:8" x14ac:dyDescent="0.2">
      <c r="A55" t="s">
        <v>108</v>
      </c>
      <c r="B55" t="s">
        <v>0</v>
      </c>
      <c r="D55" t="s">
        <v>2171</v>
      </c>
      <c r="E55" t="str" cm="1">
        <f t="array" ref="E55">IF(COUNTIF(A:A, "*" &amp; LEFT(D55, FIND(" ", D55 &amp; " ") - 1) &amp; "*") &gt; 0,INDEX(A:A,FuzzyVLookup(D55,A:A,0,,,1)),"Non-PDL")</f>
        <v>ANORO ELLIPTA (umeclidinium/vilanterol)</v>
      </c>
      <c r="F55" t="str">
        <f t="shared" si="0"/>
        <v>Preferred</v>
      </c>
      <c r="G55" s="1" cm="1">
        <f t="array" ref="G55">FuzzyPercent(D55,E55,1)</f>
        <v>0.5</v>
      </c>
      <c r="H55" t="str">
        <f t="shared" si="1"/>
        <v/>
      </c>
    </row>
    <row r="56" spans="1:8" x14ac:dyDescent="0.2">
      <c r="A56" t="s">
        <v>110</v>
      </c>
      <c r="B56" t="s">
        <v>0</v>
      </c>
      <c r="D56" t="s">
        <v>2172</v>
      </c>
      <c r="E56" t="str" cm="1">
        <f t="array" ref="E56">IF(COUNTIF(A:A, "*" &amp; LEFT(D56, FIND(" ", D56 &amp; " ") - 1) &amp; "*") &gt; 0,INDEX(A:A,FuzzyVLookup(D56,A:A,0,,,1)),"Non-PDL")</f>
        <v>aprepitant</v>
      </c>
      <c r="F56" t="str">
        <f t="shared" si="0"/>
        <v>Preferred</v>
      </c>
      <c r="G56" s="1" cm="1">
        <f t="array" ref="G56">FuzzyPercent(D56,E56,1)</f>
        <v>0.375</v>
      </c>
      <c r="H56" t="str">
        <f t="shared" si="1"/>
        <v>CHECK</v>
      </c>
    </row>
    <row r="57" spans="1:8" x14ac:dyDescent="0.2">
      <c r="A57" t="s">
        <v>112</v>
      </c>
      <c r="B57" t="s">
        <v>0</v>
      </c>
      <c r="D57" t="s">
        <v>2173</v>
      </c>
      <c r="E57" t="str" cm="1">
        <f t="array" ref="E57">IF(COUNTIF(A:A, "*" &amp; LEFT(D57, FIND(" ", D57 &amp; " ") - 1) &amp; "*") &gt; 0,INDEX(A:A,FuzzyVLookup(D57,A:A,0,,,1)),"Non-PDL")</f>
        <v>APIDRA (insulin glulisine)</v>
      </c>
      <c r="F57" t="str">
        <f t="shared" si="0"/>
        <v>Non-Preferred</v>
      </c>
      <c r="G57" s="1" cm="1">
        <f t="array" ref="G57">FuzzyPercent(D57,E57,1)</f>
        <v>0.41463413834571838</v>
      </c>
      <c r="H57" t="str">
        <f t="shared" si="1"/>
        <v/>
      </c>
    </row>
    <row r="58" spans="1:8" x14ac:dyDescent="0.2">
      <c r="A58" t="s">
        <v>114</v>
      </c>
      <c r="B58" t="s">
        <v>0</v>
      </c>
      <c r="D58" t="s">
        <v>2174</v>
      </c>
      <c r="E58" t="str" cm="1">
        <f t="array" ref="E58">IF(COUNTIF(A:A, "*" &amp; LEFT(D58, FIND(" ", D58 &amp; " ") - 1) &amp; "*") &gt; 0,INDEX(A:A,FuzzyVLookup(D58,A:A,0,,,1)),"Non-PDL")</f>
        <v>APLENZIN (bupropion)</v>
      </c>
      <c r="F58" t="str">
        <f t="shared" si="0"/>
        <v>Non-Preferred</v>
      </c>
      <c r="G58" s="1" cm="1">
        <f t="array" ref="G58">FuzzyPercent(D58,E58,1)</f>
        <v>0.57142859697341919</v>
      </c>
      <c r="H58" t="str">
        <f t="shared" si="1"/>
        <v/>
      </c>
    </row>
    <row r="59" spans="1:8" x14ac:dyDescent="0.2">
      <c r="A59" t="s">
        <v>116</v>
      </c>
      <c r="B59" t="s">
        <v>0</v>
      </c>
      <c r="D59" t="s">
        <v>2175</v>
      </c>
      <c r="E59" t="str" cm="1">
        <f t="array" ref="E59">IF(COUNTIF(A:A, "*" &amp; LEFT(D59, FIND(" ", D59 &amp; " ") - 1) &amp; "*") &gt; 0,INDEX(A:A,FuzzyVLookup(D59,A:A,0,,,1)),"Non-PDL")</f>
        <v>APTIOM (eslicarbazine)</v>
      </c>
      <c r="F59" t="str">
        <f t="shared" si="0"/>
        <v>Non-Preferred</v>
      </c>
      <c r="G59" s="1" cm="1">
        <f t="array" ref="G59">FuzzyPercent(D59,E59,1)</f>
        <v>0.4285714328289032</v>
      </c>
      <c r="H59" t="str">
        <f t="shared" si="1"/>
        <v/>
      </c>
    </row>
    <row r="60" spans="1:8" x14ac:dyDescent="0.2">
      <c r="A60" t="s">
        <v>118</v>
      </c>
      <c r="B60" t="s">
        <v>0</v>
      </c>
      <c r="D60" t="s">
        <v>2176</v>
      </c>
      <c r="E60" t="str" cm="1">
        <f t="array" ref="E60">IF(COUNTIF(A:A, "*" &amp; LEFT(D60, FIND(" ", D60 &amp; " ") - 1) &amp; "*") &gt; 0,INDEX(A:A,FuzzyVLookup(D60,A:A,0,,,1)),"Non-PDL")</f>
        <v>Non-PDL</v>
      </c>
      <c r="F60" t="str">
        <f t="shared" si="0"/>
        <v>Non-PDL</v>
      </c>
      <c r="G60" s="1" cm="1">
        <f t="array" ref="G60">FuzzyPercent(D60,E60,1)</f>
        <v>4.1666667908430099E-2</v>
      </c>
      <c r="H60" t="str">
        <f t="shared" si="1"/>
        <v/>
      </c>
    </row>
    <row r="61" spans="1:8" x14ac:dyDescent="0.2">
      <c r="A61" t="s">
        <v>120</v>
      </c>
      <c r="B61" t="s">
        <v>0</v>
      </c>
      <c r="D61" t="s">
        <v>2177</v>
      </c>
      <c r="E61" t="str" cm="1">
        <f t="array" ref="E61">IF(COUNTIF(A:A, "*" &amp; LEFT(D61, FIND(" ", D61 &amp; " ") - 1) &amp; "*") &gt; 0,INDEX(A:A,FuzzyVLookup(D61,A:A,0,,,1)),"Non-PDL")</f>
        <v>ARCALYST (rilonacept)</v>
      </c>
      <c r="F61" t="str">
        <f t="shared" si="0"/>
        <v>Non-Preferred</v>
      </c>
      <c r="G61" s="1" cm="1">
        <f t="array" ref="G61">FuzzyPercent(D61,E61,1)</f>
        <v>0.5517241358757019</v>
      </c>
      <c r="H61" t="str">
        <f t="shared" si="1"/>
        <v/>
      </c>
    </row>
    <row r="62" spans="1:8" x14ac:dyDescent="0.2">
      <c r="A62" t="s">
        <v>122</v>
      </c>
      <c r="B62" t="s">
        <v>0</v>
      </c>
      <c r="D62" t="s">
        <v>2178</v>
      </c>
      <c r="E62" t="str" cm="1">
        <f t="array" ref="E62">IF(COUNTIF(A:A, "*" &amp; LEFT(D62, FIND(" ", D62 &amp; " ") - 1) &amp; "*") &gt; 0,INDEX(A:A,FuzzyVLookup(D62,A:A,0,,,1)),"Non-PDL")</f>
        <v>TRICARE</v>
      </c>
      <c r="F62" t="str">
        <f t="shared" si="0"/>
        <v>Preferred</v>
      </c>
      <c r="G62" s="1" cm="1">
        <f t="array" ref="G62">FuzzyPercent(D62,E62,1)</f>
        <v>0.57142859697341919</v>
      </c>
      <c r="H62" t="str">
        <f t="shared" si="1"/>
        <v/>
      </c>
    </row>
    <row r="63" spans="1:8" x14ac:dyDescent="0.2">
      <c r="A63" t="s">
        <v>124</v>
      </c>
      <c r="B63" t="s">
        <v>0</v>
      </c>
      <c r="D63" t="s">
        <v>2179</v>
      </c>
      <c r="E63" t="str" cm="1">
        <f t="array" ref="E63">IF(COUNTIF(A:A, "*" &amp; LEFT(D63, FIND(" ", D63 &amp; " ") - 1) &amp; "*") &gt; 0,INDEX(A:A,FuzzyVLookup(D63,A:A,0,,,1)),"Non-PDL")</f>
        <v>Non-PDL</v>
      </c>
      <c r="F63" t="str">
        <f t="shared" si="0"/>
        <v>Non-PDL</v>
      </c>
      <c r="G63" s="1" cm="1">
        <f t="array" ref="G63">FuzzyPercent(D63,E63,1)</f>
        <v>0</v>
      </c>
      <c r="H63" t="str">
        <f t="shared" si="1"/>
        <v/>
      </c>
    </row>
    <row r="64" spans="1:8" x14ac:dyDescent="0.2">
      <c r="A64" t="s">
        <v>126</v>
      </c>
      <c r="B64" t="s">
        <v>0</v>
      </c>
      <c r="D64" t="s">
        <v>2180</v>
      </c>
      <c r="E64" t="str" cm="1">
        <f t="array" ref="E64">IF(COUNTIF(A:A, "*" &amp; LEFT(D64, FIND(" ", D64 &amp; " ") - 1) &amp; "*") &gt; 0,INDEX(A:A,FuzzyVLookup(D64,A:A,0,,,1)),"Non-PDL")</f>
        <v>aripiprazole ODT, solution</v>
      </c>
      <c r="F64" t="str">
        <f t="shared" si="0"/>
        <v>Non-Preferred</v>
      </c>
      <c r="G64" s="1" cm="1">
        <f t="array" ref="G64">FuzzyPercent(D64,E64,1)</f>
        <v>0.76190477609634399</v>
      </c>
      <c r="H64" t="str">
        <f t="shared" si="1"/>
        <v/>
      </c>
    </row>
    <row r="65" spans="1:8" x14ac:dyDescent="0.2">
      <c r="A65" t="s">
        <v>128</v>
      </c>
      <c r="B65" t="s">
        <v>0</v>
      </c>
      <c r="D65" t="s">
        <v>2181</v>
      </c>
      <c r="E65" t="str" cm="1">
        <f t="array" ref="E65">IF(COUNTIF(A:A, "*" &amp; LEFT(D65, FIND(" ", D65 &amp; " ") - 1) &amp; "*") &gt; 0,INDEX(A:A,FuzzyVLookup(D65,A:A,0,,,1)),"Non-PDL")</f>
        <v>aripiprazole ODT, solution</v>
      </c>
      <c r="F65" t="str">
        <f t="shared" si="0"/>
        <v>Non-Preferred</v>
      </c>
      <c r="G65" s="1" cm="1">
        <f t="array" ref="G65">FuzzyPercent(D65,E65,1)</f>
        <v>0.88461536169052124</v>
      </c>
      <c r="H65" t="str">
        <f t="shared" si="1"/>
        <v/>
      </c>
    </row>
    <row r="66" spans="1:8" x14ac:dyDescent="0.2">
      <c r="A66" t="s">
        <v>130</v>
      </c>
      <c r="B66" t="s">
        <v>0</v>
      </c>
      <c r="D66" t="s">
        <v>2182</v>
      </c>
      <c r="E66" t="str" cm="1">
        <f t="array" ref="E66">IF(COUNTIF(A:A, "*" &amp; LEFT(D66, FIND(" ", D66 &amp; " ") - 1) &amp; "*") &gt; 0,INDEX(A:A,FuzzyVLookup(D66,A:A,0,,,1)),"Non-PDL")</f>
        <v>aripiprazole ODT, solution</v>
      </c>
      <c r="F66" t="str">
        <f t="shared" si="0"/>
        <v>Non-Preferred</v>
      </c>
      <c r="G66" s="1" cm="1">
        <f t="array" ref="G66">FuzzyPercent(D66,E66,1)</f>
        <v>0.66666668653488159</v>
      </c>
      <c r="H66" t="str">
        <f t="shared" si="1"/>
        <v/>
      </c>
    </row>
    <row r="67" spans="1:8" x14ac:dyDescent="0.2">
      <c r="A67" t="s">
        <v>132</v>
      </c>
      <c r="B67" t="s">
        <v>0</v>
      </c>
      <c r="D67" t="s">
        <v>2183</v>
      </c>
      <c r="E67" t="str" cm="1">
        <f t="array" ref="E67">IF(COUNTIF(A:A, "*" &amp; LEFT(D67, FIND(" ", D67 &amp; " ") - 1) &amp; "*") &gt; 0,INDEX(A:A,FuzzyVLookup(D67,A:A,0,,,1)),"Non-PDL")</f>
        <v>orlistat</v>
      </c>
      <c r="F67" t="str">
        <f t="shared" ref="F67:F130" si="2">_xlfn.IFNA(_xlfn.XLOOKUP(E67,A:A,B:B),"Non-PDL")</f>
        <v>Preferred</v>
      </c>
      <c r="G67" s="1" cm="1">
        <f t="array" ref="G67">FuzzyPercent(D67,E67,1)</f>
        <v>0.625</v>
      </c>
      <c r="H67" t="str">
        <f t="shared" ref="H67:H130" si="3">IF(F67="Non-PDL","",IF(G67&lt;0.4,"CHECK",""))</f>
        <v/>
      </c>
    </row>
    <row r="68" spans="1:8" x14ac:dyDescent="0.2">
      <c r="A68" t="s">
        <v>134</v>
      </c>
      <c r="B68" t="s">
        <v>0</v>
      </c>
      <c r="D68" t="s">
        <v>2184</v>
      </c>
      <c r="E68" t="str" cm="1">
        <f t="array" ref="E68">IF(COUNTIF(A:A, "*" &amp; LEFT(D68, FIND(" ", D68 &amp; " ") - 1) &amp; "*") &gt; 0,INDEX(A:A,FuzzyVLookup(D68,A:A,0,,,1)),"Non-PDL")</f>
        <v>ARISTADA INITIO (aripiprazole lauroxil)</v>
      </c>
      <c r="F68" t="str">
        <f t="shared" si="2"/>
        <v>Preferred</v>
      </c>
      <c r="G68" s="1" cm="1">
        <f t="array" ref="G68">FuzzyPercent(D68,E68,1)</f>
        <v>0.55555558204650879</v>
      </c>
      <c r="H68" t="str">
        <f t="shared" si="3"/>
        <v/>
      </c>
    </row>
    <row r="69" spans="1:8" x14ac:dyDescent="0.2">
      <c r="A69" t="s">
        <v>136</v>
      </c>
      <c r="B69" t="s">
        <v>0</v>
      </c>
      <c r="D69" t="s">
        <v>2185</v>
      </c>
      <c r="E69" t="str" cm="1">
        <f t="array" ref="E69">IF(COUNTIF(A:A, "*" &amp; LEFT(D69, FIND(" ", D69 &amp; " ") - 1) &amp; "*") &gt; 0,INDEX(A:A,FuzzyVLookup(D69,A:A,0,,,1)),"Non-PDL")</f>
        <v>ARMONAIR DIGIHALER (fluticasone)</v>
      </c>
      <c r="F69" t="str">
        <f t="shared" si="2"/>
        <v>Non-Preferred</v>
      </c>
      <c r="G69" s="1" cm="1">
        <f t="array" ref="G69">FuzzyPercent(D69,E69,1)</f>
        <v>0.72000002861022949</v>
      </c>
      <c r="H69" t="str">
        <f t="shared" si="3"/>
        <v/>
      </c>
    </row>
    <row r="70" spans="1:8" x14ac:dyDescent="0.2">
      <c r="A70" t="s">
        <v>138</v>
      </c>
      <c r="B70" t="s">
        <v>0</v>
      </c>
      <c r="D70" t="s">
        <v>2186</v>
      </c>
      <c r="E70" t="str" cm="1">
        <f t="array" ref="E70">IF(COUNTIF(A:A, "*" &amp; LEFT(D70, FIND(" ", D70 &amp; " ") - 1) &amp; "*") &gt; 0,INDEX(A:A,FuzzyVLookup(D70,A:A,0,,,1)),"Non-PDL")</f>
        <v>Non-PDL</v>
      </c>
      <c r="F70" t="str">
        <f t="shared" si="2"/>
        <v>Non-PDL</v>
      </c>
      <c r="G70" s="1" cm="1">
        <f t="array" ref="G70">FuzzyPercent(D70,E70,1)</f>
        <v>0</v>
      </c>
      <c r="H70" t="str">
        <f t="shared" si="3"/>
        <v/>
      </c>
    </row>
    <row r="71" spans="1:8" x14ac:dyDescent="0.2">
      <c r="A71" t="s">
        <v>140</v>
      </c>
      <c r="B71" t="s">
        <v>0</v>
      </c>
      <c r="D71" t="s">
        <v>2187</v>
      </c>
      <c r="E71" t="str" cm="1">
        <f t="array" ref="E71">IF(COUNTIF(A:A, "*" &amp; LEFT(D71, FIND(" ", D71 &amp; " ") - 1) &amp; "*") &gt; 0,INDEX(A:A,FuzzyVLookup(D71,A:A,0,,,1)),"Non-PDL")</f>
        <v>ARNUITY ELLIPTA (fluticasone)</v>
      </c>
      <c r="F71" t="str">
        <f t="shared" si="2"/>
        <v>Non-Preferred</v>
      </c>
      <c r="G71" s="1" cm="1">
        <f t="array" ref="G71">FuzzyPercent(D71,E71,1)</f>
        <v>0.68181818723678589</v>
      </c>
      <c r="H71" t="str">
        <f t="shared" si="3"/>
        <v/>
      </c>
    </row>
    <row r="72" spans="1:8" x14ac:dyDescent="0.2">
      <c r="A72" t="s">
        <v>142</v>
      </c>
      <c r="B72" t="s">
        <v>0</v>
      </c>
      <c r="D72" t="s">
        <v>2188</v>
      </c>
      <c r="E72" t="str" cm="1">
        <f t="array" ref="E72">IF(COUNTIF(A:A, "*" &amp; LEFT(D72, FIND(" ", D72 &amp; " ") - 1) &amp; "*") &gt; 0,INDEX(A:A,FuzzyVLookup(D72,A:A,0,,,1)),"Non-PDL")</f>
        <v>Non-PDL</v>
      </c>
      <c r="F72" t="str">
        <f t="shared" si="2"/>
        <v>Non-PDL</v>
      </c>
      <c r="G72" s="1" cm="1">
        <f t="array" ref="G72">FuzzyPercent(D72,E72,1)</f>
        <v>0.1111111119389534</v>
      </c>
      <c r="H72" t="str">
        <f t="shared" si="3"/>
        <v/>
      </c>
    </row>
    <row r="73" spans="1:8" x14ac:dyDescent="0.2">
      <c r="A73" t="s">
        <v>144</v>
      </c>
      <c r="B73" t="s">
        <v>0</v>
      </c>
      <c r="D73" t="s">
        <v>2189</v>
      </c>
      <c r="E73" t="str" cm="1">
        <f t="array" ref="E73">IF(COUNTIF(A:A, "*" &amp; LEFT(D73, FIND(" ", D73 &amp; " ") - 1) &amp; "*") &gt; 0,INDEX(A:A,FuzzyVLookup(D73,A:A,0,,,1)),"Non-PDL")</f>
        <v>asenapine</v>
      </c>
      <c r="F73" t="str">
        <f t="shared" si="2"/>
        <v>Preferred</v>
      </c>
      <c r="G73" s="1" cm="1">
        <f t="array" ref="G73">FuzzyPercent(D73,E73,1)</f>
        <v>1</v>
      </c>
      <c r="H73" t="str">
        <f t="shared" si="3"/>
        <v/>
      </c>
    </row>
    <row r="74" spans="1:8" x14ac:dyDescent="0.2">
      <c r="A74" t="s">
        <v>146</v>
      </c>
      <c r="B74" t="s">
        <v>0</v>
      </c>
      <c r="D74" t="s">
        <v>2190</v>
      </c>
      <c r="E74" t="str" cm="1">
        <f t="array" ref="E74">IF(COUNTIF(A:A, "*" &amp; LEFT(D74, FIND(" ", D74 &amp; " ") - 1) &amp; "*") &gt; 0,INDEX(A:A,FuzzyVLookup(D74,A:A,0,,,1)),"Non-PDL")</f>
        <v>ASMANEX HFA (mometasone)</v>
      </c>
      <c r="F74" t="str">
        <f t="shared" si="2"/>
        <v>Non-Preferred</v>
      </c>
      <c r="G74" s="1" cm="1">
        <f t="array" ref="G74">FuzzyPercent(D74,E74,1)</f>
        <v>0.62857145071029663</v>
      </c>
      <c r="H74" t="str">
        <f t="shared" si="3"/>
        <v/>
      </c>
    </row>
    <row r="75" spans="1:8" x14ac:dyDescent="0.2">
      <c r="A75" t="s">
        <v>148</v>
      </c>
      <c r="B75" t="s">
        <v>0</v>
      </c>
      <c r="D75" t="s">
        <v>2191</v>
      </c>
      <c r="E75" t="str" cm="1">
        <f t="array" ref="E75">IF(COUNTIF(A:A, "*" &amp; LEFT(D75, FIND(" ", D75 &amp; " ") - 1) &amp; "*") &gt; 0,INDEX(A:A,FuzzyVLookup(D75,A:A,0,,,1)),"Non-PDL")</f>
        <v>ASMANEX (mometasone)</v>
      </c>
      <c r="F75" t="str">
        <f t="shared" si="2"/>
        <v>Preferred</v>
      </c>
      <c r="G75" s="1" cm="1">
        <f t="array" ref="G75">FuzzyPercent(D75,E75,1)</f>
        <v>0.5</v>
      </c>
      <c r="H75" t="str">
        <f t="shared" si="3"/>
        <v/>
      </c>
    </row>
    <row r="76" spans="1:8" x14ac:dyDescent="0.2">
      <c r="A76" t="s">
        <v>150</v>
      </c>
      <c r="B76" t="s">
        <v>0</v>
      </c>
      <c r="D76" t="s">
        <v>2192</v>
      </c>
      <c r="E76" t="str" cm="1">
        <f t="array" ref="E76">IF(COUNTIF(A:A, "*" &amp; LEFT(D76, FIND(" ", D76 &amp; " ") - 1) &amp; "*") &gt; 0,INDEX(A:A,FuzzyVLookup(D76,A:A,0,,,1)),"Non-PDL")</f>
        <v>rizatriptan</v>
      </c>
      <c r="F76" t="str">
        <f t="shared" si="2"/>
        <v>Preferred</v>
      </c>
      <c r="G76" s="1" cm="1">
        <f t="array" ref="G76">FuzzyPercent(D76,E76,1)</f>
        <v>0.5</v>
      </c>
      <c r="H76" t="str">
        <f t="shared" si="3"/>
        <v/>
      </c>
    </row>
    <row r="77" spans="1:8" x14ac:dyDescent="0.2">
      <c r="A77" t="s">
        <v>152</v>
      </c>
      <c r="B77" t="s">
        <v>0</v>
      </c>
      <c r="D77" t="s">
        <v>2193</v>
      </c>
      <c r="E77" t="str" cm="1">
        <f t="array" ref="E77">IF(COUNTIF(A:A, "*" &amp; LEFT(D77, FIND(" ", D77 &amp; " ") - 1) &amp; "*") &gt; 0,INDEX(A:A,FuzzyVLookup(D77,A:A,0,,,1)),"Non-PDL")</f>
        <v>Non-PDL</v>
      </c>
      <c r="F77" t="str">
        <f t="shared" si="2"/>
        <v>Non-PDL</v>
      </c>
      <c r="G77" s="1" cm="1">
        <f t="array" ref="G77">FuzzyPercent(D77,E77,1)</f>
        <v>0</v>
      </c>
      <c r="H77" t="str">
        <f t="shared" si="3"/>
        <v/>
      </c>
    </row>
    <row r="78" spans="1:8" x14ac:dyDescent="0.2">
      <c r="A78" t="s">
        <v>154</v>
      </c>
      <c r="B78" t="s">
        <v>0</v>
      </c>
      <c r="D78" t="s">
        <v>2194</v>
      </c>
      <c r="E78" t="str" cm="1">
        <f t="array" ref="E78">IF(COUNTIF(A:A, "*" &amp; LEFT(D78, FIND(" ", D78 &amp; " ") - 1) &amp; "*") &gt; 0,INDEX(A:A,FuzzyVLookup(D78,A:A,0,,,1)),"Non-PDL")</f>
        <v>AUBAGIO (teriflunomide)</v>
      </c>
      <c r="F78" t="str">
        <f t="shared" si="2"/>
        <v>Non-Preferred</v>
      </c>
      <c r="G78" s="1" cm="1">
        <f t="array" ref="G78">FuzzyPercent(D78,E78,1)</f>
        <v>0.51351350545883179</v>
      </c>
      <c r="H78" t="str">
        <f t="shared" si="3"/>
        <v/>
      </c>
    </row>
    <row r="79" spans="1:8" x14ac:dyDescent="0.2">
      <c r="A79" t="s">
        <v>156</v>
      </c>
      <c r="B79" t="s">
        <v>0</v>
      </c>
      <c r="D79" t="s">
        <v>2195</v>
      </c>
      <c r="E79" t="str" cm="1">
        <f t="array" ref="E79">IF(COUNTIF(A:A, "*" &amp; LEFT(D79, FIND(" ", D79 &amp; " ") - 1) &amp; "*") &gt; 0,INDEX(A:A,FuzzyVLookup(D79,A:A,0,,,1)),"Non-PDL")</f>
        <v>AUGTYRO (repotrectinib)</v>
      </c>
      <c r="F79" t="str">
        <f t="shared" si="2"/>
        <v>Non-Preferred</v>
      </c>
      <c r="G79" s="1" cm="1">
        <f t="array" ref="G79">FuzzyPercent(D79,E79,1)</f>
        <v>0.47368422150611877</v>
      </c>
      <c r="H79" t="str">
        <f t="shared" si="3"/>
        <v/>
      </c>
    </row>
    <row r="80" spans="1:8" x14ac:dyDescent="0.2">
      <c r="A80" t="s">
        <v>158</v>
      </c>
      <c r="B80" t="s">
        <v>0</v>
      </c>
      <c r="D80" t="s">
        <v>2196</v>
      </c>
      <c r="E80" t="str" cm="1">
        <f t="array" ref="E80">IF(COUNTIF(A:A, "*" &amp; LEFT(D80, FIND(" ", D80 &amp; " ") - 1) &amp; "*") &gt; 0,INDEX(A:A,FuzzyVLookup(D80,A:A,0,,,1)),"Non-PDL")</f>
        <v>AURYXIA (ferric citrate)</v>
      </c>
      <c r="F80" t="str">
        <f t="shared" si="2"/>
        <v>Non-Preferred</v>
      </c>
      <c r="G80" s="1" cm="1">
        <f t="array" ref="G80">FuzzyPercent(D80,E80,1)</f>
        <v>0.45161288976669312</v>
      </c>
      <c r="H80" t="str">
        <f t="shared" si="3"/>
        <v/>
      </c>
    </row>
    <row r="81" spans="1:8" x14ac:dyDescent="0.2">
      <c r="A81" t="s">
        <v>160</v>
      </c>
      <c r="B81" t="s">
        <v>0</v>
      </c>
      <c r="D81" t="s">
        <v>2197</v>
      </c>
      <c r="E81" t="str" cm="1">
        <f t="array" ref="E81">IF(COUNTIF(A:A, "*" &amp; LEFT(D81, FIND(" ", D81 &amp; " ") - 1) &amp; "*") &gt; 0,INDEX(A:A,FuzzyVLookup(D81,A:A,0,,,1)),"Non-PDL")</f>
        <v>Non-PDL</v>
      </c>
      <c r="F81" t="str">
        <f t="shared" si="2"/>
        <v>Non-PDL</v>
      </c>
      <c r="G81" s="1" cm="1">
        <f t="array" ref="G81">FuzzyPercent(D81,E81,1)</f>
        <v>0.1428571492433548</v>
      </c>
      <c r="H81" t="str">
        <f t="shared" si="3"/>
        <v/>
      </c>
    </row>
    <row r="82" spans="1:8" x14ac:dyDescent="0.2">
      <c r="A82" t="s">
        <v>162</v>
      </c>
      <c r="B82" t="s">
        <v>0</v>
      </c>
      <c r="D82" t="s">
        <v>2198</v>
      </c>
      <c r="E82" t="str" cm="1">
        <f t="array" ref="E82">IF(COUNTIF(A:A, "*" &amp; LEFT(D82, FIND(" ", D82 &amp; " ") - 1) &amp; "*") &gt; 0,INDEX(A:A,FuzzyVLookup(D82,A:A,0,,,1)),"Non-PDL")</f>
        <v>Non-PDL</v>
      </c>
      <c r="F82" t="str">
        <f t="shared" si="2"/>
        <v>Non-PDL</v>
      </c>
      <c r="G82" s="1" cm="1">
        <f t="array" ref="G82">FuzzyPercent(D82,E82,1)</f>
        <v>0.10000000149011612</v>
      </c>
      <c r="H82" t="str">
        <f t="shared" si="3"/>
        <v/>
      </c>
    </row>
    <row r="83" spans="1:8" x14ac:dyDescent="0.2">
      <c r="A83" t="s">
        <v>164</v>
      </c>
      <c r="B83" t="s">
        <v>0</v>
      </c>
      <c r="D83" t="s">
        <v>2199</v>
      </c>
      <c r="E83" t="str" cm="1">
        <f t="array" ref="E83">IF(COUNTIF(A:A, "*" &amp; LEFT(D83, FIND(" ", D83 &amp; " ") - 1) &amp; "*") &gt; 0,INDEX(A:A,FuzzyVLookup(D83,A:A,0,,,1)),"Non-PDL")</f>
        <v>Non-PDL</v>
      </c>
      <c r="F83" t="str">
        <f t="shared" si="2"/>
        <v>Non-PDL</v>
      </c>
      <c r="G83" s="1" cm="1">
        <f t="array" ref="G83">FuzzyPercent(D83,E83,1)</f>
        <v>3.9999999105930328E-2</v>
      </c>
      <c r="H83" t="str">
        <f t="shared" si="3"/>
        <v/>
      </c>
    </row>
    <row r="84" spans="1:8" x14ac:dyDescent="0.2">
      <c r="A84" t="s">
        <v>166</v>
      </c>
      <c r="B84" t="s">
        <v>0</v>
      </c>
      <c r="D84" t="s">
        <v>2200</v>
      </c>
      <c r="E84" t="str" cm="1">
        <f t="array" ref="E84">IF(COUNTIF(A:A, "*" &amp; LEFT(D84, FIND(" ", D84 &amp; " ") - 1) &amp; "*") &gt; 0,INDEX(A:A,FuzzyVLookup(D84,A:A,0,,,1)),"Non-PDL")</f>
        <v>aprepitant</v>
      </c>
      <c r="F84" t="str">
        <f t="shared" si="2"/>
        <v>Preferred</v>
      </c>
      <c r="G84" s="1" cm="1">
        <f t="array" ref="G84">FuzzyPercent(D84,E84,1)</f>
        <v>0.4444444477558136</v>
      </c>
      <c r="H84" t="str">
        <f t="shared" si="3"/>
        <v/>
      </c>
    </row>
    <row r="85" spans="1:8" x14ac:dyDescent="0.2">
      <c r="A85" t="s">
        <v>168</v>
      </c>
      <c r="B85" t="s">
        <v>0</v>
      </c>
      <c r="D85" t="s">
        <v>2201</v>
      </c>
      <c r="E85" t="str" cm="1">
        <f t="array" ref="E85">IF(COUNTIF(A:A, "*" &amp; LEFT(D85, FIND(" ", D85 &amp; " ") - 1) &amp; "*") &gt; 0,INDEX(A:A,FuzzyVLookup(D85,A:A,0,,,1)),"Non-PDL")</f>
        <v>AUVI-Q (epinephrine)</v>
      </c>
      <c r="F85" t="str">
        <f t="shared" si="2"/>
        <v>Non-Preferred</v>
      </c>
      <c r="G85" s="1" cm="1">
        <f t="array" ref="G85">FuzzyPercent(D85,E85,1)</f>
        <v>0.4117647111415863</v>
      </c>
      <c r="H85" t="str">
        <f t="shared" si="3"/>
        <v/>
      </c>
    </row>
    <row r="86" spans="1:8" x14ac:dyDescent="0.2">
      <c r="A86" t="s">
        <v>170</v>
      </c>
      <c r="B86" t="s">
        <v>0</v>
      </c>
      <c r="D86" t="s">
        <v>2202</v>
      </c>
      <c r="E86" t="str" cm="1">
        <f t="array" ref="E86">IF(COUNTIF(A:A, "*" &amp; LEFT(D86, FIND(" ", D86 &amp; " ") - 1) &amp; "*") &gt; 0,INDEX(A:A,FuzzyVLookup(D86,A:A,0,,,1)),"Non-PDL")</f>
        <v>AUVI-Q (epinephrine)</v>
      </c>
      <c r="F86" t="str">
        <f t="shared" si="2"/>
        <v>Non-Preferred</v>
      </c>
      <c r="G86" s="1" cm="1">
        <f t="array" ref="G86">FuzzyPercent(D86,E86,1)</f>
        <v>0.42424243688583374</v>
      </c>
      <c r="H86" t="str">
        <f t="shared" si="3"/>
        <v/>
      </c>
    </row>
    <row r="87" spans="1:8" x14ac:dyDescent="0.2">
      <c r="A87" t="s">
        <v>172</v>
      </c>
      <c r="B87" t="s">
        <v>0</v>
      </c>
      <c r="D87" t="s">
        <v>2203</v>
      </c>
      <c r="E87" t="str" cm="1">
        <f t="array" ref="E87">IF(COUNTIF(A:A, "*" &amp; LEFT(D87, FIND(" ", D87 &amp; " ") - 1) &amp; "*") &gt; 0,INDEX(A:A,FuzzyVLookup(D87,A:A,0,,,1)),"Non-PDL")</f>
        <v>AUVI-Q (epinephrine)</v>
      </c>
      <c r="F87" t="str">
        <f t="shared" si="2"/>
        <v>Non-Preferred</v>
      </c>
      <c r="G87" s="1" cm="1">
        <f t="array" ref="G87">FuzzyPercent(D87,E87,1)</f>
        <v>0.42424243688583374</v>
      </c>
      <c r="H87" t="str">
        <f t="shared" si="3"/>
        <v/>
      </c>
    </row>
    <row r="88" spans="1:8" x14ac:dyDescent="0.2">
      <c r="A88" t="s">
        <v>174</v>
      </c>
      <c r="B88" t="s">
        <v>0</v>
      </c>
      <c r="D88" t="s">
        <v>2204</v>
      </c>
      <c r="E88" t="str" cm="1">
        <f t="array" ref="E88">IF(COUNTIF(A:A, "*" &amp; LEFT(D88, FIND(" ", D88 &amp; " ") - 1) &amp; "*") &gt; 0,INDEX(A:A,FuzzyVLookup(D88,A:A,0,,,1)),"Non-PDL")</f>
        <v>Non-PDL</v>
      </c>
      <c r="F88" t="str">
        <f t="shared" si="2"/>
        <v>Non-PDL</v>
      </c>
      <c r="G88" s="1" cm="1">
        <f t="array" ref="G88">FuzzyPercent(D88,E88,1)</f>
        <v>0</v>
      </c>
      <c r="H88" t="str">
        <f t="shared" si="3"/>
        <v/>
      </c>
    </row>
    <row r="89" spans="1:8" x14ac:dyDescent="0.2">
      <c r="A89" t="s">
        <v>176</v>
      </c>
      <c r="B89" t="s">
        <v>0</v>
      </c>
      <c r="D89" t="s">
        <v>2205</v>
      </c>
      <c r="E89" t="str" cm="1">
        <f t="array" ref="E89">IF(COUNTIF(A:A, "*" &amp; LEFT(D89, FIND(" ", D89 &amp; " ") - 1) &amp; "*") &gt; 0,INDEX(A:A,FuzzyVLookup(D89,A:A,0,,,1)),"Non-PDL")</f>
        <v>AVONEX (interferon beta-1a)</v>
      </c>
      <c r="F89" t="str">
        <f t="shared" si="2"/>
        <v>Non-Preferred</v>
      </c>
      <c r="G89" s="1" cm="1">
        <f t="array" ref="G89">FuzzyPercent(D89,E89,1)</f>
        <v>0.40425533056259155</v>
      </c>
      <c r="H89" t="str">
        <f t="shared" si="3"/>
        <v/>
      </c>
    </row>
    <row r="90" spans="1:8" x14ac:dyDescent="0.2">
      <c r="A90" t="s">
        <v>178</v>
      </c>
      <c r="B90" t="s">
        <v>0</v>
      </c>
      <c r="D90" t="s">
        <v>2206</v>
      </c>
      <c r="E90" t="str" cm="1">
        <f t="array" ref="E90">IF(COUNTIF(A:A, "*" &amp; LEFT(D90, FIND(" ", D90 &amp; " ") - 1) &amp; "*") &gt; 0,INDEX(A:A,FuzzyVLookup(D90,A:A,0,,,1)),"Non-PDL")</f>
        <v>AVONEX (interferon beta-1a)</v>
      </c>
      <c r="F90" t="str">
        <f t="shared" si="2"/>
        <v>Non-Preferred</v>
      </c>
      <c r="G90" s="1" cm="1">
        <f t="array" ref="G90">FuzzyPercent(D90,E90,1)</f>
        <v>0.4117647111415863</v>
      </c>
      <c r="H90" t="str">
        <f t="shared" si="3"/>
        <v/>
      </c>
    </row>
    <row r="91" spans="1:8" x14ac:dyDescent="0.2">
      <c r="A91" t="s">
        <v>180</v>
      </c>
      <c r="B91" t="s">
        <v>0</v>
      </c>
      <c r="D91" t="s">
        <v>2207</v>
      </c>
      <c r="E91" t="str" cm="1">
        <f t="array" ref="E91">IF(COUNTIF(A:A, "*" &amp; LEFT(D91, FIND(" ", D91 &amp; " ") - 1) &amp; "*") &gt; 0,INDEX(A:A,FuzzyVLookup(D91,A:A,0,,,1)),"Non-PDL")</f>
        <v>levocetirizine</v>
      </c>
      <c r="F91" t="str">
        <f t="shared" si="2"/>
        <v>Preferred</v>
      </c>
      <c r="G91" s="1" cm="1">
        <f t="array" ref="G91">FuzzyPercent(D91,E91,1)</f>
        <v>0.375</v>
      </c>
      <c r="H91" t="str">
        <f t="shared" si="3"/>
        <v>CHECK</v>
      </c>
    </row>
    <row r="92" spans="1:8" x14ac:dyDescent="0.2">
      <c r="A92" t="s">
        <v>182</v>
      </c>
      <c r="B92" t="s">
        <v>0</v>
      </c>
      <c r="D92" t="s">
        <v>2208</v>
      </c>
      <c r="E92" t="str" cm="1">
        <f t="array" ref="E92">IF(COUNTIF(A:A, "*" &amp; LEFT(D92, FIND(" ", D92 &amp; " ") - 1) &amp; "*") &gt; 0,INDEX(A:A,FuzzyVLookup(D92,A:A,0,,,1)),"Non-PDL")</f>
        <v>irbesartan</v>
      </c>
      <c r="F92" t="str">
        <f t="shared" si="2"/>
        <v>Preferred</v>
      </c>
      <c r="G92" s="1" cm="1">
        <f t="array" ref="G92">FuzzyPercent(D92,E92,1)</f>
        <v>0.60000002384185791</v>
      </c>
      <c r="H92" t="str">
        <f t="shared" si="3"/>
        <v/>
      </c>
    </row>
    <row r="93" spans="1:8" x14ac:dyDescent="0.2">
      <c r="A93" t="s">
        <v>184</v>
      </c>
      <c r="B93" t="s">
        <v>0</v>
      </c>
      <c r="D93" t="s">
        <v>2209</v>
      </c>
      <c r="E93" t="str" cm="1">
        <f t="array" ref="E93">IF(COUNTIF(A:A, "*" &amp; LEFT(D93, FIND(" ", D93 &amp; " ") - 1) &amp; "*") &gt; 0,INDEX(A:A,FuzzyVLookup(D93,A:A,0,,,1)),"Non-PDL")</f>
        <v>AFSTYLA</v>
      </c>
      <c r="F93" t="str">
        <f t="shared" si="2"/>
        <v>Preferred</v>
      </c>
      <c r="G93" s="1" cm="1">
        <f t="array" ref="G93">FuzzyPercent(D93,E93,1)</f>
        <v>0.5</v>
      </c>
      <c r="H93" t="str">
        <f t="shared" si="3"/>
        <v/>
      </c>
    </row>
    <row r="94" spans="1:8" x14ac:dyDescent="0.2">
      <c r="A94" t="s">
        <v>186</v>
      </c>
      <c r="B94" t="s">
        <v>0</v>
      </c>
      <c r="D94" t="s">
        <v>2210</v>
      </c>
      <c r="E94" t="str" cm="1">
        <f t="array" ref="E94">IF(COUNTIF(A:A, "*" &amp; LEFT(D94, FIND(" ", D94 &amp; " ") - 1) &amp; "*") &gt; 0,INDEX(A:A,FuzzyVLookup(D94,A:A,0,,,1)),"Non-PDL")</f>
        <v>baclofen suspension</v>
      </c>
      <c r="F94" t="str">
        <f t="shared" si="2"/>
        <v>Non-Preferred</v>
      </c>
      <c r="G94" s="1" cm="1">
        <f t="array" ref="G94">FuzzyPercent(D94,E94,1)</f>
        <v>0.69444441795349121</v>
      </c>
      <c r="H94" t="str">
        <f t="shared" si="3"/>
        <v/>
      </c>
    </row>
    <row r="95" spans="1:8" x14ac:dyDescent="0.2">
      <c r="A95" t="s">
        <v>188</v>
      </c>
      <c r="B95" t="s">
        <v>0</v>
      </c>
      <c r="D95" t="s">
        <v>2211</v>
      </c>
      <c r="E95" t="str" cm="1">
        <f t="array" ref="E95">IF(COUNTIF(A:A, "*" &amp; LEFT(D95, FIND(" ", D95 &amp; " ") - 1) &amp; "*") &gt; 0,INDEX(A:A,FuzzyVLookup(D95,A:A,0,,,1)),"Non-PDL")</f>
        <v>baclofen suspension</v>
      </c>
      <c r="F95" t="str">
        <f t="shared" si="2"/>
        <v>Non-Preferred</v>
      </c>
      <c r="G95" s="1" cm="1">
        <f t="array" ref="G95">FuzzyPercent(D95,E95,1)</f>
        <v>0.58823531866073608</v>
      </c>
      <c r="H95" t="str">
        <f t="shared" si="3"/>
        <v/>
      </c>
    </row>
    <row r="96" spans="1:8" x14ac:dyDescent="0.2">
      <c r="A96" t="s">
        <v>190</v>
      </c>
      <c r="B96" t="s">
        <v>0</v>
      </c>
      <c r="D96" t="s">
        <v>2212</v>
      </c>
      <c r="E96" t="str" cm="1">
        <f t="array" ref="E96">IF(COUNTIF(A:A, "*" &amp; LEFT(D96, FIND(" ", D96 &amp; " ") - 1) &amp; "*") &gt; 0,INDEX(A:A,FuzzyVLookup(D96,A:A,0,,,1)),"Non-PDL")</f>
        <v>BAFIERTAM (monomethyl fumarate)</v>
      </c>
      <c r="F96" t="str">
        <f t="shared" si="2"/>
        <v>Non-Preferred</v>
      </c>
      <c r="G96" s="1" cm="1">
        <f t="array" ref="G96">FuzzyPercent(D96,E96,1)</f>
        <v>0.44999998807907104</v>
      </c>
      <c r="H96" t="str">
        <f t="shared" si="3"/>
        <v/>
      </c>
    </row>
    <row r="97" spans="1:8" x14ac:dyDescent="0.2">
      <c r="A97" t="s">
        <v>192</v>
      </c>
      <c r="B97" t="s">
        <v>0</v>
      </c>
      <c r="D97" t="s">
        <v>2213</v>
      </c>
      <c r="E97" t="str" cm="1">
        <f t="array" ref="E97">IF(COUNTIF(A:A, "*" &amp; LEFT(D97, FIND(" ", D97 &amp; " ") - 1) &amp; "*") &gt; 0,INDEX(A:A,FuzzyVLookup(D97,A:A,0,,,1)),"Non-PDL")</f>
        <v>BANZEL (rufinamide)</v>
      </c>
      <c r="F97" t="str">
        <f t="shared" si="2"/>
        <v>Non-Preferred</v>
      </c>
      <c r="G97" s="1" cm="1">
        <f t="array" ref="G97">FuzzyPercent(D97,E97,1)</f>
        <v>0.40909090638160706</v>
      </c>
      <c r="H97" t="str">
        <f t="shared" si="3"/>
        <v/>
      </c>
    </row>
    <row r="98" spans="1:8" x14ac:dyDescent="0.2">
      <c r="A98" t="s">
        <v>194</v>
      </c>
      <c r="B98" t="s">
        <v>0</v>
      </c>
      <c r="D98" t="s">
        <v>2214</v>
      </c>
      <c r="E98" t="str" cm="1">
        <f t="array" ref="E98">IF(COUNTIF(A:A, "*" &amp; LEFT(D98, FIND(" ", D98 &amp; " ") - 1) &amp; "*") &gt; 0,INDEX(A:A,FuzzyVLookup(D98,A:A,0,,,1)),"Non-PDL")</f>
        <v>BANZEL (rufinamide)</v>
      </c>
      <c r="F98" t="str">
        <f t="shared" si="2"/>
        <v>Non-Preferred</v>
      </c>
      <c r="G98" s="1" cm="1">
        <f t="array" ref="G98">FuzzyPercent(D98,E98,1)</f>
        <v>0.4375</v>
      </c>
      <c r="H98" t="str">
        <f t="shared" si="3"/>
        <v/>
      </c>
    </row>
    <row r="99" spans="1:8" x14ac:dyDescent="0.2">
      <c r="A99" t="s">
        <v>196</v>
      </c>
      <c r="B99" t="s">
        <v>0</v>
      </c>
      <c r="D99" t="s">
        <v>2215</v>
      </c>
      <c r="E99" t="str" cm="1">
        <f t="array" ref="E99">IF(COUNTIF(A:A, "*" &amp; LEFT(D99, FIND(" ", D99 &amp; " ") - 1) &amp; "*") &gt; 0,INDEX(A:A,FuzzyVLookup(D99,A:A,0,,,1)),"Non-PDL")</f>
        <v>BARACLUDE (entecavir)</v>
      </c>
      <c r="F99" t="str">
        <f t="shared" si="2"/>
        <v>Non-Preferred</v>
      </c>
      <c r="G99" s="1" cm="1">
        <f t="array" ref="G99">FuzzyPercent(D99,E99,1)</f>
        <v>0.60000002384185791</v>
      </c>
      <c r="H99" t="str">
        <f t="shared" si="3"/>
        <v/>
      </c>
    </row>
    <row r="100" spans="1:8" x14ac:dyDescent="0.2">
      <c r="A100" t="s">
        <v>198</v>
      </c>
      <c r="B100" t="s">
        <v>0</v>
      </c>
      <c r="D100" t="s">
        <v>2216</v>
      </c>
      <c r="E100" t="str" cm="1">
        <f t="array" ref="E100">IF(COUNTIF(A:A, "*" &amp; LEFT(D100, FIND(" ", D100 &amp; " ") - 1) &amp; "*") &gt; 0,INDEX(A:A,FuzzyVLookup(D100,A:A,0,,,1)),"Non-PDL")</f>
        <v>BASAGLAR (insulin glargine)</v>
      </c>
      <c r="F100" t="str">
        <f t="shared" si="2"/>
        <v>Non-Preferred</v>
      </c>
      <c r="G100" s="1" cm="1">
        <f t="array" ref="G100">FuzzyPercent(D100,E100,1)</f>
        <v>0.4883720874786377</v>
      </c>
      <c r="H100" t="str">
        <f t="shared" si="3"/>
        <v/>
      </c>
    </row>
    <row r="101" spans="1:8" x14ac:dyDescent="0.2">
      <c r="A101" t="s">
        <v>200</v>
      </c>
      <c r="B101" t="s">
        <v>0</v>
      </c>
      <c r="D101" t="s">
        <v>2217</v>
      </c>
      <c r="E101" t="str" cm="1">
        <f t="array" ref="E101">IF(COUNTIF(A:A, "*" &amp; LEFT(D101, FIND(" ", D101 &amp; " ") - 1) &amp; "*") &gt; 0,INDEX(A:A,FuzzyVLookup(D101,A:A,0,,,1)),"Non-PDL")</f>
        <v>Non-PDL</v>
      </c>
      <c r="F101" t="str">
        <f t="shared" si="2"/>
        <v>Non-PDL</v>
      </c>
      <c r="G101" s="1" cm="1">
        <f t="array" ref="G101">FuzzyPercent(D101,E101,1)</f>
        <v>0</v>
      </c>
      <c r="H101" t="str">
        <f t="shared" si="3"/>
        <v/>
      </c>
    </row>
    <row r="102" spans="1:8" x14ac:dyDescent="0.2">
      <c r="A102" t="s">
        <v>202</v>
      </c>
      <c r="B102" t="s">
        <v>0</v>
      </c>
      <c r="D102" t="s">
        <v>2218</v>
      </c>
      <c r="E102" t="str" cm="1">
        <f t="array" ref="E102">IF(COUNTIF(A:A, "*" &amp; LEFT(D102, FIND(" ", D102 &amp; " ") - 1) &amp; "*") &gt; 0,INDEX(A:A,FuzzyVLookup(D102,A:A,0,,,1)),"Non-PDL")</f>
        <v>benazepril</v>
      </c>
      <c r="F102" t="str">
        <f t="shared" si="2"/>
        <v>Preferred</v>
      </c>
      <c r="G102" s="1" cm="1">
        <f t="array" ref="G102">FuzzyPercent(D102,E102,1)</f>
        <v>1</v>
      </c>
      <c r="H102" t="str">
        <f t="shared" si="3"/>
        <v/>
      </c>
    </row>
    <row r="103" spans="1:8" x14ac:dyDescent="0.2">
      <c r="A103" t="s">
        <v>204</v>
      </c>
      <c r="B103" t="s">
        <v>0</v>
      </c>
      <c r="D103" t="s">
        <v>2219</v>
      </c>
      <c r="E103" t="str" cm="1">
        <f t="array" ref="E103">IF(COUNTIF(A:A, "*" &amp; LEFT(D103, FIND(" ", D103 &amp; " ") - 1) &amp; "*") &gt; 0,INDEX(A:A,FuzzyVLookup(D103,A:A,0,,,1)),"Non-PDL")</f>
        <v>BENEFIX</v>
      </c>
      <c r="F103" t="str">
        <f t="shared" si="2"/>
        <v>Preferred</v>
      </c>
      <c r="G103" s="1" cm="1">
        <f t="array" ref="G103">FuzzyPercent(D103,E103,1)</f>
        <v>1</v>
      </c>
      <c r="H103" t="str">
        <f t="shared" si="3"/>
        <v/>
      </c>
    </row>
    <row r="104" spans="1:8" x14ac:dyDescent="0.2">
      <c r="A104" t="s">
        <v>206</v>
      </c>
      <c r="B104" t="s">
        <v>0</v>
      </c>
      <c r="D104" t="s">
        <v>2220</v>
      </c>
      <c r="E104" t="str" cm="1">
        <f t="array" ref="E104">IF(COUNTIF(A:A, "*" &amp; LEFT(D104, FIND(" ", D104 &amp; " ") - 1) &amp; "*") &gt; 0,INDEX(A:A,FuzzyVLookup(D104,A:A,0,,,1)),"Non-PDL")</f>
        <v>Non-PDL</v>
      </c>
      <c r="F104" t="str">
        <f t="shared" si="2"/>
        <v>Non-PDL</v>
      </c>
      <c r="G104" s="1" cm="1">
        <f t="array" ref="G104">FuzzyPercent(D104,E104,1)</f>
        <v>0.25</v>
      </c>
      <c r="H104" t="str">
        <f t="shared" si="3"/>
        <v/>
      </c>
    </row>
    <row r="105" spans="1:8" x14ac:dyDescent="0.2">
      <c r="A105" t="s">
        <v>208</v>
      </c>
      <c r="B105" t="s">
        <v>0</v>
      </c>
      <c r="D105" t="s">
        <v>2221</v>
      </c>
      <c r="E105" t="str" cm="1">
        <f t="array" ref="E105">IF(COUNTIF(A:A, "*" &amp; LEFT(D105, FIND(" ", D105 &amp; " ") - 1) &amp; "*") &gt; 0,INDEX(A:A,FuzzyVLookup(D105,A:A,0,,,1)),"Non-PDL")</f>
        <v>Non-PDL</v>
      </c>
      <c r="F105" t="str">
        <f t="shared" si="2"/>
        <v>Non-PDL</v>
      </c>
      <c r="G105" s="1" cm="1">
        <f t="array" ref="G105">FuzzyPercent(D105,E105,1)</f>
        <v>8.3333335816860199E-2</v>
      </c>
      <c r="H105" t="str">
        <f t="shared" si="3"/>
        <v/>
      </c>
    </row>
    <row r="106" spans="1:8" x14ac:dyDescent="0.2">
      <c r="A106" t="s">
        <v>210</v>
      </c>
      <c r="B106" t="s">
        <v>0</v>
      </c>
      <c r="D106" t="s">
        <v>2222</v>
      </c>
      <c r="E106" t="str" cm="1">
        <f t="array" ref="E106">IF(COUNTIF(A:A, "*" &amp; LEFT(D106, FIND(" ", D106 &amp; " ") - 1) &amp; "*") &gt; 0,INDEX(A:A,FuzzyVLookup(D106,A:A,0,,,1)),"Non-PDL")</f>
        <v>BETAPACE (sotalol)</v>
      </c>
      <c r="F106" t="str">
        <f t="shared" si="2"/>
        <v>Non-Preferred</v>
      </c>
      <c r="G106" s="1" cm="1">
        <f t="array" ref="G106">FuzzyPercent(D106,E106,1)</f>
        <v>0.61538463830947876</v>
      </c>
      <c r="H106" t="str">
        <f t="shared" si="3"/>
        <v/>
      </c>
    </row>
    <row r="107" spans="1:8" x14ac:dyDescent="0.2">
      <c r="A107" t="s">
        <v>212</v>
      </c>
      <c r="B107" t="s">
        <v>0</v>
      </c>
      <c r="D107" t="s">
        <v>2223</v>
      </c>
      <c r="E107" t="str" cm="1">
        <f t="array" ref="E107">IF(COUNTIF(A:A, "*" &amp; LEFT(D107, FIND(" ", D107 &amp; " ") - 1) &amp; "*") &gt; 0,INDEX(A:A,FuzzyVLookup(D107,A:A,0,,,1)),"Non-PDL")</f>
        <v>BETAPACE AF (sotalol)</v>
      </c>
      <c r="F107" t="str">
        <f t="shared" si="2"/>
        <v>Non-Preferred</v>
      </c>
      <c r="G107" s="1" cm="1">
        <f t="array" ref="G107">FuzzyPercent(D107,E107,1)</f>
        <v>0.6875</v>
      </c>
      <c r="H107" t="str">
        <f t="shared" si="3"/>
        <v/>
      </c>
    </row>
    <row r="108" spans="1:8" x14ac:dyDescent="0.2">
      <c r="A108" t="s">
        <v>214</v>
      </c>
      <c r="B108" t="s">
        <v>0</v>
      </c>
      <c r="D108" t="s">
        <v>2224</v>
      </c>
      <c r="E108" t="str" cm="1">
        <f t="array" ref="E108">IF(COUNTIF(A:A, "*" &amp; LEFT(D108, FIND(" ", D108 &amp; " ") - 1) &amp; "*") &gt; 0,INDEX(A:A,FuzzyVLookup(D108,A:A,0,,,1)),"Non-PDL")</f>
        <v>BENEFIX</v>
      </c>
      <c r="F108" t="str">
        <f t="shared" si="2"/>
        <v>Preferred</v>
      </c>
      <c r="G108" s="1" cm="1">
        <f t="array" ref="G108">FuzzyPercent(D108,E108,1)</f>
        <v>0.4285714328289032</v>
      </c>
      <c r="H108" t="str">
        <f t="shared" si="3"/>
        <v/>
      </c>
    </row>
    <row r="109" spans="1:8" x14ac:dyDescent="0.2">
      <c r="A109" t="s">
        <v>216</v>
      </c>
      <c r="B109" t="s">
        <v>0</v>
      </c>
      <c r="D109" t="s">
        <v>2225</v>
      </c>
      <c r="E109" t="str" cm="1">
        <f t="array" ref="E109">IF(COUNTIF(A:A, "*" &amp; LEFT(D109, FIND(" ", D109 &amp; " ") - 1) &amp; "*") &gt; 0,INDEX(A:A,FuzzyVLookup(D109,A:A,0,,,1)),"Non-PDL")</f>
        <v>BEVESPI AEROSPHERE (glycopyrrolate/formoterol)</v>
      </c>
      <c r="F109" t="str">
        <f t="shared" si="2"/>
        <v>Non-Preferred</v>
      </c>
      <c r="G109" s="1" cm="1">
        <f t="array" ref="G109">FuzzyPercent(D109,E109,1)</f>
        <v>0.5625</v>
      </c>
      <c r="H109" t="str">
        <f t="shared" si="3"/>
        <v/>
      </c>
    </row>
    <row r="110" spans="1:8" x14ac:dyDescent="0.2">
      <c r="A110" t="s">
        <v>218</v>
      </c>
      <c r="B110" t="s">
        <v>0</v>
      </c>
      <c r="D110" t="s">
        <v>2226</v>
      </c>
      <c r="E110" t="str" cm="1">
        <f t="array" ref="E110">IF(COUNTIF(A:A, "*" &amp; LEFT(D110, FIND(" ", D110 &amp; " ") - 1) &amp; "*") &gt; 0,INDEX(A:A,FuzzyVLookup(D110,A:A,0,,,1)),"Non-PDL")</f>
        <v>orlistat</v>
      </c>
      <c r="F110" t="str">
        <f t="shared" si="2"/>
        <v>Preferred</v>
      </c>
      <c r="G110" s="1" cm="1">
        <f t="array" ref="G110">FuzzyPercent(D110,E110,1)</f>
        <v>0.375</v>
      </c>
      <c r="H110" t="str">
        <f t="shared" si="3"/>
        <v>CHECK</v>
      </c>
    </row>
    <row r="111" spans="1:8" x14ac:dyDescent="0.2">
      <c r="A111" t="s">
        <v>220</v>
      </c>
      <c r="B111" t="s">
        <v>0</v>
      </c>
      <c r="D111" t="s">
        <v>2227</v>
      </c>
      <c r="E111" t="str" cm="1">
        <f t="array" ref="E111">IF(COUNTIF(A:A, "*" &amp; LEFT(D111, FIND(" ", D111 &amp; " ") - 1) &amp; "*") &gt; 0,INDEX(A:A,FuzzyVLookup(D111,A:A,0,,,1)),"Non-PDL")</f>
        <v>BIMZELX (bimekizumab-bkzx)</v>
      </c>
      <c r="F111" t="str">
        <f t="shared" si="2"/>
        <v>Non-Preferred</v>
      </c>
      <c r="G111" s="1" cm="1">
        <f t="array" ref="G111">FuzzyPercent(D111,E111,1)</f>
        <v>0.42424243688583374</v>
      </c>
      <c r="H111" t="str">
        <f t="shared" si="3"/>
        <v/>
      </c>
    </row>
    <row r="112" spans="1:8" x14ac:dyDescent="0.2">
      <c r="A112" t="s">
        <v>222</v>
      </c>
      <c r="B112" t="s">
        <v>0</v>
      </c>
      <c r="D112" t="s">
        <v>2228</v>
      </c>
      <c r="E112" t="str" cm="1">
        <f t="array" ref="E112">IF(COUNTIF(A:A, "*" &amp; LEFT(D112, FIND(" ", D112 &amp; " ") - 1) &amp; "*") &gt; 0,INDEX(A:A,FuzzyVLookup(D112,A:A,0,,,1)),"Non-PDL")</f>
        <v>Non-PDL</v>
      </c>
      <c r="F112" t="str">
        <f t="shared" si="2"/>
        <v>Non-PDL</v>
      </c>
      <c r="G112" s="1" cm="1">
        <f t="array" ref="G112">FuzzyPercent(D112,E112,1)</f>
        <v>0.10000000149011612</v>
      </c>
      <c r="H112" t="str">
        <f t="shared" si="3"/>
        <v/>
      </c>
    </row>
    <row r="113" spans="1:8" x14ac:dyDescent="0.2">
      <c r="A113" t="s">
        <v>224</v>
      </c>
      <c r="B113" t="s">
        <v>0</v>
      </c>
      <c r="D113" t="s">
        <v>2229</v>
      </c>
      <c r="E113" t="str" cm="1">
        <f t="array" ref="E113">IF(COUNTIF(A:A, "*" &amp; LEFT(D113, FIND(" ", D113 &amp; " ") - 1) &amp; "*") &gt; 0,INDEX(A:A,FuzzyVLookup(D113,A:A,0,,,1)),"Non-PDL")</f>
        <v>Non-PDL</v>
      </c>
      <c r="F113" t="str">
        <f t="shared" si="2"/>
        <v>Non-PDL</v>
      </c>
      <c r="G113" s="1" cm="1">
        <f t="array" ref="G113">FuzzyPercent(D113,E113,1)</f>
        <v>5.8823529630899429E-2</v>
      </c>
      <c r="H113" t="str">
        <f t="shared" si="3"/>
        <v/>
      </c>
    </row>
    <row r="114" spans="1:8" x14ac:dyDescent="0.2">
      <c r="A114" t="s">
        <v>226</v>
      </c>
      <c r="B114" t="s">
        <v>0</v>
      </c>
      <c r="D114" t="s">
        <v>2230</v>
      </c>
      <c r="E114" t="str" cm="1">
        <f t="array" ref="E114">IF(COUNTIF(A:A, "*" &amp; LEFT(D114, FIND(" ", D114 &amp; " ") - 1) &amp; "*") &gt; 0,INDEX(A:A,FuzzyVLookup(D114,A:A,0,,,1)),"Non-PDL")</f>
        <v>bosentan</v>
      </c>
      <c r="F114" t="str">
        <f t="shared" si="2"/>
        <v>Preferred</v>
      </c>
      <c r="G114" s="1" cm="1">
        <f t="array" ref="G114">FuzzyPercent(D114,E114,1)</f>
        <v>1</v>
      </c>
      <c r="H114" t="str">
        <f t="shared" si="3"/>
        <v/>
      </c>
    </row>
    <row r="115" spans="1:8" x14ac:dyDescent="0.2">
      <c r="A115" t="s">
        <v>228</v>
      </c>
      <c r="B115" t="s">
        <v>0</v>
      </c>
      <c r="D115" t="s">
        <v>2231</v>
      </c>
      <c r="E115" t="str" cm="1">
        <f t="array" ref="E115">IF(COUNTIF(A:A, "*" &amp; LEFT(D115, FIND(" ", D115 &amp; " ") - 1) &amp; "*") &gt; 0,INDEX(A:A,FuzzyVLookup(D115,A:A,0,,,1)),"Non-PDL")</f>
        <v>Non-PDL</v>
      </c>
      <c r="F115" t="str">
        <f t="shared" si="2"/>
        <v>Non-PDL</v>
      </c>
      <c r="G115" s="1" cm="1">
        <f t="array" ref="G115">FuzzyPercent(D115,E115,1)</f>
        <v>0.1666666716337204</v>
      </c>
      <c r="H115" t="str">
        <f t="shared" si="3"/>
        <v/>
      </c>
    </row>
    <row r="116" spans="1:8" x14ac:dyDescent="0.2">
      <c r="A116" t="s">
        <v>230</v>
      </c>
      <c r="B116" t="s">
        <v>0</v>
      </c>
      <c r="D116" t="s">
        <v>2232</v>
      </c>
      <c r="E116" t="str" cm="1">
        <f t="array" ref="E116">IF(COUNTIF(A:A, "*" &amp; LEFT(D116, FIND(" ", D116 &amp; " ") - 1) &amp; "*") &gt; 0,INDEX(A:A,FuzzyVLookup(D116,A:A,0,,,1)),"Non-PDL")</f>
        <v>BREO ELLIPTA (fluticasone/vilanterol)</v>
      </c>
      <c r="F116" t="str">
        <f t="shared" si="2"/>
        <v>Non-Preferred</v>
      </c>
      <c r="G116" s="1" cm="1">
        <f t="array" ref="G116">FuzzyPercent(D116,E116,1)</f>
        <v>0.48979592323303223</v>
      </c>
      <c r="H116" t="str">
        <f t="shared" si="3"/>
        <v/>
      </c>
    </row>
    <row r="117" spans="1:8" x14ac:dyDescent="0.2">
      <c r="A117" t="s">
        <v>232</v>
      </c>
      <c r="B117" t="s">
        <v>0</v>
      </c>
      <c r="D117" t="s">
        <v>2233</v>
      </c>
      <c r="E117" t="str" cm="1">
        <f t="array" ref="E117">IF(COUNTIF(A:A, "*" &amp; LEFT(D117, FIND(" ", D117 &amp; " ") - 1) &amp; "*") &gt; 0,INDEX(A:A,FuzzyVLookup(D117,A:A,0,,,1)),"Non-PDL")</f>
        <v>Non-PDL</v>
      </c>
      <c r="F117" t="str">
        <f t="shared" si="2"/>
        <v>Non-PDL</v>
      </c>
      <c r="G117" s="1" cm="1">
        <f t="array" ref="G117">FuzzyPercent(D117,E117,1)</f>
        <v>0</v>
      </c>
      <c r="H117" t="str">
        <f t="shared" si="3"/>
        <v/>
      </c>
    </row>
    <row r="118" spans="1:8" x14ac:dyDescent="0.2">
      <c r="A118" t="s">
        <v>234</v>
      </c>
      <c r="B118" t="s">
        <v>0</v>
      </c>
      <c r="D118" t="s">
        <v>2234</v>
      </c>
      <c r="E118" t="str" cm="1">
        <f t="array" ref="E118">IF(COUNTIF(A:A, "*" &amp; LEFT(D118, FIND(" ", D118 &amp; " ") - 1) &amp; "*") &gt; 0,INDEX(A:A,FuzzyVLookup(D118,A:A,0,,,1)),"Non-PDL")</f>
        <v>BENEFIX</v>
      </c>
      <c r="F118" t="str">
        <f t="shared" si="2"/>
        <v>Preferred</v>
      </c>
      <c r="G118" s="1" cm="1">
        <f t="array" ref="G118">FuzzyPercent(D118,E118,1)</f>
        <v>0.38461539149284363</v>
      </c>
      <c r="H118" t="str">
        <f t="shared" si="3"/>
        <v>CHECK</v>
      </c>
    </row>
    <row r="119" spans="1:8" x14ac:dyDescent="0.2">
      <c r="A119" t="s">
        <v>236</v>
      </c>
      <c r="B119" t="s">
        <v>0</v>
      </c>
      <c r="D119" t="s">
        <v>2235</v>
      </c>
      <c r="E119" t="str" cm="1">
        <f t="array" ref="E119">IF(COUNTIF(A:A, "*" &amp; LEFT(D119, FIND(" ", D119 &amp; " ") - 1) &amp; "*") &gt; 0,INDEX(A:A,FuzzyVLookup(D119,A:A,0,,,1)),"Non-PDL")</f>
        <v>BREZTRI AEROSPHERE_x000D_(budesonide/glycopyrrolate/formoterol) DUR+</v>
      </c>
      <c r="F119" t="str">
        <f t="shared" si="2"/>
        <v>Preferred</v>
      </c>
      <c r="G119" s="1" cm="1">
        <f t="array" ref="G119">FuzzyPercent(D119,E119,1)</f>
        <v>0.44999998807907104</v>
      </c>
      <c r="H119" t="str">
        <f t="shared" si="3"/>
        <v/>
      </c>
    </row>
    <row r="120" spans="1:8" x14ac:dyDescent="0.2">
      <c r="A120" t="s">
        <v>238</v>
      </c>
      <c r="B120" t="s">
        <v>0</v>
      </c>
      <c r="D120" t="s">
        <v>2236</v>
      </c>
      <c r="E120" t="str" cm="1">
        <f t="array" ref="E120">IF(COUNTIF(A:A, "*" &amp; LEFT(D120, FIND(" ", D120 &amp; " ") - 1) &amp; "*") &gt; 0,INDEX(A:A,FuzzyVLookup(D120,A:A,0,,,1)),"Non-PDL")</f>
        <v>brimonidine</v>
      </c>
      <c r="F120" t="str">
        <f t="shared" si="2"/>
        <v>Non-Preferred</v>
      </c>
      <c r="G120" s="1" cm="1">
        <f t="array" ref="G120">FuzzyPercent(D120,E120,1)</f>
        <v>0.4444444477558136</v>
      </c>
      <c r="H120" t="str">
        <f t="shared" si="3"/>
        <v/>
      </c>
    </row>
    <row r="121" spans="1:8" x14ac:dyDescent="0.2">
      <c r="A121" t="s">
        <v>240</v>
      </c>
      <c r="B121" t="s">
        <v>0</v>
      </c>
      <c r="D121" t="s">
        <v>2237</v>
      </c>
      <c r="E121" t="str" cm="1">
        <f t="array" ref="E121">IF(COUNTIF(A:A, "*" &amp; LEFT(D121, FIND(" ", D121 &amp; " ") - 1) &amp; "*") &gt; 0,INDEX(A:A,FuzzyVLookup(D121,A:A,0,,,1)),"Non-PDL")</f>
        <v>BRIVIACT (brivaracetam)</v>
      </c>
      <c r="F121" t="str">
        <f t="shared" si="2"/>
        <v>Non-Preferred</v>
      </c>
      <c r="G121" s="1" cm="1">
        <f t="array" ref="G121">FuzzyPercent(D121,E121,1)</f>
        <v>0.5161290168762207</v>
      </c>
      <c r="H121" t="str">
        <f t="shared" si="3"/>
        <v/>
      </c>
    </row>
    <row r="122" spans="1:8" x14ac:dyDescent="0.2">
      <c r="A122" t="s">
        <v>242</v>
      </c>
      <c r="B122" t="s">
        <v>0</v>
      </c>
      <c r="D122" t="s">
        <v>2238</v>
      </c>
      <c r="E122" t="str" cm="1">
        <f t="array" ref="E122">IF(COUNTIF(A:A, "*" &amp; LEFT(D122, FIND(" ", D122 &amp; " ") - 1) &amp; "*") &gt; 0,INDEX(A:A,FuzzyVLookup(D122,A:A,0,,,1)),"Non-PDL")</f>
        <v>BRUKINSA (zanubrutinib)</v>
      </c>
      <c r="F122" t="str">
        <f t="shared" si="2"/>
        <v>Non-Preferred</v>
      </c>
      <c r="G122" s="1" cm="1">
        <f t="array" ref="G122">FuzzyPercent(D122,E122,1)</f>
        <v>0.5161290168762207</v>
      </c>
      <c r="H122" t="str">
        <f t="shared" si="3"/>
        <v/>
      </c>
    </row>
    <row r="123" spans="1:8" x14ac:dyDescent="0.2">
      <c r="A123" t="s">
        <v>244</v>
      </c>
      <c r="B123" t="s">
        <v>0</v>
      </c>
      <c r="D123" t="s">
        <v>2239</v>
      </c>
      <c r="E123" t="str" cm="1">
        <f t="array" ref="E123">IF(COUNTIF(A:A, "*" &amp; LEFT(D123, FIND(" ", D123 &amp; " ") - 1) &amp; "*") &gt; 0,INDEX(A:A,FuzzyVLookup(D123,A:A,0,,,1)),"Non-PDL")</f>
        <v>hydrocortisone cream, ointment, solution</v>
      </c>
      <c r="F123" t="str">
        <f t="shared" si="2"/>
        <v>Preferred</v>
      </c>
      <c r="G123" s="1" cm="1">
        <f t="array" ref="G123">FuzzyPercent(D123,E123,1)</f>
        <v>0.30232557654380798</v>
      </c>
      <c r="H123" t="str">
        <f t="shared" si="3"/>
        <v>CHECK</v>
      </c>
    </row>
    <row r="124" spans="1:8" x14ac:dyDescent="0.2">
      <c r="A124" t="s">
        <v>246</v>
      </c>
      <c r="B124" t="s">
        <v>0</v>
      </c>
      <c r="D124" t="s">
        <v>2240</v>
      </c>
      <c r="E124" t="str" cm="1">
        <f t="array" ref="E124">IF(COUNTIF(A:A, "*" &amp; LEFT(D124, FIND(" ", D124 &amp; " ") - 1) &amp; "*") &gt; 0,INDEX(A:A,FuzzyVLookup(D124,A:A,0,,,1)),"Non-PDL")</f>
        <v>budesonide 0.25 mg and 0.5 mg</v>
      </c>
      <c r="F124" t="str">
        <f t="shared" si="2"/>
        <v>Preferred</v>
      </c>
      <c r="G124" s="1" cm="1">
        <f t="array" ref="G124">FuzzyPercent(D124,E124,1)</f>
        <v>0.25</v>
      </c>
      <c r="H124" t="str">
        <f t="shared" si="3"/>
        <v>CHECK</v>
      </c>
    </row>
    <row r="125" spans="1:8" x14ac:dyDescent="0.2">
      <c r="A125" t="s">
        <v>248</v>
      </c>
      <c r="B125" t="s">
        <v>0</v>
      </c>
      <c r="D125" t="s">
        <v>2241</v>
      </c>
      <c r="E125" t="str" cm="1">
        <f t="array" ref="E125">IF(COUNTIF(A:A, "*" &amp; LEFT(D125, FIND(" ", D125 &amp; " ") - 1) &amp; "*") &gt; 0,INDEX(A:A,FuzzyVLookup(D125,A:A,0,,,1)),"Non-PDL")</f>
        <v>BUPHENYL (sodium phenylbutyrate)</v>
      </c>
      <c r="F125" t="str">
        <f t="shared" si="2"/>
        <v>Non-Preferred</v>
      </c>
      <c r="G125" s="1" cm="1">
        <f t="array" ref="G125">FuzzyPercent(D125,E125,1)</f>
        <v>0.42553192377090454</v>
      </c>
      <c r="H125" t="str">
        <f t="shared" si="3"/>
        <v/>
      </c>
    </row>
    <row r="126" spans="1:8" x14ac:dyDescent="0.2">
      <c r="A126" t="s">
        <v>250</v>
      </c>
      <c r="B126" t="s">
        <v>0</v>
      </c>
      <c r="D126" t="s">
        <v>2242</v>
      </c>
      <c r="E126" t="str" cm="1">
        <f t="array" ref="E126">IF(COUNTIF(A:A, "*" &amp; LEFT(D126, FIND(" ", D126 &amp; " ") - 1) &amp; "*") &gt; 0,INDEX(A:A,FuzzyVLookup(D126,A:A,0,,,1)),"Non-PDL")</f>
        <v>etodolac tablet</v>
      </c>
      <c r="F126" t="str">
        <f t="shared" si="2"/>
        <v>Preferred</v>
      </c>
      <c r="G126" s="1" cm="1">
        <f t="array" ref="G126">FuzzyPercent(D126,E126,1)</f>
        <v>0.46666666865348816</v>
      </c>
      <c r="H126" t="str">
        <f t="shared" si="3"/>
        <v/>
      </c>
    </row>
    <row r="127" spans="1:8" x14ac:dyDescent="0.2">
      <c r="A127" t="s">
        <v>252</v>
      </c>
      <c r="B127" t="s">
        <v>0</v>
      </c>
      <c r="D127" t="s">
        <v>2243</v>
      </c>
      <c r="E127" t="str" cm="1">
        <f t="array" ref="E127">IF(COUNTIF(A:A, "*" &amp; LEFT(D127, FIND(" ", D127 &amp; " ") - 1) &amp; "*") &gt; 0,INDEX(A:A,FuzzyVLookup(D127,A:A,0,,,1)),"Non-PDL")</f>
        <v>BYDUREON (exenatide)</v>
      </c>
      <c r="F127" t="str">
        <f t="shared" si="2"/>
        <v>Non-Preferred</v>
      </c>
      <c r="G127" s="1" cm="1">
        <f t="array" ref="G127">FuzzyPercent(D127,E127,1)</f>
        <v>0.55882352590560913</v>
      </c>
      <c r="H127" t="str">
        <f t="shared" si="3"/>
        <v/>
      </c>
    </row>
    <row r="128" spans="1:8" x14ac:dyDescent="0.2">
      <c r="A128" t="s">
        <v>254</v>
      </c>
      <c r="B128" t="s">
        <v>0</v>
      </c>
      <c r="D128" t="s">
        <v>2244</v>
      </c>
      <c r="E128" t="str" cm="1">
        <f t="array" ref="E128">IF(COUNTIF(A:A, "*" &amp; LEFT(D128, FIND(" ", D128 &amp; " ") - 1) &amp; "*") &gt; 0,INDEX(A:A,FuzzyVLookup(D128,A:A,0,,,1)),"Non-PDL")</f>
        <v>BYDUREON (exenatide)</v>
      </c>
      <c r="F128" t="str">
        <f t="shared" si="2"/>
        <v>Non-Preferred</v>
      </c>
      <c r="G128" s="1" cm="1">
        <f t="array" ref="G128">FuzzyPercent(D128,E128,1)</f>
        <v>0.65625</v>
      </c>
      <c r="H128" t="str">
        <f t="shared" si="3"/>
        <v/>
      </c>
    </row>
    <row r="129" spans="1:8" x14ac:dyDescent="0.2">
      <c r="A129" t="s">
        <v>256</v>
      </c>
      <c r="B129" t="s">
        <v>0</v>
      </c>
      <c r="D129" t="s">
        <v>2245</v>
      </c>
      <c r="E129" t="str" cm="1">
        <f t="array" ref="E129">IF(COUNTIF(A:A, "*" &amp; LEFT(D129, FIND(" ", D129 &amp; " ") - 1) &amp; "*") &gt; 0,INDEX(A:A,FuzzyVLookup(D129,A:A,0,,,1)),"Non-PDL")</f>
        <v>BYETTA (exenatide)</v>
      </c>
      <c r="F129" t="str">
        <f t="shared" si="2"/>
        <v>Preferred</v>
      </c>
      <c r="G129" s="1" cm="1">
        <f t="array" ref="G129">FuzzyPercent(D129,E129,1)</f>
        <v>0.5</v>
      </c>
      <c r="H129" t="str">
        <f t="shared" si="3"/>
        <v/>
      </c>
    </row>
    <row r="130" spans="1:8" x14ac:dyDescent="0.2">
      <c r="A130" t="s">
        <v>258</v>
      </c>
      <c r="B130" t="s">
        <v>0</v>
      </c>
      <c r="D130" t="s">
        <v>2246</v>
      </c>
      <c r="E130" t="str" cm="1">
        <f t="array" ref="E130">IF(COUNTIF(A:A, "*" &amp; LEFT(D130, FIND(" ", D130 &amp; " ") - 1) &amp; "*") &gt; 0,INDEX(A:A,FuzzyVLookup(D130,A:A,0,,,1)),"Non-PDL")</f>
        <v>HYQVIA</v>
      </c>
      <c r="F130" t="str">
        <f t="shared" si="2"/>
        <v>Preferred</v>
      </c>
      <c r="G130" s="1" cm="1">
        <f t="array" ref="G130">FuzzyPercent(D130,E130,1)</f>
        <v>0.5</v>
      </c>
      <c r="H130" t="str">
        <f t="shared" si="3"/>
        <v/>
      </c>
    </row>
    <row r="131" spans="1:8" x14ac:dyDescent="0.2">
      <c r="A131" t="s">
        <v>260</v>
      </c>
      <c r="B131" t="s">
        <v>0</v>
      </c>
      <c r="D131" t="s">
        <v>2247</v>
      </c>
      <c r="E131" t="str" cm="1">
        <f t="array" ref="E131">IF(COUNTIF(A:A, "*" &amp; LEFT(D131, FIND(" ", D131 &amp; " ") - 1) &amp; "*") &gt; 0,INDEX(A:A,FuzzyVLookup(D131,A:A,0,,,1)),"Non-PDL")</f>
        <v>Non-PDL</v>
      </c>
      <c r="F131" t="str">
        <f t="shared" ref="F131:F194" si="4">_xlfn.IFNA(_xlfn.XLOOKUP(E131,A:A,B:B),"Non-PDL")</f>
        <v>Non-PDL</v>
      </c>
      <c r="G131" s="1" cm="1">
        <f t="array" ref="G131">FuzzyPercent(D131,E131,1)</f>
        <v>0</v>
      </c>
      <c r="H131" t="str">
        <f t="shared" ref="H131:H194" si="5">IF(F131="Non-PDL","",IF(G131&lt;0.4,"CHECK",""))</f>
        <v/>
      </c>
    </row>
    <row r="132" spans="1:8" x14ac:dyDescent="0.2">
      <c r="A132" t="s">
        <v>262</v>
      </c>
      <c r="B132" t="s">
        <v>0</v>
      </c>
      <c r="D132" t="s">
        <v>2248</v>
      </c>
      <c r="E132" t="str" cm="1">
        <f t="array" ref="E132">IF(COUNTIF(A:A, "*" &amp; LEFT(D132, FIND(" ", D132 &amp; " ") - 1) &amp; "*") &gt; 0,INDEX(A:A,FuzzyVLookup(D132,A:A,0,,,1)),"Non-PDL")</f>
        <v>CABLIVI</v>
      </c>
      <c r="F132" t="str">
        <f t="shared" si="4"/>
        <v>Non-Preferred</v>
      </c>
      <c r="G132" s="1" cm="1">
        <f t="array" ref="G132">FuzzyPercent(D132,E132,1)</f>
        <v>1</v>
      </c>
      <c r="H132" t="str">
        <f t="shared" si="5"/>
        <v/>
      </c>
    </row>
    <row r="133" spans="1:8" x14ac:dyDescent="0.2">
      <c r="A133" t="s">
        <v>264</v>
      </c>
      <c r="B133" t="s">
        <v>0</v>
      </c>
      <c r="D133" t="s">
        <v>2249</v>
      </c>
      <c r="E133" t="str" cm="1">
        <f t="array" ref="E133">IF(COUNTIF(A:A, "*" &amp; LEFT(D133, FIND(" ", D133 &amp; " ") - 1) &amp; "*") &gt; 0,INDEX(A:A,FuzzyVLookup(D133,A:A,0,,,1)),"Non-PDL")</f>
        <v>CALQUENCE (acalabrutinib)</v>
      </c>
      <c r="F133" t="str">
        <f t="shared" si="4"/>
        <v>Non-Preferred</v>
      </c>
      <c r="G133" s="1" cm="1">
        <f t="array" ref="G133">FuzzyPercent(D133,E133,1)</f>
        <v>0.52941179275512695</v>
      </c>
      <c r="H133" t="str">
        <f t="shared" si="5"/>
        <v/>
      </c>
    </row>
    <row r="134" spans="1:8" x14ac:dyDescent="0.2">
      <c r="A134" t="s">
        <v>266</v>
      </c>
      <c r="B134" t="s">
        <v>0</v>
      </c>
      <c r="D134" t="s">
        <v>2250</v>
      </c>
      <c r="E134" t="str" cm="1">
        <f t="array" ref="E134">IF(COUNTIF(A:A, "*" &amp; LEFT(D134, FIND(" ", D134 &amp; " ") - 1) &amp; "*") &gt; 0,INDEX(A:A,FuzzyVLookup(D134,A:A,0,,,1)),"Non-PDL")</f>
        <v>CAMZYOS (mavacamten)</v>
      </c>
      <c r="F134" t="str">
        <f t="shared" si="4"/>
        <v>Non-Preferred</v>
      </c>
      <c r="G134" s="1" cm="1">
        <f t="array" ref="G134">FuzzyPercent(D134,E134,1)</f>
        <v>0.51851850748062134</v>
      </c>
      <c r="H134" t="str">
        <f t="shared" si="5"/>
        <v/>
      </c>
    </row>
    <row r="135" spans="1:8" x14ac:dyDescent="0.2">
      <c r="A135" t="s">
        <v>268</v>
      </c>
      <c r="B135" t="s">
        <v>0</v>
      </c>
      <c r="D135" t="s">
        <v>2251</v>
      </c>
      <c r="E135" t="str" cm="1">
        <f t="array" ref="E135">IF(COUNTIF(A:A, "*" &amp; LEFT(D135, FIND(" ", D135 &amp; " ") - 1) &amp; "*") &gt; 0,INDEX(A:A,FuzzyVLookup(D135,A:A,0,,,1)),"Non-PDL")</f>
        <v>candesartan</v>
      </c>
      <c r="F135" t="str">
        <f t="shared" si="4"/>
        <v>Non-Preferred</v>
      </c>
      <c r="G135" s="1" cm="1">
        <f t="array" ref="G135">FuzzyPercent(D135,E135,1)</f>
        <v>1</v>
      </c>
      <c r="H135" t="str">
        <f t="shared" si="5"/>
        <v/>
      </c>
    </row>
    <row r="136" spans="1:8" x14ac:dyDescent="0.2">
      <c r="A136" t="s">
        <v>270</v>
      </c>
      <c r="B136" t="s">
        <v>0</v>
      </c>
      <c r="D136" t="s">
        <v>2252</v>
      </c>
      <c r="E136" t="str" cm="1">
        <f t="array" ref="E136">IF(COUNTIF(A:A, "*" &amp; LEFT(D136, FIND(" ", D136 &amp; " ") - 1) &amp; "*") &gt; 0,INDEX(A:A,FuzzyVLookup(D136,A:A,0,,,1)),"Non-PDL")</f>
        <v>CAPLYTA (lumateperone)</v>
      </c>
      <c r="F136" t="str">
        <f t="shared" si="4"/>
        <v>Non-Preferred</v>
      </c>
      <c r="G136" s="1" cm="1">
        <f t="array" ref="G136">FuzzyPercent(D136,E136,1)</f>
        <v>0.48275861144065857</v>
      </c>
      <c r="H136" t="str">
        <f t="shared" si="5"/>
        <v/>
      </c>
    </row>
    <row r="137" spans="1:8" x14ac:dyDescent="0.2">
      <c r="A137" t="s">
        <v>272</v>
      </c>
      <c r="B137" t="s">
        <v>0</v>
      </c>
      <c r="D137" t="s">
        <v>2253</v>
      </c>
      <c r="E137" t="str" cm="1">
        <f t="array" ref="E137">IF(COUNTIF(A:A, "*" &amp; LEFT(D137, FIND(" ", D137 &amp; " ") - 1) &amp; "*") &gt; 0,INDEX(A:A,FuzzyVLookup(D137,A:A,0,,,1)),"Non-PDL")</f>
        <v>Non-PDL</v>
      </c>
      <c r="F137" t="str">
        <f t="shared" si="4"/>
        <v>Non-PDL</v>
      </c>
      <c r="G137" s="1" cm="1">
        <f t="array" ref="G137">FuzzyPercent(D137,E137,1)</f>
        <v>0.125</v>
      </c>
      <c r="H137" t="str">
        <f t="shared" si="5"/>
        <v/>
      </c>
    </row>
    <row r="138" spans="1:8" x14ac:dyDescent="0.2">
      <c r="A138" t="s">
        <v>274</v>
      </c>
      <c r="B138" t="s">
        <v>0</v>
      </c>
      <c r="D138" t="s">
        <v>2254</v>
      </c>
      <c r="E138" t="str" cm="1">
        <f t="array" ref="E138">IF(COUNTIF(A:A, "*" &amp; LEFT(D138, FIND(" ", D138 &amp; " ") - 1) &amp; "*") &gt; 0,INDEX(A:A,FuzzyVLookup(D138,A:A,0,,,1)),"Non-PDL")</f>
        <v>captopril</v>
      </c>
      <c r="F138" t="str">
        <f t="shared" si="4"/>
        <v>Preferred</v>
      </c>
      <c r="G138" s="1" cm="1">
        <f t="array" ref="G138">FuzzyPercent(D138,E138,1)</f>
        <v>1</v>
      </c>
      <c r="H138" t="str">
        <f t="shared" si="5"/>
        <v/>
      </c>
    </row>
    <row r="139" spans="1:8" x14ac:dyDescent="0.2">
      <c r="A139" t="s">
        <v>276</v>
      </c>
      <c r="B139" t="s">
        <v>0</v>
      </c>
      <c r="D139" t="s">
        <v>2255</v>
      </c>
      <c r="E139" t="str" cm="1">
        <f t="array" ref="E139">IF(COUNTIF(A:A, "*" &amp; LEFT(D139, FIND(" ", D139 &amp; " ") - 1) &amp; "*") &gt; 0,INDEX(A:A,FuzzyVLookup(D139,A:A,0,,,1)),"Non-PDL")</f>
        <v>CAYSTON (aztreonam)</v>
      </c>
      <c r="F139" t="str">
        <f t="shared" si="4"/>
        <v>Non-Preferred</v>
      </c>
      <c r="G139" s="1" cm="1">
        <f t="array" ref="G139">FuzzyPercent(D139,E139,1)</f>
        <v>0.53846156597137451</v>
      </c>
      <c r="H139" t="str">
        <f t="shared" si="5"/>
        <v/>
      </c>
    </row>
    <row r="140" spans="1:8" x14ac:dyDescent="0.2">
      <c r="A140" t="s">
        <v>278</v>
      </c>
      <c r="B140" t="s">
        <v>0</v>
      </c>
      <c r="D140" t="s">
        <v>2256</v>
      </c>
      <c r="E140" t="str" cm="1">
        <f t="array" ref="E140">IF(COUNTIF(A:A, "*" &amp; LEFT(D140, FIND(" ", D140 &amp; " ") - 1) &amp; "*") &gt; 0,INDEX(A:A,FuzzyVLookup(D140,A:A,0,,,1)),"Non-PDL")</f>
        <v>FEIBA</v>
      </c>
      <c r="F140" t="str">
        <f t="shared" si="4"/>
        <v>Preferred</v>
      </c>
      <c r="G140" s="1" cm="1">
        <f t="array" ref="G140">FuzzyPercent(D140,E140,1)</f>
        <v>0.40000000596046448</v>
      </c>
      <c r="H140" t="str">
        <f t="shared" si="5"/>
        <v/>
      </c>
    </row>
    <row r="141" spans="1:8" x14ac:dyDescent="0.2">
      <c r="A141" t="s">
        <v>280</v>
      </c>
      <c r="B141" t="s">
        <v>0</v>
      </c>
      <c r="D141" t="s">
        <v>2257</v>
      </c>
      <c r="E141" t="str" cm="1">
        <f t="array" ref="E141">IF(COUNTIF(A:A, "*" &amp; LEFT(D141, FIND(" ", D141 &amp; " ") - 1) &amp; "*") &gt; 0,INDEX(A:A,FuzzyVLookup(D141,A:A,0,,,1)),"Non-PDL")</f>
        <v>CERDELGA (eliglustat)</v>
      </c>
      <c r="F141" t="str">
        <f t="shared" si="4"/>
        <v>Non-Preferred</v>
      </c>
      <c r="G141" s="1" cm="1">
        <f t="array" ref="G141">FuzzyPercent(D141,E141,1)</f>
        <v>0.5517241358757019</v>
      </c>
      <c r="H141" t="str">
        <f t="shared" si="5"/>
        <v/>
      </c>
    </row>
    <row r="142" spans="1:8" x14ac:dyDescent="0.2">
      <c r="A142" t="s">
        <v>282</v>
      </c>
      <c r="B142" t="s">
        <v>0</v>
      </c>
      <c r="D142" t="s">
        <v>2258</v>
      </c>
      <c r="E142" t="str" cm="1">
        <f t="array" ref="E142">IF(COUNTIF(A:A, "*" &amp; LEFT(D142, FIND(" ", D142 &amp; " ") - 1) &amp; "*") &gt; 0,INDEX(A:A,FuzzyVLookup(D142,A:A,0,,,1)),"Non-PDL")</f>
        <v>CEREZYME (imiglucerase)</v>
      </c>
      <c r="F142" t="str">
        <f t="shared" si="4"/>
        <v>Non-Preferred</v>
      </c>
      <c r="G142" s="1" cm="1">
        <f t="array" ref="G142">FuzzyPercent(D142,E142,1)</f>
        <v>0.51219511032104492</v>
      </c>
      <c r="H142" t="str">
        <f t="shared" si="5"/>
        <v/>
      </c>
    </row>
    <row r="143" spans="1:8" x14ac:dyDescent="0.2">
      <c r="A143" t="s">
        <v>284</v>
      </c>
      <c r="B143" t="s">
        <v>0</v>
      </c>
      <c r="D143" t="s">
        <v>2259</v>
      </c>
      <c r="E143" t="str" cm="1">
        <f t="array" ref="E143">IF(COUNTIF(A:A, "*" &amp; LEFT(D143, FIND(" ", D143 &amp; " ") - 1) &amp; "*") &gt; 0,INDEX(A:A,FuzzyVLookup(D143,A:A,0,,,1)),"Non-PDL")</f>
        <v>CHENODAL (chenodiol)</v>
      </c>
      <c r="F143" t="str">
        <f t="shared" si="4"/>
        <v>Non-Preferred</v>
      </c>
      <c r="G143" s="1" cm="1">
        <f t="array" ref="G143">FuzzyPercent(D143,E143,1)</f>
        <v>0.74074071645736694</v>
      </c>
      <c r="H143" t="str">
        <f t="shared" si="5"/>
        <v/>
      </c>
    </row>
    <row r="144" spans="1:8" x14ac:dyDescent="0.2">
      <c r="A144" t="s">
        <v>286</v>
      </c>
      <c r="B144" t="s">
        <v>0</v>
      </c>
      <c r="D144" t="s">
        <v>2260</v>
      </c>
      <c r="E144" t="str" cm="1">
        <f t="array" ref="E144">IF(COUNTIF(A:A, "*" &amp; LEFT(D144, FIND(" ", D144 &amp; " ") - 1) &amp; "*") &gt; 0,INDEX(A:A,FuzzyVLookup(D144,A:A,0,,,1)),"Non-PDL")</f>
        <v>Non-PDL</v>
      </c>
      <c r="F144" t="str">
        <f t="shared" si="4"/>
        <v>Non-PDL</v>
      </c>
      <c r="G144" s="1" cm="1">
        <f t="array" ref="G144">FuzzyPercent(D144,E144,1)</f>
        <v>3.4482758492231369E-2</v>
      </c>
      <c r="H144" t="str">
        <f t="shared" si="5"/>
        <v/>
      </c>
    </row>
    <row r="145" spans="1:8" x14ac:dyDescent="0.2">
      <c r="A145" t="s">
        <v>288</v>
      </c>
      <c r="B145" t="s">
        <v>0</v>
      </c>
      <c r="D145" t="s">
        <v>2261</v>
      </c>
      <c r="E145" t="str" cm="1">
        <f t="array" ref="E145">IF(COUNTIF(A:A, "*" &amp; LEFT(D145, FIND(" ", D145 &amp; " ") - 1) &amp; "*") &gt; 0,INDEX(A:A,FuzzyVLookup(D145,A:A,0,,,1)),"Non-PDL")</f>
        <v>CIBINQO (abrocitinib)</v>
      </c>
      <c r="F145" t="str">
        <f t="shared" si="4"/>
        <v>Non-Preferred</v>
      </c>
      <c r="G145" s="1" cm="1">
        <f t="array" ref="G145">FuzzyPercent(D145,E145,1)</f>
        <v>0.5</v>
      </c>
      <c r="H145" t="str">
        <f t="shared" si="5"/>
        <v/>
      </c>
    </row>
    <row r="146" spans="1:8" x14ac:dyDescent="0.2">
      <c r="A146" t="s">
        <v>290</v>
      </c>
      <c r="B146" t="s">
        <v>0</v>
      </c>
      <c r="D146" t="s">
        <v>2262</v>
      </c>
      <c r="E146" t="str" cm="1">
        <f t="array" ref="E146">IF(COUNTIF(A:A, "*" &amp; LEFT(D146, FIND(" ", D146 &amp; " ") - 1) &amp; "*") &gt; 0,INDEX(A:A,FuzzyVLookup(D146,A:A,0,,,1)),"Non-PDL")</f>
        <v>CIMZIA (certolizumab)</v>
      </c>
      <c r="F146" t="str">
        <f t="shared" si="4"/>
        <v>Non-Preferred</v>
      </c>
      <c r="G146" s="1" cm="1">
        <f t="array" ref="G146">FuzzyPercent(D146,E146,1)</f>
        <v>0.4444444477558136</v>
      </c>
      <c r="H146" t="str">
        <f t="shared" si="5"/>
        <v/>
      </c>
    </row>
    <row r="147" spans="1:8" x14ac:dyDescent="0.2">
      <c r="A147" t="s">
        <v>292</v>
      </c>
      <c r="B147" t="s">
        <v>0</v>
      </c>
      <c r="D147" t="s">
        <v>2263</v>
      </c>
      <c r="E147" t="str" cm="1">
        <f t="array" ref="E147">IF(COUNTIF(A:A, "*" &amp; LEFT(D147, FIND(" ", D147 &amp; " ") - 1) &amp; "*") &gt; 0,INDEX(A:A,FuzzyVLookup(D147,A:A,0,,,1)),"Non-PDL")</f>
        <v>CINQAIR (reslizumab)</v>
      </c>
      <c r="F147" t="str">
        <f t="shared" si="4"/>
        <v>Non-Preferred</v>
      </c>
      <c r="G147" s="1" cm="1">
        <f t="array" ref="G147">FuzzyPercent(D147,E147,1)</f>
        <v>0.51851850748062134</v>
      </c>
      <c r="H147" t="str">
        <f t="shared" si="5"/>
        <v/>
      </c>
    </row>
    <row r="148" spans="1:8" x14ac:dyDescent="0.2">
      <c r="A148" t="s">
        <v>294</v>
      </c>
      <c r="B148" t="s">
        <v>0</v>
      </c>
      <c r="D148" t="s">
        <v>2264</v>
      </c>
      <c r="E148" t="str" cm="1">
        <f t="array" ref="E148">IF(COUNTIF(A:A, "*" &amp; LEFT(D148, FIND(" ", D148 &amp; " ") - 1) &amp; "*") &gt; 0,INDEX(A:A,FuzzyVLookup(D148,A:A,0,,,1)),"Non-PDL")</f>
        <v>CLEOCIN (clindamycin)</v>
      </c>
      <c r="F148" t="str">
        <f t="shared" si="4"/>
        <v>Preferred</v>
      </c>
      <c r="G148" s="1" cm="1">
        <f t="array" ref="G148">FuzzyPercent(D148,E148,1)</f>
        <v>0.51351350545883179</v>
      </c>
      <c r="H148" t="str">
        <f t="shared" si="5"/>
        <v/>
      </c>
    </row>
    <row r="149" spans="1:8" x14ac:dyDescent="0.2">
      <c r="A149" t="s">
        <v>296</v>
      </c>
      <c r="B149" t="s">
        <v>0</v>
      </c>
      <c r="D149" t="s">
        <v>2265</v>
      </c>
      <c r="E149" t="str" cm="1">
        <f t="array" ref="E149">IF(COUNTIF(A:A, "*" &amp; LEFT(D149, FIND(" ", D149 &amp; " ") - 1) &amp; "*") &gt; 0,INDEX(A:A,FuzzyVLookup(D149,A:A,0,,,1)),"Non-PDL")</f>
        <v>CLEOCIN T (clindamycin) lotion</v>
      </c>
      <c r="F149" t="str">
        <f t="shared" si="4"/>
        <v>Non-Preferred</v>
      </c>
      <c r="G149" s="1" cm="1">
        <f t="array" ref="G149">FuzzyPercent(D149,E149,1)</f>
        <v>0.27777779102325439</v>
      </c>
      <c r="H149" t="str">
        <f t="shared" si="5"/>
        <v>CHECK</v>
      </c>
    </row>
    <row r="150" spans="1:8" x14ac:dyDescent="0.2">
      <c r="A150" t="s">
        <v>298</v>
      </c>
      <c r="B150" t="s">
        <v>0</v>
      </c>
      <c r="D150" t="s">
        <v>2266</v>
      </c>
      <c r="E150" t="str" cm="1">
        <f t="array" ref="E150">IF(COUNTIF(A:A, "*" &amp; LEFT(D150, FIND(" ", D150 &amp; " ") - 1) &amp; "*") &gt; 0,INDEX(A:A,FuzzyVLookup(D150,A:A,0,,,1)),"Non-PDL")</f>
        <v>clindamycin phosphate</v>
      </c>
      <c r="F150" t="str">
        <f t="shared" si="4"/>
        <v>Non-Preferred</v>
      </c>
      <c r="G150" s="1" cm="1">
        <f t="array" ref="G150">FuzzyPercent(D150,E150,1)</f>
        <v>0.63414633274078369</v>
      </c>
      <c r="H150" t="str">
        <f t="shared" si="5"/>
        <v/>
      </c>
    </row>
    <row r="151" spans="1:8" x14ac:dyDescent="0.2">
      <c r="A151" t="s">
        <v>300</v>
      </c>
      <c r="B151" t="s">
        <v>0</v>
      </c>
      <c r="D151" t="s">
        <v>2267</v>
      </c>
      <c r="E151" t="str" cm="1">
        <f t="array" ref="E151">IF(COUNTIF(A:A, "*" &amp; LEFT(D151, FIND(" ", D151 &amp; " ") - 1) &amp; "*") &gt; 0,INDEX(A:A,FuzzyVLookup(D151,A:A,0,,,1)),"Non-PDL")</f>
        <v>CLINDACIN ETZ (clindamycin) foam, medicated swab, kit</v>
      </c>
      <c r="F151" t="str">
        <f t="shared" si="4"/>
        <v>Non-Preferred</v>
      </c>
      <c r="G151" s="1" cm="1">
        <f t="array" ref="G151">FuzzyPercent(D151,E151,1)</f>
        <v>0.29347825050354004</v>
      </c>
      <c r="H151" t="str">
        <f t="shared" si="5"/>
        <v>CHECK</v>
      </c>
    </row>
    <row r="152" spans="1:8" x14ac:dyDescent="0.2">
      <c r="A152" t="s">
        <v>302</v>
      </c>
      <c r="B152" t="s">
        <v>0</v>
      </c>
      <c r="D152" t="s">
        <v>2268</v>
      </c>
      <c r="E152" t="str" cm="1">
        <f t="array" ref="E152">IF(COUNTIF(A:A, "*" &amp; LEFT(D152, FIND(" ", D152 &amp; " ") - 1) &amp; "*") &gt; 0,INDEX(A:A,FuzzyVLookup(D152,A:A,0,,,1)),"Non-PDL")</f>
        <v>clotrimazole cream OTC</v>
      </c>
      <c r="F152" t="str">
        <f t="shared" si="4"/>
        <v>Preferred</v>
      </c>
      <c r="G152" s="1" cm="1">
        <f t="array" ref="G152">FuzzyPercent(D152,E152,1)</f>
        <v>0.375</v>
      </c>
      <c r="H152" t="str">
        <f t="shared" si="5"/>
        <v>CHECK</v>
      </c>
    </row>
    <row r="153" spans="1:8" x14ac:dyDescent="0.2">
      <c r="A153" t="s">
        <v>304</v>
      </c>
      <c r="B153" t="s">
        <v>0</v>
      </c>
      <c r="D153" t="s">
        <v>2269</v>
      </c>
      <c r="E153" t="str" cm="1">
        <f t="array" ref="E153">IF(COUNTIF(A:A, "*" &amp; LEFT(D153, FIND(" ", D153 &amp; " ") - 1) &amp; "*") &gt; 0,INDEX(A:A,FuzzyVLookup(D153,A:A,0,,,1)),"Non-PDL")</f>
        <v>clozapine tablet</v>
      </c>
      <c r="F153" t="str">
        <f t="shared" si="4"/>
        <v>Preferred</v>
      </c>
      <c r="G153" s="1" cm="1">
        <f t="array" ref="G153">FuzzyPercent(D153,E153,1)</f>
        <v>0.54838711023330688</v>
      </c>
      <c r="H153" t="str">
        <f t="shared" si="5"/>
        <v/>
      </c>
    </row>
    <row r="154" spans="1:8" x14ac:dyDescent="0.2">
      <c r="A154" t="s">
        <v>306</v>
      </c>
      <c r="B154" t="s">
        <v>0</v>
      </c>
      <c r="D154" t="s">
        <v>2270</v>
      </c>
      <c r="E154" t="str" cm="1">
        <f t="array" ref="E154">IF(COUNTIF(A:A, "*" &amp; LEFT(D154, FIND(" ", D154 &amp; " ") - 1) &amp; "*") &gt; 0,INDEX(A:A,FuzzyVLookup(D154,A:A,0,,,1)),"Non-PDL")</f>
        <v>clozapine ODT</v>
      </c>
      <c r="F154" t="str">
        <f t="shared" si="4"/>
        <v>Non-Preferred</v>
      </c>
      <c r="G154" s="1" cm="1">
        <f t="array" ref="G154">FuzzyPercent(D154,E154,1)</f>
        <v>1</v>
      </c>
      <c r="H154" t="str">
        <f t="shared" si="5"/>
        <v/>
      </c>
    </row>
    <row r="155" spans="1:8" x14ac:dyDescent="0.2">
      <c r="A155" t="s">
        <v>308</v>
      </c>
      <c r="B155" t="s">
        <v>0</v>
      </c>
      <c r="D155" t="s">
        <v>2271</v>
      </c>
      <c r="E155" t="str" cm="1">
        <f t="array" ref="E155">IF(COUNTIF(A:A, "*" &amp; LEFT(D155, FIND(" ", D155 &amp; " ") - 1) &amp; "*") &gt; 0,INDEX(A:A,FuzzyVLookup(D155,A:A,0,,,1)),"Non-PDL")</f>
        <v>clozapine tablet</v>
      </c>
      <c r="F155" t="str">
        <f t="shared" si="4"/>
        <v>Preferred</v>
      </c>
      <c r="G155" s="1" cm="1">
        <f t="array" ref="G155">FuzzyPercent(D155,E155,1)</f>
        <v>1</v>
      </c>
      <c r="H155" t="str">
        <f t="shared" si="5"/>
        <v/>
      </c>
    </row>
    <row r="156" spans="1:8" x14ac:dyDescent="0.2">
      <c r="A156" t="s">
        <v>310</v>
      </c>
      <c r="B156" t="s">
        <v>0</v>
      </c>
      <c r="D156" t="s">
        <v>2272</v>
      </c>
      <c r="E156" t="str" cm="1">
        <f t="array" ref="E156">IF(COUNTIF(A:A, "*" &amp; LEFT(D156, FIND(" ", D156 &amp; " ") - 1) &amp; "*") &gt; 0,INDEX(A:A,FuzzyVLookup(D156,A:A,0,,,1)),"Non-PDL")</f>
        <v>clozapine ODT</v>
      </c>
      <c r="F156" t="str">
        <f t="shared" si="4"/>
        <v>Non-Preferred</v>
      </c>
      <c r="G156" s="1" cm="1">
        <f t="array" ref="G156">FuzzyPercent(D156,E156,1)</f>
        <v>0.57142859697341919</v>
      </c>
      <c r="H156" t="str">
        <f t="shared" si="5"/>
        <v/>
      </c>
    </row>
    <row r="157" spans="1:8" x14ac:dyDescent="0.2">
      <c r="A157" t="s">
        <v>312</v>
      </c>
      <c r="B157" t="s">
        <v>0</v>
      </c>
      <c r="D157" t="s">
        <v>2273</v>
      </c>
      <c r="E157" t="str" cm="1">
        <f t="array" ref="E157">IF(COUNTIF(A:A, "*" &amp; LEFT(D157, FIND(" ", D157 &amp; " ") - 1) &amp; "*") &gt; 0,INDEX(A:A,FuzzyVLookup(D157,A:A,0,,,1)),"Non-PDL")</f>
        <v>COBENFY (xanomeline/trospium)NR</v>
      </c>
      <c r="F157" t="str">
        <f t="shared" si="4"/>
        <v>Non-Preferred</v>
      </c>
      <c r="G157" s="1" cm="1">
        <f t="array" ref="G157">FuzzyPercent(D157,E157,1)</f>
        <v>0.43478259444236755</v>
      </c>
      <c r="H157" t="str">
        <f t="shared" si="5"/>
        <v/>
      </c>
    </row>
    <row r="158" spans="1:8" x14ac:dyDescent="0.2">
      <c r="A158" t="s">
        <v>314</v>
      </c>
      <c r="B158" t="s">
        <v>0</v>
      </c>
      <c r="D158" t="s">
        <v>2274</v>
      </c>
      <c r="E158" t="str" cm="1">
        <f t="array" ref="E158">IF(COUNTIF(A:A, "*" &amp; LEFT(D158, FIND(" ", D158 &amp; " ") - 1) &amp; "*") &gt; 0,INDEX(A:A,FuzzyVLookup(D158,A:A,0,,,1)),"Non-PDL")</f>
        <v>COMBIGAN (brimonidine/timolol)</v>
      </c>
      <c r="F158" t="str">
        <f t="shared" si="4"/>
        <v>Preferred</v>
      </c>
      <c r="G158" s="1" cm="1">
        <f t="array" ref="G158">FuzzyPercent(D158,E158,1)</f>
        <v>0.42105263471603394</v>
      </c>
      <c r="H158" t="str">
        <f t="shared" si="5"/>
        <v/>
      </c>
    </row>
    <row r="159" spans="1:8" x14ac:dyDescent="0.2">
      <c r="A159" t="s">
        <v>316</v>
      </c>
      <c r="B159" t="s">
        <v>0</v>
      </c>
      <c r="D159" t="s">
        <v>2275</v>
      </c>
      <c r="E159" t="str" cm="1">
        <f t="array" ref="E159">IF(COUNTIF(A:A, "*" &amp; LEFT(D159, FIND(" ", D159 &amp; " ") - 1) &amp; "*") &gt; 0,INDEX(A:A,FuzzyVLookup(D159,A:A,0,,,1)),"Non-PDL")</f>
        <v>COMBIVENT RESPIMAT (ipratropium/albuterol)</v>
      </c>
      <c r="F159" t="str">
        <f t="shared" si="4"/>
        <v>Preferred</v>
      </c>
      <c r="G159" s="1" cm="1">
        <f t="array" ref="G159">FuzzyPercent(D159,E159,1)</f>
        <v>0.60000002384185791</v>
      </c>
      <c r="H159" t="str">
        <f t="shared" si="5"/>
        <v/>
      </c>
    </row>
    <row r="160" spans="1:8" x14ac:dyDescent="0.2">
      <c r="A160" t="s">
        <v>318</v>
      </c>
      <c r="B160" t="s">
        <v>0</v>
      </c>
      <c r="D160" t="s">
        <v>2276</v>
      </c>
      <c r="E160" t="str" cm="1">
        <f t="array" ref="E160">IF(COUNTIF(A:A, "*" &amp; LEFT(D160, FIND(" ", D160 &amp; " ") - 1) &amp; "*") &gt; 0,INDEX(A:A,FuzzyVLookup(D160,A:A,0,,,1)),"Non-PDL")</f>
        <v>COMPLETENATE</v>
      </c>
      <c r="F160" t="str">
        <f t="shared" si="4"/>
        <v>Preferred</v>
      </c>
      <c r="G160" s="1" cm="1">
        <f t="array" ref="G160">FuzzyPercent(D160,E160,1)</f>
        <v>0.64999997615814209</v>
      </c>
      <c r="H160" t="str">
        <f t="shared" si="5"/>
        <v/>
      </c>
    </row>
    <row r="161" spans="1:8" x14ac:dyDescent="0.2">
      <c r="A161" t="s">
        <v>320</v>
      </c>
      <c r="B161" t="s">
        <v>0</v>
      </c>
      <c r="D161" t="s">
        <v>2277</v>
      </c>
      <c r="E161" t="str" cm="1">
        <f t="array" ref="E161">IF(COUNTIF(A:A, "*" &amp; LEFT(D161, FIND(" ", D161 &amp; " ") - 1) &amp; "*") &gt; 0,INDEX(A:A,FuzzyVLookup(D161,A:A,0,,,1)),"Non-PDL")</f>
        <v>COPAXONE (glatiramer) 20 mg</v>
      </c>
      <c r="F161" t="str">
        <f t="shared" si="4"/>
        <v>Preferred</v>
      </c>
      <c r="G161" s="1" cm="1">
        <f t="array" ref="G161">FuzzyPercent(D161,E161,1)</f>
        <v>0.60000002384185791</v>
      </c>
      <c r="H161" t="str">
        <f t="shared" si="5"/>
        <v/>
      </c>
    </row>
    <row r="162" spans="1:8" x14ac:dyDescent="0.2">
      <c r="A162" t="s">
        <v>322</v>
      </c>
      <c r="B162" t="s">
        <v>0</v>
      </c>
      <c r="D162" t="s">
        <v>2278</v>
      </c>
      <c r="E162" t="str" cm="1">
        <f t="array" ref="E162">IF(COUNTIF(A:A, "*" &amp; LEFT(D162, FIND(" ", D162 &amp; " ") - 1) &amp; "*") &gt; 0,INDEX(A:A,FuzzyVLookup(D162,A:A,0,,,1)),"Non-PDL")</f>
        <v>COPAXONE (glatiramer) 20 mg</v>
      </c>
      <c r="F162" t="str">
        <f t="shared" si="4"/>
        <v>Preferred</v>
      </c>
      <c r="G162" s="1" cm="1">
        <f t="array" ref="G162">FuzzyPercent(D162,E162,1)</f>
        <v>0.60000002384185791</v>
      </c>
      <c r="H162" t="str">
        <f t="shared" si="5"/>
        <v/>
      </c>
    </row>
    <row r="163" spans="1:8" x14ac:dyDescent="0.2">
      <c r="A163" t="s">
        <v>324</v>
      </c>
      <c r="B163" t="s">
        <v>0</v>
      </c>
      <c r="D163" t="s">
        <v>2279</v>
      </c>
      <c r="E163" t="str" cm="1">
        <f t="array" ref="E163">IF(COUNTIF(A:A, "*" &amp; LEFT(D163, FIND(" ", D163 &amp; " ") - 1) &amp; "*") &gt; 0,INDEX(A:A,FuzzyVLookup(D163,A:A,0,,,1)),"Non-PDL")</f>
        <v>bosentan</v>
      </c>
      <c r="F163" t="str">
        <f t="shared" si="4"/>
        <v>Preferred</v>
      </c>
      <c r="G163" s="1" cm="1">
        <f t="array" ref="G163">FuzzyPercent(D163,E163,1)</f>
        <v>0.625</v>
      </c>
      <c r="H163" t="str">
        <f t="shared" si="5"/>
        <v/>
      </c>
    </row>
    <row r="164" spans="1:8" x14ac:dyDescent="0.2">
      <c r="A164" t="s">
        <v>326</v>
      </c>
      <c r="B164" t="s">
        <v>0</v>
      </c>
      <c r="D164" t="s">
        <v>2280</v>
      </c>
      <c r="E164" t="str" cm="1">
        <f t="array" ref="E164">IF(COUNTIF(A:A, "*" &amp; LEFT(D164, FIND(" ", D164 &amp; " ") - 1) &amp; "*") &gt; 0,INDEX(A:A,FuzzyVLookup(D164,A:A,0,,,1)),"Non-PDL")</f>
        <v>colchicine capsule</v>
      </c>
      <c r="F164" t="str">
        <f t="shared" si="4"/>
        <v>Non-Preferred</v>
      </c>
      <c r="G164" s="1" cm="1">
        <f t="array" ref="G164">FuzzyPercent(D164,E164,1)</f>
        <v>0.55555558204650879</v>
      </c>
      <c r="H164" t="str">
        <f t="shared" si="5"/>
        <v/>
      </c>
    </row>
    <row r="165" spans="1:8" x14ac:dyDescent="0.2">
      <c r="A165" t="s">
        <v>328</v>
      </c>
      <c r="B165" t="s">
        <v>0</v>
      </c>
      <c r="D165" t="s">
        <v>2281</v>
      </c>
      <c r="E165" t="str" cm="1">
        <f t="array" ref="E165">IF(COUNTIF(A:A, "*" &amp; LEFT(D165, FIND(" ", D165 &amp; " ") - 1) &amp; "*") &gt; 0,INDEX(A:A,FuzzyVLookup(D165,A:A,0,,,1)),"Non-PDL")</f>
        <v>CRENESSITY (crinecerfont)NR</v>
      </c>
      <c r="F165" t="str">
        <f t="shared" si="4"/>
        <v>Non-Preferred</v>
      </c>
      <c r="G165" s="1" cm="1">
        <f t="array" ref="G165">FuzzyPercent(D165,E165,1)</f>
        <v>0.50980395078659058</v>
      </c>
      <c r="H165" t="str">
        <f t="shared" si="5"/>
        <v/>
      </c>
    </row>
    <row r="166" spans="1:8" x14ac:dyDescent="0.2">
      <c r="A166" t="s">
        <v>330</v>
      </c>
      <c r="B166" t="s">
        <v>0</v>
      </c>
      <c r="D166" t="s">
        <v>2282</v>
      </c>
      <c r="E166" t="str" cm="1">
        <f t="array" ref="E166">IF(COUNTIF(A:A, "*" &amp; LEFT(D166, FIND(" ", D166 &amp; " ") - 1) &amp; "*") &gt; 0,INDEX(A:A,FuzzyVLookup(D166,A:A,0,,,1)),"Non-PDL")</f>
        <v>Non-PDL</v>
      </c>
      <c r="F166" t="str">
        <f t="shared" si="4"/>
        <v>Non-PDL</v>
      </c>
      <c r="G166" s="1" cm="1">
        <f t="array" ref="G166">FuzzyPercent(D166,E166,1)</f>
        <v>0.1666666716337204</v>
      </c>
      <c r="H166" t="str">
        <f t="shared" si="5"/>
        <v/>
      </c>
    </row>
    <row r="167" spans="1:8" x14ac:dyDescent="0.2">
      <c r="A167" t="s">
        <v>332</v>
      </c>
      <c r="B167" t="s">
        <v>0</v>
      </c>
      <c r="D167" t="s">
        <v>2283</v>
      </c>
      <c r="E167" t="str" cm="1">
        <f t="array" ref="E167">IF(COUNTIF(A:A, "*" &amp; LEFT(D167, FIND(" ", D167 &amp; " ") - 1) &amp; "*") &gt; 0,INDEX(A:A,FuzzyVLookup(D167,A:A,0,,,1)),"Non-PDL")</f>
        <v>Non-PDL</v>
      </c>
      <c r="F167" t="str">
        <f t="shared" si="4"/>
        <v>Non-PDL</v>
      </c>
      <c r="G167" s="1" cm="1">
        <f t="array" ref="G167">FuzzyPercent(D167,E167,1)</f>
        <v>0</v>
      </c>
      <c r="H167" t="str">
        <f t="shared" si="5"/>
        <v/>
      </c>
    </row>
    <row r="168" spans="1:8" x14ac:dyDescent="0.2">
      <c r="A168" t="s">
        <v>334</v>
      </c>
      <c r="B168" t="s">
        <v>0</v>
      </c>
      <c r="D168" t="s">
        <v>2284</v>
      </c>
      <c r="E168" t="str" cm="1">
        <f t="array" ref="E168">IF(COUNTIF(A:A, "*" &amp; LEFT(D168, FIND(" ", D168 &amp; " ") - 1) &amp; "*") &gt; 0,INDEX(A:A,FuzzyVLookup(D168,A:A,0,,,1)),"Non-PDL")</f>
        <v>carteolol</v>
      </c>
      <c r="F168" t="str">
        <f t="shared" si="4"/>
        <v>Preferred</v>
      </c>
      <c r="G168" s="1" cm="1">
        <f t="array" ref="G168">FuzzyPercent(D168,E168,1)</f>
        <v>0.5</v>
      </c>
      <c r="H168" t="str">
        <f t="shared" si="5"/>
        <v/>
      </c>
    </row>
    <row r="169" spans="1:8" x14ac:dyDescent="0.2">
      <c r="A169" t="s">
        <v>336</v>
      </c>
      <c r="B169" t="s">
        <v>0</v>
      </c>
      <c r="D169" t="s">
        <v>2285</v>
      </c>
      <c r="E169" t="str" cm="1">
        <f t="array" ref="E169">IF(COUNTIF(A:A, "*" &amp; LEFT(D169, FIND(" ", D169 &amp; " ") - 1) &amp; "*") &gt; 0,INDEX(A:A,FuzzyVLookup(D169,A:A,0,,,1)),"Non-PDL")</f>
        <v>Non-PDL</v>
      </c>
      <c r="F169" t="str">
        <f t="shared" si="4"/>
        <v>Non-PDL</v>
      </c>
      <c r="G169" s="1" cm="1">
        <f t="array" ref="G169">FuzzyPercent(D169,E169,1)</f>
        <v>0.1111111119389534</v>
      </c>
      <c r="H169" t="str">
        <f t="shared" si="5"/>
        <v/>
      </c>
    </row>
    <row r="170" spans="1:8" x14ac:dyDescent="0.2">
      <c r="A170" t="s">
        <v>338</v>
      </c>
      <c r="B170" t="s">
        <v>0</v>
      </c>
      <c r="D170" t="s">
        <v>2286</v>
      </c>
      <c r="E170" t="str" cm="1">
        <f t="array" ref="E170">IF(COUNTIF(A:A, "*" &amp; LEFT(D170, FIND(" ", D170 &amp; " ") - 1) &amp; "*") &gt; 0,INDEX(A:A,FuzzyVLookup(D170,A:A,0,,,1)),"Non-PDL")</f>
        <v>dantrolene</v>
      </c>
      <c r="F170" t="str">
        <f t="shared" si="4"/>
        <v>Non-Preferred</v>
      </c>
      <c r="G170" s="1" cm="1">
        <f t="array" ref="G170">FuzzyPercent(D170,E170,1)</f>
        <v>0.55555558204650879</v>
      </c>
      <c r="H170" t="str">
        <f t="shared" si="5"/>
        <v/>
      </c>
    </row>
    <row r="171" spans="1:8" x14ac:dyDescent="0.2">
      <c r="A171" t="s">
        <v>340</v>
      </c>
      <c r="B171" t="s">
        <v>0</v>
      </c>
      <c r="D171" t="s">
        <v>2287</v>
      </c>
      <c r="E171" t="str" cm="1">
        <f t="array" ref="E171">IF(COUNTIF(A:A, "*" &amp; LEFT(D171, FIND(" ", D171 &amp; " ") - 1) &amp; "*") &gt; 0,INDEX(A:A,FuzzyVLookup(D171,A:A,0,,,1)),"Non-PDL")</f>
        <v>dapagliflozin</v>
      </c>
      <c r="F171" t="str">
        <f t="shared" si="4"/>
        <v>Non-Preferred</v>
      </c>
      <c r="G171" s="1" cm="1">
        <f t="array" ref="G171">FuzzyPercent(D171,E171,1)</f>
        <v>1</v>
      </c>
      <c r="H171" t="str">
        <f t="shared" si="5"/>
        <v/>
      </c>
    </row>
    <row r="172" spans="1:8" x14ac:dyDescent="0.2">
      <c r="A172" t="s">
        <v>342</v>
      </c>
      <c r="B172" t="s">
        <v>0</v>
      </c>
      <c r="D172" t="s">
        <v>2288</v>
      </c>
      <c r="E172" t="str" cm="1">
        <f t="array" ref="E172">IF(COUNTIF(A:A, "*" &amp; LEFT(D172, FIND(" ", D172 &amp; " ") - 1) &amp; "*") &gt; 0,INDEX(A:A,FuzzyVLookup(D172,A:A,0,,,1)),"Non-PDL")</f>
        <v>Non-PDL</v>
      </c>
      <c r="F172" t="str">
        <f t="shared" si="4"/>
        <v>Non-PDL</v>
      </c>
      <c r="G172" s="1" cm="1">
        <f t="array" ref="G172">FuzzyPercent(D172,E172,1)</f>
        <v>0.125</v>
      </c>
      <c r="H172" t="str">
        <f t="shared" si="5"/>
        <v/>
      </c>
    </row>
    <row r="173" spans="1:8" x14ac:dyDescent="0.2">
      <c r="A173" t="s">
        <v>344</v>
      </c>
      <c r="B173" t="s">
        <v>0</v>
      </c>
      <c r="D173" t="s">
        <v>2289</v>
      </c>
      <c r="E173" t="str" cm="1">
        <f t="array" ref="E173">IF(COUNTIF(A:A, "*" &amp; LEFT(D173, FIND(" ", D173 &amp; " ") - 1) &amp; "*") &gt; 0,INDEX(A:A,FuzzyVLookup(D173,A:A,0,,,1)),"Non-PDL")</f>
        <v>Non-PDL</v>
      </c>
      <c r="F173" t="str">
        <f t="shared" si="4"/>
        <v>Non-PDL</v>
      </c>
      <c r="G173" s="1" cm="1">
        <f t="array" ref="G173">FuzzyPercent(D173,E173,1)</f>
        <v>6.6666670143604279E-2</v>
      </c>
      <c r="H173" t="str">
        <f t="shared" si="5"/>
        <v/>
      </c>
    </row>
    <row r="174" spans="1:8" x14ac:dyDescent="0.2">
      <c r="A174" t="s">
        <v>346</v>
      </c>
      <c r="B174" t="s">
        <v>0</v>
      </c>
      <c r="D174" t="s">
        <v>2290</v>
      </c>
      <c r="E174" t="str" cm="1">
        <f t="array" ref="E174">IF(COUNTIF(A:A, "*" &amp; LEFT(D174, FIND(" ", D174 &amp; " ") - 1) &amp; "*") &gt; 0,INDEX(A:A,FuzzyVLookup(D174,A:A,0,,,1)),"Non-PDL")</f>
        <v>Non-PDL</v>
      </c>
      <c r="F174" t="str">
        <f t="shared" si="4"/>
        <v>Non-PDL</v>
      </c>
      <c r="G174" s="1" cm="1">
        <f t="array" ref="G174">FuzzyPercent(D174,E174,1)</f>
        <v>0</v>
      </c>
      <c r="H174" t="str">
        <f t="shared" si="5"/>
        <v/>
      </c>
    </row>
    <row r="175" spans="1:8" x14ac:dyDescent="0.2">
      <c r="A175" t="s">
        <v>348</v>
      </c>
      <c r="B175" t="s">
        <v>0</v>
      </c>
      <c r="D175" t="s">
        <v>2291</v>
      </c>
      <c r="E175" t="str" cm="1">
        <f t="array" ref="E175">IF(COUNTIF(A:A, "*" &amp; LEFT(D175, FIND(" ", D175 &amp; " ") - 1) &amp; "*") &gt; 0,INDEX(A:A,FuzzyVLookup(D175,A:A,0,,,1)),"Non-PDL")</f>
        <v>Non-PDL</v>
      </c>
      <c r="F175" t="str">
        <f t="shared" si="4"/>
        <v>Non-PDL</v>
      </c>
      <c r="G175" s="1" cm="1">
        <f t="array" ref="G175">FuzzyPercent(D175,E175,1)</f>
        <v>0</v>
      </c>
      <c r="H175" t="str">
        <f t="shared" si="5"/>
        <v/>
      </c>
    </row>
    <row r="176" spans="1:8" x14ac:dyDescent="0.2">
      <c r="A176" t="s">
        <v>350</v>
      </c>
      <c r="B176" t="s">
        <v>0</v>
      </c>
      <c r="D176" t="s">
        <v>2292</v>
      </c>
      <c r="E176" t="str" cm="1">
        <f t="array" ref="E176">IF(COUNTIF(A:A, "*" &amp; LEFT(D176, FIND(" ", D176 &amp; " ") - 1) &amp; "*") &gt; 0,INDEX(A:A,FuzzyVLookup(D176,A:A,0,,,1)),"Non-PDL")</f>
        <v>DEPAKOTE (divalproex)</v>
      </c>
      <c r="F176" t="str">
        <f t="shared" si="4"/>
        <v>Non-Preferred</v>
      </c>
      <c r="G176" s="1" cm="1">
        <f t="array" ref="G176">FuzzyPercent(D176,E176,1)</f>
        <v>0.5517241358757019</v>
      </c>
      <c r="H176" t="str">
        <f t="shared" si="5"/>
        <v/>
      </c>
    </row>
    <row r="177" spans="1:8" x14ac:dyDescent="0.2">
      <c r="A177" t="s">
        <v>351</v>
      </c>
      <c r="B177" t="s">
        <v>0</v>
      </c>
      <c r="D177" t="s">
        <v>2293</v>
      </c>
      <c r="E177" t="str" cm="1">
        <f t="array" ref="E177">IF(COUNTIF(A:A, "*" &amp; LEFT(D177, FIND(" ", D177 &amp; " ") - 1) &amp; "*") &gt; 0,INDEX(A:A,FuzzyVLookup(D177,A:A,0,,,1)),"Non-PDL")</f>
        <v>Non-PDL</v>
      </c>
      <c r="F177" t="str">
        <f t="shared" si="4"/>
        <v>Non-PDL</v>
      </c>
      <c r="G177" s="1" cm="1">
        <f t="array" ref="G177">FuzzyPercent(D177,E177,1)</f>
        <v>0</v>
      </c>
      <c r="H177" t="str">
        <f t="shared" si="5"/>
        <v/>
      </c>
    </row>
    <row r="178" spans="1:8" x14ac:dyDescent="0.2">
      <c r="A178" t="s">
        <v>353</v>
      </c>
      <c r="B178" t="s">
        <v>0</v>
      </c>
      <c r="D178" t="s">
        <v>2294</v>
      </c>
      <c r="E178" t="str" cm="1">
        <f t="array" ref="E178">IF(COUNTIF(A:A, "*" &amp; LEFT(D178, FIND(" ", D178 &amp; " ") - 1) &amp; "*") &gt; 0,INDEX(A:A,FuzzyVLookup(D178,A:A,0,,,1)),"Non-PDL")</f>
        <v>Non-PDL</v>
      </c>
      <c r="F178" t="str">
        <f t="shared" si="4"/>
        <v>Non-PDL</v>
      </c>
      <c r="G178" s="1" cm="1">
        <f t="array" ref="G178">FuzzyPercent(D178,E178,1)</f>
        <v>0</v>
      </c>
      <c r="H178" t="str">
        <f t="shared" si="5"/>
        <v/>
      </c>
    </row>
    <row r="179" spans="1:8" x14ac:dyDescent="0.2">
      <c r="A179" t="s">
        <v>355</v>
      </c>
      <c r="B179" t="s">
        <v>0</v>
      </c>
      <c r="D179" t="s">
        <v>2295</v>
      </c>
      <c r="E179" t="str" cm="1">
        <f t="array" ref="E179">IF(COUNTIF(A:A, "*" &amp; LEFT(D179, FIND(" ", D179 &amp; " ") - 1) &amp; "*") &gt; 0,INDEX(A:A,FuzzyVLookup(D179,A:A,0,,,1)),"Non-PDL")</f>
        <v>Non-PDL</v>
      </c>
      <c r="F179" t="str">
        <f t="shared" si="4"/>
        <v>Non-PDL</v>
      </c>
      <c r="G179" s="1" cm="1">
        <f t="array" ref="G179">FuzzyPercent(D179,E179,1)</f>
        <v>0</v>
      </c>
      <c r="H179" t="str">
        <f t="shared" si="5"/>
        <v/>
      </c>
    </row>
    <row r="180" spans="1:8" x14ac:dyDescent="0.2">
      <c r="A180" t="s">
        <v>357</v>
      </c>
      <c r="B180" t="s">
        <v>0</v>
      </c>
      <c r="D180" t="s">
        <v>2296</v>
      </c>
      <c r="E180" t="str" cm="1">
        <f t="array" ref="E180">IF(COUNTIF(A:A, "*" &amp; LEFT(D180, FIND(" ", D180 &amp; " ") - 1) &amp; "*") &gt; 0,INDEX(A:A,FuzzyVLookup(D180,A:A,0,,,1)),"Non-PDL")</f>
        <v>Non-PDL</v>
      </c>
      <c r="F180" t="str">
        <f t="shared" si="4"/>
        <v>Non-PDL</v>
      </c>
      <c r="G180" s="1" cm="1">
        <f t="array" ref="G180">FuzzyPercent(D180,E180,1)</f>
        <v>0</v>
      </c>
      <c r="H180" t="str">
        <f t="shared" si="5"/>
        <v/>
      </c>
    </row>
    <row r="181" spans="1:8" x14ac:dyDescent="0.2">
      <c r="A181" t="s">
        <v>359</v>
      </c>
      <c r="B181" t="s">
        <v>0</v>
      </c>
      <c r="D181" t="s">
        <v>2297</v>
      </c>
      <c r="E181" t="str" cm="1">
        <f t="array" ref="E181">IF(COUNTIF(A:A, "*" &amp; LEFT(D181, FIND(" ", D181 &amp; " ") - 1) &amp; "*") &gt; 0,INDEX(A:A,FuzzyVLookup(D181,A:A,0,,,1)),"Non-PDL")</f>
        <v>Non-PDL</v>
      </c>
      <c r="F181" t="str">
        <f t="shared" si="4"/>
        <v>Non-PDL</v>
      </c>
      <c r="G181" s="1" cm="1">
        <f t="array" ref="G181">FuzzyPercent(D181,E181,1)</f>
        <v>0</v>
      </c>
      <c r="H181" t="str">
        <f t="shared" si="5"/>
        <v/>
      </c>
    </row>
    <row r="182" spans="1:8" x14ac:dyDescent="0.2">
      <c r="A182" t="s">
        <v>361</v>
      </c>
      <c r="B182" t="s">
        <v>0</v>
      </c>
      <c r="D182" t="s">
        <v>2298</v>
      </c>
      <c r="E182" t="str" cm="1">
        <f t="array" ref="E182">IF(COUNTIF(A:A, "*" &amp; LEFT(D182, FIND(" ", D182 &amp; " ") - 1) &amp; "*") &gt; 0,INDEX(A:A,FuzzyVLookup(D182,A:A,0,,,1)),"Non-PDL")</f>
        <v>DIACOMIT (stiripentol)</v>
      </c>
      <c r="F182" t="str">
        <f t="shared" si="4"/>
        <v>Non-Preferred</v>
      </c>
      <c r="G182" s="1" cm="1">
        <f t="array" ref="G182">FuzzyPercent(D182,E182,1)</f>
        <v>0.52631580829620361</v>
      </c>
      <c r="H182" t="str">
        <f t="shared" si="5"/>
        <v/>
      </c>
    </row>
    <row r="183" spans="1:8" x14ac:dyDescent="0.2">
      <c r="A183" t="s">
        <v>357</v>
      </c>
      <c r="B183" t="s">
        <v>0</v>
      </c>
      <c r="D183" t="s">
        <v>2299</v>
      </c>
      <c r="E183" t="str" cm="1">
        <f t="array" ref="E183">IF(COUNTIF(A:A, "*" &amp; LEFT(D183, FIND(" ", D183 &amp; " ") - 1) &amp; "*") &gt; 0,INDEX(A:A,FuzzyVLookup(D183,A:A,0,,,1)),"Non-PDL")</f>
        <v>DIACOMIT (stiripentol)</v>
      </c>
      <c r="F183" t="str">
        <f t="shared" si="4"/>
        <v>Non-Preferred</v>
      </c>
      <c r="G183" s="1" cm="1">
        <f t="array" ref="G183">FuzzyPercent(D183,E183,1)</f>
        <v>0.31428572535514832</v>
      </c>
      <c r="H183" t="str">
        <f t="shared" si="5"/>
        <v>CHECK</v>
      </c>
    </row>
    <row r="184" spans="1:8" x14ac:dyDescent="0.2">
      <c r="A184" t="s">
        <v>364</v>
      </c>
      <c r="B184" t="s">
        <v>0</v>
      </c>
      <c r="D184" t="s">
        <v>2300</v>
      </c>
      <c r="E184" t="str" cm="1">
        <f t="array" ref="E184">IF(COUNTIF(A:A, "*" &amp; LEFT(D184, FIND(" ", D184 &amp; " ") - 1) &amp; "*") &gt; 0,INDEX(A:A,FuzzyVLookup(D184,A:A,0,,,1)),"Non-PDL")</f>
        <v>dimethyl fumarate</v>
      </c>
      <c r="F184" t="str">
        <f t="shared" si="4"/>
        <v>Preferred</v>
      </c>
      <c r="G184" s="1" cm="1">
        <f t="array" ref="G184">FuzzyPercent(D184,E184,1)</f>
        <v>1</v>
      </c>
      <c r="H184" t="str">
        <f t="shared" si="5"/>
        <v/>
      </c>
    </row>
    <row r="185" spans="1:8" x14ac:dyDescent="0.2">
      <c r="A185" t="s">
        <v>366</v>
      </c>
      <c r="B185" t="s">
        <v>0</v>
      </c>
      <c r="D185" t="s">
        <v>2301</v>
      </c>
      <c r="E185" t="str" cm="1">
        <f t="array" ref="E185">IF(COUNTIF(A:A, "*" &amp; LEFT(D185, FIND(" ", D185 &amp; " ") - 1) &amp; "*") &gt; 0,INDEX(A:A,FuzzyVLookup(D185,A:A,0,,,1)),"Non-PDL")</f>
        <v>Non-PDL</v>
      </c>
      <c r="F185" t="str">
        <f t="shared" si="4"/>
        <v>Non-PDL</v>
      </c>
      <c r="G185" s="1" cm="1">
        <f t="array" ref="G185">FuzzyPercent(D185,E185,1)</f>
        <v>0.28571429848670959</v>
      </c>
      <c r="H185" t="str">
        <f t="shared" si="5"/>
        <v/>
      </c>
    </row>
    <row r="186" spans="1:8" x14ac:dyDescent="0.2">
      <c r="A186" t="s">
        <v>368</v>
      </c>
      <c r="B186" t="s">
        <v>0</v>
      </c>
      <c r="D186" t="s">
        <v>2302</v>
      </c>
      <c r="E186" t="str" cm="1">
        <f t="array" ref="E186">IF(COUNTIF(A:A, "*" &amp; LEFT(D186, FIND(" ", D186 &amp; " ") - 1) &amp; "*") &gt; 0,INDEX(A:A,FuzzyVLookup(D186,A:A,0,,,1)),"Non-PDL")</f>
        <v>donepezil 23 mg tablet</v>
      </c>
      <c r="F186" t="str">
        <f t="shared" si="4"/>
        <v>Non-Preferred</v>
      </c>
      <c r="G186" s="1" cm="1">
        <f t="array" ref="G186">FuzzyPercent(D186,E186,1)</f>
        <v>0.57142859697341919</v>
      </c>
      <c r="H186" t="str">
        <f t="shared" si="5"/>
        <v/>
      </c>
    </row>
    <row r="187" spans="1:8" x14ac:dyDescent="0.2">
      <c r="A187" t="s">
        <v>370</v>
      </c>
      <c r="B187" t="s">
        <v>0</v>
      </c>
      <c r="D187" t="s">
        <v>2303</v>
      </c>
      <c r="E187" t="str" cm="1">
        <f t="array" ref="E187">IF(COUNTIF(A:A, "*" &amp; LEFT(D187, FIND(" ", D187 &amp; " ") - 1) &amp; "*") &gt; 0,INDEX(A:A,FuzzyVLookup(D187,A:A,0,,,1)),"Non-PDL")</f>
        <v>donepezil 23 mg tablet</v>
      </c>
      <c r="F187" t="str">
        <f t="shared" si="4"/>
        <v>Non-Preferred</v>
      </c>
      <c r="G187" s="1" cm="1">
        <f t="array" ref="G187">FuzzyPercent(D187,E187,1)</f>
        <v>0.55263155698776245</v>
      </c>
      <c r="H187" t="str">
        <f t="shared" si="5"/>
        <v/>
      </c>
    </row>
    <row r="188" spans="1:8" x14ac:dyDescent="0.2">
      <c r="A188" t="s">
        <v>372</v>
      </c>
      <c r="B188" t="s">
        <v>0</v>
      </c>
      <c r="D188" t="s">
        <v>2304</v>
      </c>
      <c r="E188" t="str" cm="1">
        <f t="array" ref="E188">IF(COUNTIF(A:A, "*" &amp; LEFT(D188, FIND(" ", D188 &amp; " ") - 1) &amp; "*") &gt; 0,INDEX(A:A,FuzzyVLookup(D188,A:A,0,,,1)),"Non-PDL")</f>
        <v>DOPTELET (avatrombopag)</v>
      </c>
      <c r="F188" t="str">
        <f t="shared" si="4"/>
        <v>Non-Preferred</v>
      </c>
      <c r="G188" s="1" cm="1">
        <f t="array" ref="G188">FuzzyPercent(D188,E188,1)</f>
        <v>0.5161290168762207</v>
      </c>
      <c r="H188" t="str">
        <f t="shared" si="5"/>
        <v/>
      </c>
    </row>
    <row r="189" spans="1:8" x14ac:dyDescent="0.2">
      <c r="A189" t="s">
        <v>374</v>
      </c>
      <c r="B189" t="s">
        <v>0</v>
      </c>
      <c r="D189" t="s">
        <v>2305</v>
      </c>
      <c r="E189" t="str" cm="1">
        <f t="array" ref="E189">IF(COUNTIF(A:A, "*" &amp; LEFT(D189, FIND(" ", D189 &amp; " ") - 1) &amp; "*") &gt; 0,INDEX(A:A,FuzzyVLookup(D189,A:A,0,,,1)),"Non-PDL")</f>
        <v>DUAKLIR PRESSAIR (aclidinium/formoterol)</v>
      </c>
      <c r="F189" t="str">
        <f t="shared" si="4"/>
        <v>Non-Preferred</v>
      </c>
      <c r="G189" s="1" cm="1">
        <f t="array" ref="G189">FuzzyPercent(D189,E189,1)</f>
        <v>0.57142859697341919</v>
      </c>
      <c r="H189" t="str">
        <f t="shared" si="5"/>
        <v/>
      </c>
    </row>
    <row r="190" spans="1:8" x14ac:dyDescent="0.2">
      <c r="A190" t="s">
        <v>376</v>
      </c>
      <c r="B190" t="s">
        <v>0</v>
      </c>
      <c r="D190" t="s">
        <v>2306</v>
      </c>
      <c r="E190" t="str" cm="1">
        <f t="array" ref="E190">IF(COUNTIF(A:A, "*" &amp; LEFT(D190, FIND(" ", D190 &amp; " ") - 1) &amp; "*") &gt; 0,INDEX(A:A,FuzzyVLookup(D190,A:A,0,,,1)),"Non-PDL")</f>
        <v>DUOCAL</v>
      </c>
      <c r="F190" t="str">
        <f t="shared" si="4"/>
        <v>Preferred</v>
      </c>
      <c r="G190" s="1" cm="1">
        <f t="array" ref="G190">FuzzyPercent(D190,E190,1)</f>
        <v>0.5</v>
      </c>
      <c r="H190" t="str">
        <f t="shared" si="5"/>
        <v/>
      </c>
    </row>
    <row r="191" spans="1:8" x14ac:dyDescent="0.2">
      <c r="A191" t="s">
        <v>378</v>
      </c>
      <c r="B191" t="s">
        <v>0</v>
      </c>
      <c r="D191" t="s">
        <v>2307</v>
      </c>
      <c r="E191" t="str" cm="1">
        <f t="array" ref="E191">IF(COUNTIF(A:A, "*" &amp; LEFT(D191, FIND(" ", D191 &amp; " ") - 1) &amp; "*") &gt; 0,INDEX(A:A,FuzzyVLookup(D191,A:A,0,,,1)),"Non-PDL")</f>
        <v>paroxetine CR</v>
      </c>
      <c r="F191" t="str">
        <f t="shared" si="4"/>
        <v>Preferred</v>
      </c>
      <c r="G191" s="1" cm="1">
        <f t="array" ref="G191">FuzzyPercent(D191,E191,1)</f>
        <v>0.6086956262588501</v>
      </c>
      <c r="H191" t="str">
        <f t="shared" si="5"/>
        <v/>
      </c>
    </row>
    <row r="192" spans="1:8" x14ac:dyDescent="0.2">
      <c r="A192" t="s">
        <v>380</v>
      </c>
      <c r="B192" t="s">
        <v>0</v>
      </c>
      <c r="D192" t="s">
        <v>2308</v>
      </c>
      <c r="E192" t="str" cm="1">
        <f t="array" ref="E192">IF(COUNTIF(A:A, "*" &amp; LEFT(D192, FIND(" ", D192 &amp; " ") - 1) &amp; "*") &gt; 0,INDEX(A:A,FuzzyVLookup(D192,A:A,0,,,1)),"Non-PDL")</f>
        <v>naproxen</v>
      </c>
      <c r="F192" t="str">
        <f t="shared" si="4"/>
        <v>Preferred</v>
      </c>
      <c r="G192" s="1" cm="1">
        <f t="array" ref="G192">FuzzyPercent(D192,E192,1)</f>
        <v>0.5</v>
      </c>
      <c r="H192" t="str">
        <f t="shared" si="5"/>
        <v/>
      </c>
    </row>
    <row r="193" spans="1:8" x14ac:dyDescent="0.2">
      <c r="A193" t="s">
        <v>382</v>
      </c>
      <c r="B193" t="s">
        <v>0</v>
      </c>
      <c r="D193" t="s">
        <v>2309</v>
      </c>
      <c r="E193" t="str" cm="1">
        <f t="array" ref="E193">IF(COUNTIF(A:A, "*" &amp; LEFT(D193, FIND(" ", D193 &amp; " ") - 1) &amp; "*") &gt; 0,INDEX(A:A,FuzzyVLookup(D193,A:A,0,,,1)),"Non-PDL")</f>
        <v>Non-PDL</v>
      </c>
      <c r="F193" t="str">
        <f t="shared" si="4"/>
        <v>Non-PDL</v>
      </c>
      <c r="G193" s="1" cm="1">
        <f t="array" ref="G193">FuzzyPercent(D193,E193,1)</f>
        <v>0</v>
      </c>
      <c r="H193" t="str">
        <f t="shared" si="5"/>
        <v/>
      </c>
    </row>
    <row r="194" spans="1:8" x14ac:dyDescent="0.2">
      <c r="A194" t="s">
        <v>384</v>
      </c>
      <c r="B194" t="s">
        <v>0</v>
      </c>
      <c r="D194" t="s">
        <v>2310</v>
      </c>
      <c r="E194" t="str" cm="1">
        <f t="array" ref="E194">IF(COUNTIF(A:A, "*" &amp; LEFT(D194, FIND(" ", D194 &amp; " ") - 1) &amp; "*") &gt; 0,INDEX(A:A,FuzzyVLookup(D194,A:A,0,,,1)),"Non-PDL")</f>
        <v>DUVYZAT (givinostat)</v>
      </c>
      <c r="F194" t="str">
        <f t="shared" si="4"/>
        <v>Non-Preferred</v>
      </c>
      <c r="G194" s="1" cm="1">
        <f t="array" ref="G194">FuzzyPercent(D194,E194,1)</f>
        <v>0.39130434393882751</v>
      </c>
      <c r="H194" t="str">
        <f t="shared" si="5"/>
        <v>CHECK</v>
      </c>
    </row>
    <row r="195" spans="1:8" x14ac:dyDescent="0.2">
      <c r="A195" t="s">
        <v>386</v>
      </c>
      <c r="B195" t="s">
        <v>0</v>
      </c>
      <c r="D195" t="s">
        <v>2311</v>
      </c>
      <c r="E195" t="str" cm="1">
        <f t="array" ref="E195">IF(COUNTIF(A:A, "*" &amp; LEFT(D195, FIND(" ", D195 &amp; " ") - 1) &amp; "*") &gt; 0,INDEX(A:A,FuzzyVLookup(D195,A:A,0,,,1)),"Non-PDL")</f>
        <v>DYANAVEL XR (amphetamine)</v>
      </c>
      <c r="F195" t="str">
        <f t="shared" ref="F195:F258" si="6">_xlfn.IFNA(_xlfn.XLOOKUP(E195,A:A,B:B),"Non-PDL")</f>
        <v>Preferred</v>
      </c>
      <c r="G195" s="1" cm="1">
        <f t="array" ref="G195">FuzzyPercent(D195,E195,1)</f>
        <v>0.48148149251937866</v>
      </c>
      <c r="H195" t="str">
        <f t="shared" ref="H195:H258" si="7">IF(F195="Non-PDL","",IF(G195&lt;0.4,"CHECK",""))</f>
        <v/>
      </c>
    </row>
    <row r="196" spans="1:8" x14ac:dyDescent="0.2">
      <c r="A196" t="s">
        <v>388</v>
      </c>
      <c r="B196" t="s">
        <v>0</v>
      </c>
      <c r="D196" t="s">
        <v>2312</v>
      </c>
      <c r="E196" t="str" cm="1">
        <f t="array" ref="E196">IF(COUNTIF(A:A, "*" &amp; LEFT(D196, FIND(" ", D196 &amp; " ") - 1) &amp; "*") &gt; 0,INDEX(A:A,FuzzyVLookup(D196,A:A,0,,,1)),"Non-PDL")</f>
        <v>DYANAVEL XR (amphetamine)</v>
      </c>
      <c r="F196" t="str">
        <f t="shared" si="6"/>
        <v>Preferred</v>
      </c>
      <c r="G196" s="1" cm="1">
        <f t="array" ref="G196">FuzzyPercent(D196,E196,1)</f>
        <v>0.65116280317306519</v>
      </c>
      <c r="H196" t="str">
        <f t="shared" si="7"/>
        <v/>
      </c>
    </row>
    <row r="197" spans="1:8" x14ac:dyDescent="0.2">
      <c r="A197" t="s">
        <v>390</v>
      </c>
      <c r="B197" t="s">
        <v>0</v>
      </c>
      <c r="D197" t="s">
        <v>2313</v>
      </c>
      <c r="E197" t="str" cm="1">
        <f t="array" ref="E197">IF(COUNTIF(A:A, "*" &amp; LEFT(D197, FIND(" ", D197 &amp; " ") - 1) &amp; "*") &gt; 0,INDEX(A:A,FuzzyVLookup(D197,A:A,0,,,1)),"Non-PDL")</f>
        <v>Non-PDL</v>
      </c>
      <c r="F197" t="str">
        <f t="shared" si="6"/>
        <v>Non-PDL</v>
      </c>
      <c r="G197" s="1" cm="1">
        <f t="array" ref="G197">FuzzyPercent(D197,E197,1)</f>
        <v>0.1428571492433548</v>
      </c>
      <c r="H197" t="str">
        <f t="shared" si="7"/>
        <v/>
      </c>
    </row>
    <row r="198" spans="1:8" x14ac:dyDescent="0.2">
      <c r="A198" t="s">
        <v>392</v>
      </c>
      <c r="B198" t="s">
        <v>0</v>
      </c>
      <c r="D198" t="s">
        <v>2314</v>
      </c>
      <c r="E198" t="str" cm="1">
        <f t="array" ref="E198">IF(COUNTIF(A:A, "*" &amp; LEFT(D198, FIND(" ", D198 &amp; " ") - 1) &amp; "*") &gt; 0,INDEX(A:A,FuzzyVLookup(D198,A:A,0,,,1)),"Non-PDL")</f>
        <v>EDARBI (azilsartan)</v>
      </c>
      <c r="F198" t="str">
        <f t="shared" si="6"/>
        <v>Non-Preferred</v>
      </c>
      <c r="G198" s="1" cm="1">
        <f t="array" ref="G198">FuzzyPercent(D198,E198,1)</f>
        <v>0.47999998927116394</v>
      </c>
      <c r="H198" t="str">
        <f t="shared" si="7"/>
        <v/>
      </c>
    </row>
    <row r="199" spans="1:8" x14ac:dyDescent="0.2">
      <c r="A199" t="s">
        <v>394</v>
      </c>
      <c r="B199" t="s">
        <v>0</v>
      </c>
      <c r="D199" t="s">
        <v>2315</v>
      </c>
      <c r="E199" t="str" cm="1">
        <f t="array" ref="E199">IF(COUNTIF(A:A, "*" &amp; LEFT(D199, FIND(" ", D199 &amp; " ") - 1) &amp; "*") &gt; 0,INDEX(A:A,FuzzyVLookup(D199,A:A,0,,,1)),"Non-PDL")</f>
        <v>EDARBYCLOR (azilsartan/chlorthalidone)</v>
      </c>
      <c r="F199" t="str">
        <f t="shared" si="6"/>
        <v>Non-Preferred</v>
      </c>
      <c r="G199" s="1" cm="1">
        <f t="array" ref="G199">FuzzyPercent(D199,E199,1)</f>
        <v>0.4166666567325592</v>
      </c>
      <c r="H199" t="str">
        <f t="shared" si="7"/>
        <v/>
      </c>
    </row>
    <row r="200" spans="1:8" x14ac:dyDescent="0.2">
      <c r="A200" t="s">
        <v>396</v>
      </c>
      <c r="B200" t="s">
        <v>0</v>
      </c>
      <c r="D200" t="s">
        <v>2316</v>
      </c>
      <c r="E200" t="str" cm="1">
        <f t="array" ref="E200">IF(COUNTIF(A:A, "*" &amp; LEFT(D200, FIND(" ", D200 &amp; " ") - 1) &amp; "*") &gt; 0,INDEX(A:A,FuzzyVLookup(D200,A:A,0,,,1)),"Non-PDL")</f>
        <v>everolimus</v>
      </c>
      <c r="F200" t="str">
        <f t="shared" si="6"/>
        <v>Preferred</v>
      </c>
      <c r="G200" s="1" cm="1">
        <f t="array" ref="G200">FuzzyPercent(D200,E200,1)</f>
        <v>0.4117647111415863</v>
      </c>
      <c r="H200" t="str">
        <f t="shared" si="7"/>
        <v/>
      </c>
    </row>
    <row r="201" spans="1:8" x14ac:dyDescent="0.2">
      <c r="A201" t="s">
        <v>398</v>
      </c>
      <c r="B201" t="s">
        <v>0</v>
      </c>
      <c r="D201" t="s">
        <v>2317</v>
      </c>
      <c r="E201" t="str" cm="1">
        <f t="array" ref="E201">IF(COUNTIF(A:A, "*" &amp; LEFT(D201, FIND(" ", D201 &amp; " ") - 1) &amp; "*") &gt; 0,INDEX(A:A,FuzzyVLookup(D201,A:A,0,,,1)),"Non-PDL")</f>
        <v>ELEVIDYS (delandistrogene moxeparvovec-rokl)</v>
      </c>
      <c r="F201" t="str">
        <f t="shared" si="6"/>
        <v>Non-Preferred</v>
      </c>
      <c r="G201" s="1" cm="1">
        <f t="array" ref="G201">FuzzyPercent(D201,E201,1)</f>
        <v>0.33766233921051025</v>
      </c>
      <c r="H201" t="str">
        <f t="shared" si="7"/>
        <v>CHECK</v>
      </c>
    </row>
    <row r="202" spans="1:8" x14ac:dyDescent="0.2">
      <c r="A202" t="s">
        <v>400</v>
      </c>
      <c r="B202" t="s">
        <v>0</v>
      </c>
      <c r="D202" t="s">
        <v>2318</v>
      </c>
      <c r="E202" t="str" cm="1">
        <f t="array" ref="E202">IF(COUNTIF(A:A, "*" &amp; LEFT(D202, FIND(" ", D202 &amp; " ") - 1) &amp; "*") &gt; 0,INDEX(A:A,FuzzyVLookup(D202,A:A,0,,,1)),"Non-PDL")</f>
        <v>Non-PDL</v>
      </c>
      <c r="F202" t="str">
        <f t="shared" si="6"/>
        <v>Non-PDL</v>
      </c>
      <c r="G202" s="1" cm="1">
        <f t="array" ref="G202">FuzzyPercent(D202,E202,1)</f>
        <v>0</v>
      </c>
      <c r="H202" t="str">
        <f t="shared" si="7"/>
        <v/>
      </c>
    </row>
    <row r="203" spans="1:8" x14ac:dyDescent="0.2">
      <c r="A203" t="s">
        <v>402</v>
      </c>
      <c r="B203" t="s">
        <v>0</v>
      </c>
      <c r="D203" t="s">
        <v>2319</v>
      </c>
      <c r="E203" t="str" cm="1">
        <f t="array" ref="E203">IF(COUNTIF(A:A, "*" &amp; LEFT(D203, FIND(" ", D203 &amp; " ") - 1) &amp; "*") &gt; 0,INDEX(A:A,FuzzyVLookup(D203,A:A,0,,,1)),"Non-PDL")</f>
        <v>Non-PDL</v>
      </c>
      <c r="F203" t="str">
        <f t="shared" si="6"/>
        <v>Non-PDL</v>
      </c>
      <c r="G203" s="1" cm="1">
        <f t="array" ref="G203">FuzzyPercent(D203,E203,1)</f>
        <v>0.1428571492433548</v>
      </c>
      <c r="H203" t="str">
        <f t="shared" si="7"/>
        <v/>
      </c>
    </row>
    <row r="204" spans="1:8" x14ac:dyDescent="0.2">
      <c r="A204" t="s">
        <v>404</v>
      </c>
      <c r="B204" t="s">
        <v>0</v>
      </c>
      <c r="D204" t="s">
        <v>2320</v>
      </c>
      <c r="E204" t="str" cm="1">
        <f t="array" ref="E204">IF(COUNTIF(A:A, "*" &amp; LEFT(D204, FIND(" ", D204 &amp; " ") - 1) &amp; "*") &gt; 0,INDEX(A:A,FuzzyVLookup(D204,A:A,0,,,1)),"Non-PDL")</f>
        <v>Non-PDL</v>
      </c>
      <c r="F204" t="str">
        <f t="shared" si="6"/>
        <v>Non-PDL</v>
      </c>
      <c r="G204" s="1" cm="1">
        <f t="array" ref="G204">FuzzyPercent(D204,E204,1)</f>
        <v>0</v>
      </c>
      <c r="H204" t="str">
        <f t="shared" si="7"/>
        <v/>
      </c>
    </row>
    <row r="205" spans="1:8" x14ac:dyDescent="0.2">
      <c r="A205" t="s">
        <v>406</v>
      </c>
      <c r="B205" t="s">
        <v>0</v>
      </c>
      <c r="D205" t="s">
        <v>2321</v>
      </c>
      <c r="E205" t="str" cm="1">
        <f t="array" ref="E205">IF(COUNTIF(A:A, "*" &amp; LEFT(D205, FIND(" ", D205 &amp; " ") - 1) &amp; "*") &gt; 0,INDEX(A:A,FuzzyVLookup(D205,A:A,0,,,1)),"Non-PDL")</f>
        <v>Non-PDL</v>
      </c>
      <c r="F205" t="str">
        <f t="shared" si="6"/>
        <v>Non-PDL</v>
      </c>
      <c r="G205" s="1" cm="1">
        <f t="array" ref="G205">FuzzyPercent(D205,E205,1)</f>
        <v>0</v>
      </c>
      <c r="H205" t="str">
        <f t="shared" si="7"/>
        <v/>
      </c>
    </row>
    <row r="206" spans="1:8" x14ac:dyDescent="0.2">
      <c r="A206" t="s">
        <v>408</v>
      </c>
      <c r="B206" t="s">
        <v>0</v>
      </c>
      <c r="D206" t="s">
        <v>2322</v>
      </c>
      <c r="E206" t="str" cm="1">
        <f t="array" ref="E206">IF(COUNTIF(A:A, "*" &amp; LEFT(D206, FIND(" ", D206 &amp; " ") - 1) &amp; "*") &gt; 0,INDEX(A:A,FuzzyVLookup(D206,A:A,0,,,1)),"Non-PDL")</f>
        <v>ELOCTATE</v>
      </c>
      <c r="F206" t="str">
        <f t="shared" si="6"/>
        <v>Non-Preferred</v>
      </c>
      <c r="G206" s="1" cm="1">
        <f t="array" ref="G206">FuzzyPercent(D206,E206,1)</f>
        <v>1</v>
      </c>
      <c r="H206" t="str">
        <f t="shared" si="7"/>
        <v/>
      </c>
    </row>
    <row r="207" spans="1:8" x14ac:dyDescent="0.2">
      <c r="A207" t="s">
        <v>410</v>
      </c>
      <c r="B207" t="s">
        <v>0</v>
      </c>
      <c r="D207" t="s">
        <v>2323</v>
      </c>
      <c r="E207" t="str" cm="1">
        <f t="array" ref="E207">IF(COUNTIF(A:A, "*" &amp; LEFT(D207, FIND(" ", D207 &amp; " ") - 1) &amp; "*") &gt; 0,INDEX(A:A,FuzzyVLookup(D207,A:A,0,,,1)),"Non-PDL")</f>
        <v>Non-PDL</v>
      </c>
      <c r="F207" t="str">
        <f t="shared" si="6"/>
        <v>Non-PDL</v>
      </c>
      <c r="G207" s="1" cm="1">
        <f t="array" ref="G207">FuzzyPercent(D207,E207,1)</f>
        <v>0</v>
      </c>
      <c r="H207" t="str">
        <f t="shared" si="7"/>
        <v/>
      </c>
    </row>
    <row r="208" spans="1:8" x14ac:dyDescent="0.2">
      <c r="A208" t="s">
        <v>412</v>
      </c>
      <c r="B208" t="s">
        <v>0</v>
      </c>
      <c r="D208" t="s">
        <v>2324</v>
      </c>
      <c r="E208" t="str" cm="1">
        <f t="array" ref="E208">IF(COUNTIF(A:A, "*" &amp; LEFT(D208, FIND(" ", D208 &amp; " ") - 1) &amp; "*") &gt; 0,INDEX(A:A,FuzzyVLookup(D208,A:A,0,,,1)),"Non-PDL")</f>
        <v>Non-PDL</v>
      </c>
      <c r="F208" t="str">
        <f t="shared" si="6"/>
        <v>Non-PDL</v>
      </c>
      <c r="G208" s="1" cm="1">
        <f t="array" ref="G208">FuzzyPercent(D208,E208,1)</f>
        <v>4.3478261679410934E-2</v>
      </c>
      <c r="H208" t="str">
        <f t="shared" si="7"/>
        <v/>
      </c>
    </row>
    <row r="209" spans="1:8" x14ac:dyDescent="0.2">
      <c r="A209" t="s">
        <v>414</v>
      </c>
      <c r="B209" t="s">
        <v>0</v>
      </c>
      <c r="D209" t="s">
        <v>2325</v>
      </c>
      <c r="E209" t="str" cm="1">
        <f t="array" ref="E209">IF(COUNTIF(A:A, "*" &amp; LEFT(D209, FIND(" ", D209 &amp; " ") - 1) &amp; "*") &gt; 0,INDEX(A:A,FuzzyVLookup(D209,A:A,0,,,1)),"Non-PDL")</f>
        <v>Non-PDL</v>
      </c>
      <c r="F209" t="str">
        <f t="shared" si="6"/>
        <v>Non-PDL</v>
      </c>
      <c r="G209" s="1" cm="1">
        <f t="array" ref="G209">FuzzyPercent(D209,E209,1)</f>
        <v>7.1428574621677399E-2</v>
      </c>
      <c r="H209" t="str">
        <f t="shared" si="7"/>
        <v/>
      </c>
    </row>
    <row r="210" spans="1:8" x14ac:dyDescent="0.2">
      <c r="A210" t="s">
        <v>416</v>
      </c>
      <c r="B210" t="s">
        <v>0</v>
      </c>
      <c r="D210" t="s">
        <v>2326</v>
      </c>
      <c r="E210" t="str" cm="1">
        <f t="array" ref="E210">IF(COUNTIF(A:A, "*" &amp; LEFT(D210, FIND(" ", D210 &amp; " ") - 1) &amp; "*") &gt; 0,INDEX(A:A,FuzzyVLookup(D210,A:A,0,,,1)),"Non-PDL")</f>
        <v>EMGALITY PEN (galcanezumab-gnlm) DUR+</v>
      </c>
      <c r="F210" t="str">
        <f t="shared" si="6"/>
        <v>Preferred</v>
      </c>
      <c r="G210" s="1" cm="1">
        <f t="array" ref="G210">FuzzyPercent(D210,E210,1)</f>
        <v>0.42307692766189575</v>
      </c>
      <c r="H210" t="str">
        <f t="shared" si="7"/>
        <v/>
      </c>
    </row>
    <row r="211" spans="1:8" x14ac:dyDescent="0.2">
      <c r="A211" t="s">
        <v>418</v>
      </c>
      <c r="B211" t="s">
        <v>0</v>
      </c>
      <c r="D211" t="s">
        <v>2327</v>
      </c>
      <c r="E211" t="str" cm="1">
        <f t="array" ref="E211">IF(COUNTIF(A:A, "*" &amp; LEFT(D211, FIND(" ", D211 &amp; " ") - 1) &amp; "*") &gt; 0,INDEX(A:A,FuzzyVLookup(D211,A:A,0,,,1)),"Non-PDL")</f>
        <v>EMGALITY PEN (galcanezumab-gnlm) DUR+</v>
      </c>
      <c r="F211" t="str">
        <f t="shared" si="6"/>
        <v>Preferred</v>
      </c>
      <c r="G211" s="1" cm="1">
        <f t="array" ref="G211">FuzzyPercent(D211,E211,1)</f>
        <v>0.42307692766189575</v>
      </c>
      <c r="H211" t="str">
        <f t="shared" si="7"/>
        <v/>
      </c>
    </row>
    <row r="212" spans="1:8" x14ac:dyDescent="0.2">
      <c r="A212" t="s">
        <v>420</v>
      </c>
      <c r="B212" t="s">
        <v>0</v>
      </c>
      <c r="D212" t="s">
        <v>2328</v>
      </c>
      <c r="E212" t="str" cm="1">
        <f t="array" ref="E212">IF(COUNTIF(A:A, "*" &amp; LEFT(D212, FIND(" ", D212 &amp; " ") - 1) &amp; "*") &gt; 0,INDEX(A:A,FuzzyVLookup(D212,A:A,0,,,1)),"Non-PDL")</f>
        <v>Non-PDL</v>
      </c>
      <c r="F212" t="str">
        <f t="shared" si="6"/>
        <v>Non-PDL</v>
      </c>
      <c r="G212" s="1" cm="1">
        <f t="array" ref="G212">FuzzyPercent(D212,E212,1)</f>
        <v>0.125</v>
      </c>
      <c r="H212" t="str">
        <f t="shared" si="7"/>
        <v/>
      </c>
    </row>
    <row r="213" spans="1:8" x14ac:dyDescent="0.2">
      <c r="A213" t="s">
        <v>422</v>
      </c>
      <c r="B213" t="s">
        <v>0</v>
      </c>
      <c r="D213" t="s">
        <v>2329</v>
      </c>
      <c r="E213" t="str" cm="1">
        <f t="array" ref="E213">IF(COUNTIF(A:A, "*" &amp; LEFT(D213, FIND(" ", D213 &amp; " ") - 1) &amp; "*") &gt; 0,INDEX(A:A,FuzzyVLookup(D213,A:A,0,,,1)),"Non-PDL")</f>
        <v>Non-PDL</v>
      </c>
      <c r="F213" t="str">
        <f t="shared" si="6"/>
        <v>Non-PDL</v>
      </c>
      <c r="G213" s="1" cm="1">
        <f t="array" ref="G213">FuzzyPercent(D213,E213,1)</f>
        <v>0</v>
      </c>
      <c r="H213" t="str">
        <f t="shared" si="7"/>
        <v/>
      </c>
    </row>
    <row r="214" spans="1:8" x14ac:dyDescent="0.2">
      <c r="A214" t="s">
        <v>424</v>
      </c>
      <c r="B214" t="s">
        <v>0</v>
      </c>
      <c r="D214" t="s">
        <v>2330</v>
      </c>
      <c r="E214" t="str" cm="1">
        <f t="array" ref="E214">IF(COUNTIF(A:A, "*" &amp; LEFT(D214, FIND(" ", D214 &amp; " ") - 1) &amp; "*") &gt; 0,INDEX(A:A,FuzzyVLookup(D214,A:A,0,,,1)),"Non-PDL")</f>
        <v>EMTRIVA (emtricitabine)</v>
      </c>
      <c r="F214" t="str">
        <f t="shared" si="6"/>
        <v>Preferred</v>
      </c>
      <c r="G214" s="1" cm="1">
        <f t="array" ref="G214">FuzzyPercent(D214,E214,1)</f>
        <v>0.42105263471603394</v>
      </c>
      <c r="H214" t="str">
        <f t="shared" si="7"/>
        <v/>
      </c>
    </row>
    <row r="215" spans="1:8" x14ac:dyDescent="0.2">
      <c r="A215" t="s">
        <v>426</v>
      </c>
      <c r="B215" t="s">
        <v>0</v>
      </c>
      <c r="D215" t="s">
        <v>2331</v>
      </c>
      <c r="E215" t="str" cm="1">
        <f t="array" ref="E215">IF(COUNTIF(A:A, "*" &amp; LEFT(D215, FIND(" ", D215 &amp; " ") - 1) &amp; "*") &gt; 0,INDEX(A:A,FuzzyVLookup(D215,A:A,0,,,1)),"Non-PDL")</f>
        <v>EMTRIVA (emtricitabine)</v>
      </c>
      <c r="F215" t="str">
        <f t="shared" si="6"/>
        <v>Preferred</v>
      </c>
      <c r="G215" s="1" cm="1">
        <f t="array" ref="G215">FuzzyPercent(D215,E215,1)</f>
        <v>0.40909090638160706</v>
      </c>
      <c r="H215" t="str">
        <f t="shared" si="7"/>
        <v/>
      </c>
    </row>
    <row r="216" spans="1:8" x14ac:dyDescent="0.2">
      <c r="A216" t="s">
        <v>428</v>
      </c>
      <c r="B216" t="s">
        <v>0</v>
      </c>
      <c r="D216" t="s">
        <v>2332</v>
      </c>
      <c r="E216" t="str" cm="1">
        <f t="array" ref="E216">IF(COUNTIF(A:A, "*" &amp; LEFT(D216, FIND(" ", D216 &amp; " ") - 1) &amp; "*") &gt; 0,INDEX(A:A,FuzzyVLookup(D216,A:A,0,,,1)),"Non-PDL")</f>
        <v>enalapril</v>
      </c>
      <c r="F216" t="str">
        <f t="shared" si="6"/>
        <v>Preferred</v>
      </c>
      <c r="G216" s="1" cm="1">
        <f t="array" ref="G216">FuzzyPercent(D216,E216,1)</f>
        <v>1</v>
      </c>
      <c r="H216" t="str">
        <f t="shared" si="7"/>
        <v/>
      </c>
    </row>
    <row r="217" spans="1:8" x14ac:dyDescent="0.2">
      <c r="A217" t="s">
        <v>430</v>
      </c>
      <c r="B217" t="s">
        <v>0</v>
      </c>
      <c r="D217" t="s">
        <v>2333</v>
      </c>
      <c r="E217" t="str" cm="1">
        <f t="array" ref="E217">IF(COUNTIF(A:A, "*" &amp; LEFT(D217, FIND(" ", D217 &amp; " ") - 1) &amp; "*") &gt; 0,INDEX(A:A,FuzzyVLookup(D217,A:A,0,,,1)),"Non-PDL")</f>
        <v>ENSURE</v>
      </c>
      <c r="F217" t="str">
        <f t="shared" si="6"/>
        <v>Preferred</v>
      </c>
      <c r="G217" s="1" cm="1">
        <f t="array" ref="G217">FuzzyPercent(D217,E217,1)</f>
        <v>0.66666668653488159</v>
      </c>
      <c r="H217" t="str">
        <f t="shared" si="7"/>
        <v/>
      </c>
    </row>
    <row r="218" spans="1:8" x14ac:dyDescent="0.2">
      <c r="A218" t="s">
        <v>432</v>
      </c>
      <c r="B218" t="s">
        <v>0</v>
      </c>
      <c r="D218" t="s">
        <v>2334</v>
      </c>
      <c r="E218" t="str" cm="1">
        <f t="array" ref="E218">IF(COUNTIF(A:A, "*" &amp; LEFT(D218, FIND(" ", D218 &amp; " ") - 1) &amp; "*") &gt; 0,INDEX(A:A,FuzzyVLookup(D218,A:A,0,,,1)),"Non-PDL")</f>
        <v>enalapril</v>
      </c>
      <c r="F218" t="str">
        <f t="shared" si="6"/>
        <v>Preferred</v>
      </c>
      <c r="G218" s="1" cm="1">
        <f t="array" ref="G218">FuzzyPercent(D218,E218,1)</f>
        <v>0.53333336114883423</v>
      </c>
      <c r="H218" t="str">
        <f t="shared" si="7"/>
        <v/>
      </c>
    </row>
    <row r="219" spans="1:8" x14ac:dyDescent="0.2">
      <c r="A219" t="s">
        <v>434</v>
      </c>
      <c r="B219" t="s">
        <v>0</v>
      </c>
      <c r="D219" t="s">
        <v>2335</v>
      </c>
      <c r="E219" t="str" cm="1">
        <f t="array" ref="E219">IF(COUNTIF(A:A, "*" &amp; LEFT(D219, FIND(" ", D219 &amp; " ") - 1) &amp; "*") &gt; 0,INDEX(A:A,FuzzyVLookup(D219,A:A,0,,,1)),"Non-PDL")</f>
        <v>Non-PDL</v>
      </c>
      <c r="F219" t="str">
        <f t="shared" si="6"/>
        <v>Non-PDL</v>
      </c>
      <c r="G219" s="1" cm="1">
        <f t="array" ref="G219">FuzzyPercent(D219,E219,1)</f>
        <v>0.1428571492433548</v>
      </c>
      <c r="H219" t="str">
        <f t="shared" si="7"/>
        <v/>
      </c>
    </row>
    <row r="220" spans="1:8" x14ac:dyDescent="0.2">
      <c r="A220" t="s">
        <v>436</v>
      </c>
      <c r="B220" t="s">
        <v>0</v>
      </c>
      <c r="D220" t="s">
        <v>2336</v>
      </c>
      <c r="E220" t="str" cm="1">
        <f t="array" ref="E220">IF(COUNTIF(A:A, "*" &amp; LEFT(D220, FIND(" ", D220 &amp; " ") - 1) &amp; "*") &gt; 0,INDEX(A:A,FuzzyVLookup(D220,A:A,0,,,1)),"Non-PDL")</f>
        <v>Non-PDL</v>
      </c>
      <c r="F220" t="str">
        <f t="shared" si="6"/>
        <v>Non-PDL</v>
      </c>
      <c r="G220" s="1" cm="1">
        <f t="array" ref="G220">FuzzyPercent(D220,E220,1)</f>
        <v>0.25</v>
      </c>
      <c r="H220" t="str">
        <f t="shared" si="7"/>
        <v/>
      </c>
    </row>
    <row r="221" spans="1:8" x14ac:dyDescent="0.2">
      <c r="A221" t="s">
        <v>438</v>
      </c>
      <c r="B221" t="s">
        <v>0</v>
      </c>
      <c r="D221" t="s">
        <v>2337</v>
      </c>
      <c r="E221" t="str" cm="1">
        <f t="array" ref="E221">IF(COUNTIF(A:A, "*" &amp; LEFT(D221, FIND(" ", D221 &amp; " ") - 1) &amp; "*") &gt; 0,INDEX(A:A,FuzzyVLookup(D221,A:A,0,,,1)),"Non-PDL")</f>
        <v>entacapone</v>
      </c>
      <c r="F221" t="str">
        <f t="shared" si="6"/>
        <v>Preferred</v>
      </c>
      <c r="G221" s="1" cm="1">
        <f t="array" ref="G221">FuzzyPercent(D221,E221,1)</f>
        <v>0.47368422150611877</v>
      </c>
      <c r="H221" t="str">
        <f t="shared" si="7"/>
        <v/>
      </c>
    </row>
    <row r="222" spans="1:8" x14ac:dyDescent="0.2">
      <c r="A222" t="s">
        <v>440</v>
      </c>
      <c r="B222" t="s">
        <v>0</v>
      </c>
      <c r="D222" t="s">
        <v>2338</v>
      </c>
      <c r="E222" t="str" cm="1">
        <f t="array" ref="E222">IF(COUNTIF(A:A, "*" &amp; LEFT(D222, FIND(" ", D222 &amp; " ") - 1) &amp; "*") &gt; 0,INDEX(A:A,FuzzyVLookup(D222,A:A,0,,,1)),"Non-PDL")</f>
        <v>ENTYVIO (vedolizumab)</v>
      </c>
      <c r="F222" t="str">
        <f t="shared" si="6"/>
        <v>Non-Preferred</v>
      </c>
      <c r="G222" s="1" cm="1">
        <f t="array" ref="G222">FuzzyPercent(D222,E222,1)</f>
        <v>0.5</v>
      </c>
      <c r="H222" t="str">
        <f t="shared" si="7"/>
        <v/>
      </c>
    </row>
    <row r="223" spans="1:8" x14ac:dyDescent="0.2">
      <c r="A223" t="s">
        <v>442</v>
      </c>
      <c r="B223" t="s">
        <v>0</v>
      </c>
      <c r="D223" t="s">
        <v>2339</v>
      </c>
      <c r="E223" t="str" cm="1">
        <f t="array" ref="E223">IF(COUNTIF(A:A, "*" &amp; LEFT(D223, FIND(" ", D223 &amp; " ") - 1) &amp; "*") &gt; 0,INDEX(A:A,FuzzyVLookup(D223,A:A,0,,,1)),"Non-PDL")</f>
        <v>ENVARSUS XR (tacrolimus)</v>
      </c>
      <c r="F223" t="str">
        <f t="shared" si="6"/>
        <v>Non-Preferred</v>
      </c>
      <c r="G223" s="1" cm="1">
        <f t="array" ref="G223">FuzzyPercent(D223,E223,1)</f>
        <v>0.62857145071029663</v>
      </c>
      <c r="H223" t="str">
        <f t="shared" si="7"/>
        <v/>
      </c>
    </row>
    <row r="224" spans="1:8" x14ac:dyDescent="0.2">
      <c r="A224" t="s">
        <v>444</v>
      </c>
      <c r="B224" t="s">
        <v>0</v>
      </c>
      <c r="D224" t="s">
        <v>2340</v>
      </c>
      <c r="E224" t="str" cm="1">
        <f t="array" ref="E224">IF(COUNTIF(A:A, "*" &amp; LEFT(D224, FIND(" ", D224 &amp; " ") - 1) &amp; "*") &gt; 0,INDEX(A:A,FuzzyVLookup(D224,A:A,0,,,1)),"Non-PDL")</f>
        <v>miglustat</v>
      </c>
      <c r="F224" t="str">
        <f t="shared" si="6"/>
        <v>Non-Preferred</v>
      </c>
      <c r="G224" s="1" cm="1">
        <f t="array" ref="G224">FuzzyPercent(D224,E224,1)</f>
        <v>0.4375</v>
      </c>
      <c r="H224" t="str">
        <f t="shared" si="7"/>
        <v/>
      </c>
    </row>
    <row r="225" spans="1:8" x14ac:dyDescent="0.2">
      <c r="A225" t="s">
        <v>446</v>
      </c>
      <c r="B225" t="s">
        <v>0</v>
      </c>
      <c r="D225" t="s">
        <v>2341</v>
      </c>
      <c r="E225" t="str" cm="1">
        <f t="array" ref="E225">IF(COUNTIF(A:A, "*" &amp; LEFT(D225, FIND(" ", D225 &amp; " ") - 1) &amp; "*") &gt; 0,INDEX(A:A,FuzzyVLookup(D225,A:A,0,,,1)),"Non-PDL")</f>
        <v>EPIDIOLEX (cannabidiol)</v>
      </c>
      <c r="F225" t="str">
        <f t="shared" si="6"/>
        <v>Preferred</v>
      </c>
      <c r="G225" s="1" cm="1">
        <f t="array" ref="G225">FuzzyPercent(D225,E225,1)</f>
        <v>0.5625</v>
      </c>
      <c r="H225" t="str">
        <f t="shared" si="7"/>
        <v/>
      </c>
    </row>
    <row r="226" spans="1:8" x14ac:dyDescent="0.2">
      <c r="A226" t="s">
        <v>448</v>
      </c>
      <c r="B226" t="s">
        <v>0</v>
      </c>
      <c r="D226" t="s">
        <v>2342</v>
      </c>
      <c r="E226" t="str" cm="1">
        <f t="array" ref="E226">IF(COUNTIF(A:A, "*" &amp; LEFT(D226, FIND(" ", D226 &amp; " ") - 1) &amp; "*") &gt; 0,INDEX(A:A,FuzzyVLookup(D226,A:A,0,,,1)),"Non-PDL")</f>
        <v>clindamycin gel (generic Cleocin-T)</v>
      </c>
      <c r="F226" t="str">
        <f t="shared" si="6"/>
        <v>Preferred</v>
      </c>
      <c r="G226" s="1" cm="1">
        <f t="array" ref="G226">FuzzyPercent(D226,E226,1)</f>
        <v>0.40000000596046448</v>
      </c>
      <c r="H226" t="str">
        <f t="shared" si="7"/>
        <v/>
      </c>
    </row>
    <row r="227" spans="1:8" x14ac:dyDescent="0.2">
      <c r="A227" t="s">
        <v>450</v>
      </c>
      <c r="B227" t="s">
        <v>0</v>
      </c>
      <c r="D227" t="s">
        <v>2343</v>
      </c>
      <c r="E227" t="str" cm="1">
        <f t="array" ref="E227">IF(COUNTIF(A:A, "*" &amp; LEFT(D227, FIND(" ", D227 &amp; " ") - 1) &amp; "*") &gt; 0,INDEX(A:A,FuzzyVLookup(D227,A:A,0,,,1)),"Non-PDL")</f>
        <v>clindamycin gel (generic Cleocin-T)</v>
      </c>
      <c r="F227" t="str">
        <f t="shared" si="6"/>
        <v>Preferred</v>
      </c>
      <c r="G227" s="1" cm="1">
        <f t="array" ref="G227">FuzzyPercent(D227,E227,1)</f>
        <v>0.41025641560554504</v>
      </c>
      <c r="H227" t="str">
        <f t="shared" si="7"/>
        <v/>
      </c>
    </row>
    <row r="228" spans="1:8" x14ac:dyDescent="0.2">
      <c r="A228" t="s">
        <v>452</v>
      </c>
      <c r="B228" t="s">
        <v>0</v>
      </c>
      <c r="D228" t="s">
        <v>2344</v>
      </c>
      <c r="E228" t="str" cm="1">
        <f t="array" ref="E228">IF(COUNTIF(A:A, "*" &amp; LEFT(D228, FIND(" ", D228 &amp; " ") - 1) &amp; "*") &gt; 0,INDEX(A:A,FuzzyVLookup(D228,A:A,0,,,1)),"Non-PDL")</f>
        <v>epinephrine (Mylan)</v>
      </c>
      <c r="F228" t="str">
        <f t="shared" si="6"/>
        <v>Preferred</v>
      </c>
      <c r="G228" s="1" cm="1">
        <f t="array" ref="G228">FuzzyPercent(D228,E228,1)</f>
        <v>0.28125</v>
      </c>
      <c r="H228" t="str">
        <f t="shared" si="7"/>
        <v>CHECK</v>
      </c>
    </row>
    <row r="229" spans="1:8" x14ac:dyDescent="0.2">
      <c r="A229" t="s">
        <v>454</v>
      </c>
      <c r="B229" t="s">
        <v>0</v>
      </c>
      <c r="D229" t="s">
        <v>2345</v>
      </c>
      <c r="E229" t="str" cm="1">
        <f t="array" ref="E229">IF(COUNTIF(A:A, "*" &amp; LEFT(D229, FIND(" ", D229 &amp; " ") - 1) &amp; "*") &gt; 0,INDEX(A:A,FuzzyVLookup(D229,A:A,0,,,1)),"Non-PDL")</f>
        <v>epinephrine (Mylan)</v>
      </c>
      <c r="F229" t="str">
        <f t="shared" si="6"/>
        <v>Preferred</v>
      </c>
      <c r="G229" s="1" cm="1">
        <f t="array" ref="G229">FuzzyPercent(D229,E229,1)</f>
        <v>0.30000001192092896</v>
      </c>
      <c r="H229" t="str">
        <f t="shared" si="7"/>
        <v>CHECK</v>
      </c>
    </row>
    <row r="230" spans="1:8" x14ac:dyDescent="0.2">
      <c r="A230" t="s">
        <v>456</v>
      </c>
      <c r="B230" t="s">
        <v>0</v>
      </c>
      <c r="D230" t="s">
        <v>2346</v>
      </c>
      <c r="E230" t="str" cm="1">
        <f t="array" ref="E230">IF(COUNTIF(A:A, "*" &amp; LEFT(D230, FIND(" ", D230 &amp; " ") - 1) &amp; "*") &gt; 0,INDEX(A:A,FuzzyVLookup(D230,A:A,0,,,1)),"Non-PDL")</f>
        <v>epinastine</v>
      </c>
      <c r="F230" t="str">
        <f t="shared" si="6"/>
        <v>Non-Preferred</v>
      </c>
      <c r="G230" s="1" cm="1">
        <f t="array" ref="G230">FuzzyPercent(D230,E230,1)</f>
        <v>0.5</v>
      </c>
      <c r="H230" t="str">
        <f t="shared" si="7"/>
        <v/>
      </c>
    </row>
    <row r="231" spans="1:8" x14ac:dyDescent="0.2">
      <c r="A231" t="s">
        <v>458</v>
      </c>
      <c r="B231" t="s">
        <v>0</v>
      </c>
      <c r="D231" t="s">
        <v>2347</v>
      </c>
      <c r="E231" t="str" cm="1">
        <f t="array" ref="E231">IF(COUNTIF(A:A, "*" &amp; LEFT(D231, FIND(" ", D231 &amp; " ") - 1) &amp; "*") &gt; 0,INDEX(A:A,FuzzyVLookup(D231,A:A,0,,,1)),"Non-PDL")</f>
        <v>EPIPEN JR (epinephrine)</v>
      </c>
      <c r="F231" t="str">
        <f t="shared" si="6"/>
        <v>Non-Preferred</v>
      </c>
      <c r="G231" s="1" cm="1">
        <f t="array" ref="G231">FuzzyPercent(D231,E231,1)</f>
        <v>0.54545456171035767</v>
      </c>
      <c r="H231" t="str">
        <f t="shared" si="7"/>
        <v/>
      </c>
    </row>
    <row r="232" spans="1:8" x14ac:dyDescent="0.2">
      <c r="A232" t="s">
        <v>460</v>
      </c>
      <c r="B232" t="s">
        <v>0</v>
      </c>
      <c r="D232" t="s">
        <v>2348</v>
      </c>
      <c r="E232" t="str" cm="1">
        <f t="array" ref="E232">IF(COUNTIF(A:A, "*" &amp; LEFT(D232, FIND(" ", D232 &amp; " ") - 1) &amp; "*") &gt; 0,INDEX(A:A,FuzzyVLookup(D232,A:A,0,,,1)),"Non-PDL")</f>
        <v>vancomycin oral solution</v>
      </c>
      <c r="F232" t="str">
        <f t="shared" si="6"/>
        <v>Preferred</v>
      </c>
      <c r="G232" s="1" cm="1">
        <f t="array" ref="G232">FuzzyPercent(D232,E232,1)</f>
        <v>0.58333331346511841</v>
      </c>
      <c r="H232" t="str">
        <f t="shared" si="7"/>
        <v/>
      </c>
    </row>
    <row r="233" spans="1:8" x14ac:dyDescent="0.2">
      <c r="A233" t="s">
        <v>462</v>
      </c>
      <c r="B233" t="s">
        <v>0</v>
      </c>
      <c r="D233" t="s">
        <v>2349</v>
      </c>
      <c r="E233" t="str" cm="1">
        <f t="array" ref="E233">IF(COUNTIF(A:A, "*" &amp; LEFT(D233, FIND(" ", D233 &amp; " ") - 1) &amp; "*") &gt; 0,INDEX(A:A,FuzzyVLookup(D233,A:A,0,,,1)),"Non-PDL")</f>
        <v>EPIVIR (lamivudine)</v>
      </c>
      <c r="F233" t="str">
        <f t="shared" si="6"/>
        <v>Non-Preferred</v>
      </c>
      <c r="G233" s="1" cm="1">
        <f t="array" ref="G233">FuzzyPercent(D233,E233,1)</f>
        <v>0.4444444477558136</v>
      </c>
      <c r="H233" t="str">
        <f t="shared" si="7"/>
        <v/>
      </c>
    </row>
    <row r="234" spans="1:8" x14ac:dyDescent="0.2">
      <c r="A234" t="s">
        <v>464</v>
      </c>
      <c r="B234" t="s">
        <v>0</v>
      </c>
      <c r="D234" t="s">
        <v>2350</v>
      </c>
      <c r="E234" t="str" cm="1">
        <f t="array" ref="E234">IF(COUNTIF(A:A, "*" &amp; LEFT(D234, FIND(" ", D234 &amp; " ") - 1) &amp; "*") &gt; 0,INDEX(A:A,FuzzyVLookup(D234,A:A,0,,,1)),"Non-PDL")</f>
        <v>Non-PDL</v>
      </c>
      <c r="F234" t="str">
        <f t="shared" si="6"/>
        <v>Non-PDL</v>
      </c>
      <c r="G234" s="1" cm="1">
        <f t="array" ref="G234">FuzzyPercent(D234,E234,1)</f>
        <v>0.23076923191547394</v>
      </c>
      <c r="H234" t="str">
        <f t="shared" si="7"/>
        <v/>
      </c>
    </row>
    <row r="235" spans="1:8" x14ac:dyDescent="0.2">
      <c r="A235" t="s">
        <v>466</v>
      </c>
      <c r="B235" t="s">
        <v>0</v>
      </c>
      <c r="D235" t="s">
        <v>2351</v>
      </c>
      <c r="E235" t="str" cm="1">
        <f t="array" ref="E235">IF(COUNTIF(A:A, "*" &amp; LEFT(D235, FIND(" ", D235 &amp; " ") - 1) &amp; "*") &gt; 0,INDEX(A:A,FuzzyVLookup(D235,A:A,0,,,1)),"Non-PDL")</f>
        <v>ESPEROCT</v>
      </c>
      <c r="F235" t="str">
        <f t="shared" si="6"/>
        <v>Non-Preferred</v>
      </c>
      <c r="G235" s="1" cm="1">
        <f t="array" ref="G235">FuzzyPercent(D235,E235,1)</f>
        <v>0.625</v>
      </c>
      <c r="H235" t="str">
        <f t="shared" si="7"/>
        <v/>
      </c>
    </row>
    <row r="236" spans="1:8" x14ac:dyDescent="0.2">
      <c r="A236" t="s">
        <v>468</v>
      </c>
      <c r="B236" t="s">
        <v>0</v>
      </c>
      <c r="D236" t="s">
        <v>2352</v>
      </c>
      <c r="E236" t="str" cm="1">
        <f t="array" ref="E236">IF(COUNTIF(A:A, "*" &amp; LEFT(D236, FIND(" ", D236 &amp; " ") - 1) &amp; "*") &gt; 0,INDEX(A:A,FuzzyVLookup(D236,A:A,0,,,1)),"Non-PDL")</f>
        <v>eprosartan</v>
      </c>
      <c r="F236" t="str">
        <f t="shared" si="6"/>
        <v>Non-Preferred</v>
      </c>
      <c r="G236" s="1" cm="1">
        <f t="array" ref="G236">FuzzyPercent(D236,E236,1)</f>
        <v>1</v>
      </c>
      <c r="H236" t="str">
        <f t="shared" si="7"/>
        <v/>
      </c>
    </row>
    <row r="237" spans="1:8" x14ac:dyDescent="0.2">
      <c r="A237" t="s">
        <v>470</v>
      </c>
      <c r="B237" t="s">
        <v>0</v>
      </c>
      <c r="D237" t="s">
        <v>2353</v>
      </c>
      <c r="E237" t="str" cm="1">
        <f t="array" ref="E237">IF(COUNTIF(A:A, "*" &amp; LEFT(D237, FIND(" ", D237 &amp; " ") - 1) &amp; "*") &gt; 0,INDEX(A:A,FuzzyVLookup(D237,A:A,0,,,1)),"Non-PDL")</f>
        <v>EPZICOM (abacavir/lamivudine)</v>
      </c>
      <c r="F237" t="str">
        <f t="shared" si="6"/>
        <v>Non-Preferred</v>
      </c>
      <c r="G237" s="1" cm="1">
        <f t="array" ref="G237">FuzzyPercent(D237,E237,1)</f>
        <v>0.3888888955116272</v>
      </c>
      <c r="H237" t="str">
        <f t="shared" si="7"/>
        <v>CHECK</v>
      </c>
    </row>
    <row r="238" spans="1:8" x14ac:dyDescent="0.2">
      <c r="A238" t="s">
        <v>472</v>
      </c>
      <c r="B238" t="s">
        <v>0</v>
      </c>
      <c r="D238" t="s">
        <v>2354</v>
      </c>
      <c r="E238" t="str" cm="1">
        <f t="array" ref="E238">IF(COUNTIF(A:A, "*" &amp; LEFT(D238, FIND(" ", D238 &amp; " ") - 1) &amp; "*") &gt; 0,INDEX(A:A,FuzzyVLookup(D238,A:A,0,,,1)),"Non-PDL")</f>
        <v>EQUETRO (carbamazepine)</v>
      </c>
      <c r="F238" t="str">
        <f t="shared" si="6"/>
        <v>Non-Preferred</v>
      </c>
      <c r="G238" s="1" cm="1">
        <f t="array" ref="G238">FuzzyPercent(D238,E238,1)</f>
        <v>0.46666666865348816</v>
      </c>
      <c r="H238" t="str">
        <f t="shared" si="7"/>
        <v/>
      </c>
    </row>
    <row r="239" spans="1:8" x14ac:dyDescent="0.2">
      <c r="A239" t="s">
        <v>474</v>
      </c>
      <c r="B239" t="s">
        <v>0</v>
      </c>
      <c r="D239" t="s">
        <v>2355</v>
      </c>
      <c r="E239" t="str" cm="1">
        <f t="array" ref="E239">IF(COUNTIF(A:A, "*" &amp; LEFT(D239, FIND(" ", D239 &amp; " ") - 1) &amp; "*") &gt; 0,INDEX(A:A,FuzzyVLookup(D239,A:A,0,,,1)),"Non-PDL")</f>
        <v>ESBRIET (pirfenidone)</v>
      </c>
      <c r="F239" t="str">
        <f t="shared" si="6"/>
        <v>Preferred</v>
      </c>
      <c r="G239" s="1" cm="1">
        <f t="array" ref="G239">FuzzyPercent(D239,E239,1)</f>
        <v>0.5</v>
      </c>
      <c r="H239" t="str">
        <f t="shared" si="7"/>
        <v/>
      </c>
    </row>
    <row r="240" spans="1:8" x14ac:dyDescent="0.2">
      <c r="A240" t="s">
        <v>476</v>
      </c>
      <c r="B240" t="s">
        <v>0</v>
      </c>
      <c r="D240" t="s">
        <v>2356</v>
      </c>
      <c r="E240" t="str" cm="1">
        <f t="array" ref="E240">IF(COUNTIF(A:A, "*" &amp; LEFT(D240, FIND(" ", D240 &amp; " ") - 1) &amp; "*") &gt; 0,INDEX(A:A,FuzzyVLookup(D240,A:A,0,,,1)),"Non-PDL")</f>
        <v>esomeprazole packet</v>
      </c>
      <c r="F240" t="str">
        <f t="shared" si="6"/>
        <v>Non-Preferred</v>
      </c>
      <c r="G240" s="1" cm="1">
        <f t="array" ref="G240">FuzzyPercent(D240,E240,1)</f>
        <v>0.77419352531433105</v>
      </c>
      <c r="H240" t="str">
        <f t="shared" si="7"/>
        <v/>
      </c>
    </row>
    <row r="241" spans="1:8" x14ac:dyDescent="0.2">
      <c r="A241" t="s">
        <v>478</v>
      </c>
      <c r="B241" t="s">
        <v>0</v>
      </c>
      <c r="D241" t="s">
        <v>2357</v>
      </c>
      <c r="E241" t="str" cm="1">
        <f t="array" ref="E241">IF(COUNTIF(A:A, "*" &amp; LEFT(D241, FIND(" ", D241 &amp; " ") - 1) &amp; "*") &gt; 0,INDEX(A:A,FuzzyVLookup(D241,A:A,0,,,1)),"Non-PDL")</f>
        <v>ESPEROCT</v>
      </c>
      <c r="F241" t="str">
        <f t="shared" si="6"/>
        <v>Non-Preferred</v>
      </c>
      <c r="G241" s="1" cm="1">
        <f t="array" ref="G241">FuzzyPercent(D241,E241,1)</f>
        <v>1</v>
      </c>
      <c r="H241" t="str">
        <f t="shared" si="7"/>
        <v/>
      </c>
    </row>
    <row r="242" spans="1:8" x14ac:dyDescent="0.2">
      <c r="A242" t="s">
        <v>480</v>
      </c>
      <c r="B242" t="s">
        <v>0</v>
      </c>
      <c r="D242" t="s">
        <v>2358</v>
      </c>
      <c r="E242" t="str" cm="1">
        <f t="array" ref="E242">IF(COUNTIF(A:A, "*" &amp; LEFT(D242, FIND(" ", D242 &amp; " ") - 1) &amp; "*") &gt; 0,INDEX(A:A,FuzzyVLookup(D242,A:A,0,,,1)),"Non-PDL")</f>
        <v>TENORETIC (atenolol/chlorthalidone)</v>
      </c>
      <c r="F242" t="str">
        <f t="shared" si="6"/>
        <v>Non-Preferred</v>
      </c>
      <c r="G242" s="1" cm="1">
        <f t="array" ref="G242">FuzzyPercent(D242,E242,1)</f>
        <v>0.28358209133148193</v>
      </c>
      <c r="H242" t="str">
        <f t="shared" si="7"/>
        <v>CHECK</v>
      </c>
    </row>
    <row r="243" spans="1:8" x14ac:dyDescent="0.2">
      <c r="A243" t="s">
        <v>482</v>
      </c>
      <c r="B243" t="s">
        <v>0</v>
      </c>
      <c r="D243" t="s">
        <v>2359</v>
      </c>
      <c r="E243" t="str" cm="1">
        <f t="array" ref="E243">IF(COUNTIF(A:A, "*" &amp; LEFT(D243, FIND(" ", D243 &amp; " ") - 1) &amp; "*") &gt; 0,INDEX(A:A,FuzzyVLookup(D243,A:A,0,,,1)),"Non-PDL")</f>
        <v>sucralfate</v>
      </c>
      <c r="F243" t="str">
        <f t="shared" si="6"/>
        <v>Preferred</v>
      </c>
      <c r="G243" s="1" cm="1">
        <f t="array" ref="G243">FuzzyPercent(D243,E243,1)</f>
        <v>0.47058823704719543</v>
      </c>
      <c r="H243" t="str">
        <f t="shared" si="7"/>
        <v/>
      </c>
    </row>
    <row r="244" spans="1:8" x14ac:dyDescent="0.2">
      <c r="A244" t="s">
        <v>484</v>
      </c>
      <c r="B244" t="s">
        <v>0</v>
      </c>
      <c r="D244" t="s">
        <v>2360</v>
      </c>
      <c r="E244" t="str" cm="1">
        <f t="array" ref="E244">IF(COUNTIF(A:A, "*" &amp; LEFT(D244, FIND(" ", D244 &amp; " ") - 1) &amp; "*") &gt; 0,INDEX(A:A,FuzzyVLookup(D244,A:A,0,,,1)),"Non-PDL")</f>
        <v>EVKEEZA (evinacumab-dgnb)</v>
      </c>
      <c r="F244" t="str">
        <f t="shared" si="6"/>
        <v>Preferred</v>
      </c>
      <c r="G244" s="1" cm="1">
        <f t="array" ref="G244">FuzzyPercent(D244,E244,1)</f>
        <v>0.4375</v>
      </c>
      <c r="H244" t="str">
        <f t="shared" si="7"/>
        <v/>
      </c>
    </row>
    <row r="245" spans="1:8" x14ac:dyDescent="0.2">
      <c r="A245" t="s">
        <v>486</v>
      </c>
      <c r="B245" t="s">
        <v>0</v>
      </c>
      <c r="D245" t="s">
        <v>2361</v>
      </c>
      <c r="E245" t="str" cm="1">
        <f t="array" ref="E245">IF(COUNTIF(A:A, "*" &amp; LEFT(D245, FIND(" ", D245 &amp; " ") - 1) &amp; "*") &gt; 0,INDEX(A:A,FuzzyVLookup(D245,A:A,0,,,1)),"Non-PDL")</f>
        <v>EVRYSDI (risdiplam)</v>
      </c>
      <c r="F245" t="str">
        <f t="shared" si="6"/>
        <v>Non-Preferred</v>
      </c>
      <c r="G245" s="1" cm="1">
        <f t="array" ref="G245">FuzzyPercent(D245,E245,1)</f>
        <v>0.53846156597137451</v>
      </c>
      <c r="H245" t="str">
        <f t="shared" si="7"/>
        <v/>
      </c>
    </row>
    <row r="246" spans="1:8" x14ac:dyDescent="0.2">
      <c r="A246" t="s">
        <v>488</v>
      </c>
      <c r="B246" t="s">
        <v>0</v>
      </c>
      <c r="D246" t="s">
        <v>2362</v>
      </c>
      <c r="E246" t="str" cm="1">
        <f t="array" ref="E246">IF(COUNTIF(A:A, "*" &amp; LEFT(D246, FIND(" ", D246 &amp; " ") - 1) &amp; "*") &gt; 0,INDEX(A:A,FuzzyVLookup(D246,A:A,0,,,1)),"Non-PDL")</f>
        <v>exenatide</v>
      </c>
      <c r="F246" t="str">
        <f t="shared" si="6"/>
        <v>Non-Preferred</v>
      </c>
      <c r="G246" s="1" cm="1">
        <f t="array" ref="G246">FuzzyPercent(D246,E246,1)</f>
        <v>0.46666666865348816</v>
      </c>
      <c r="H246" t="str">
        <f t="shared" si="7"/>
        <v/>
      </c>
    </row>
    <row r="247" spans="1:8" x14ac:dyDescent="0.2">
      <c r="A247" t="s">
        <v>490</v>
      </c>
      <c r="B247" t="s">
        <v>0</v>
      </c>
      <c r="D247" t="s">
        <v>2363</v>
      </c>
      <c r="E247" t="str" cm="1">
        <f t="array" ref="E247">IF(COUNTIF(A:A, "*" &amp; LEFT(D247, FIND(" ", D247 &amp; " ") - 1) &amp; "*") &gt; 0,INDEX(A:A,FuzzyVLookup(D247,A:A,0,,,1)),"Non-PDL")</f>
        <v>Non-PDL</v>
      </c>
      <c r="F247" t="str">
        <f t="shared" si="6"/>
        <v>Non-PDL</v>
      </c>
      <c r="G247" s="1" cm="1">
        <f t="array" ref="G247">FuzzyPercent(D247,E247,1)</f>
        <v>0</v>
      </c>
      <c r="H247" t="str">
        <f t="shared" si="7"/>
        <v/>
      </c>
    </row>
    <row r="248" spans="1:8" x14ac:dyDescent="0.2">
      <c r="A248" t="s">
        <v>492</v>
      </c>
      <c r="B248" t="s">
        <v>0</v>
      </c>
      <c r="D248" t="s">
        <v>2364</v>
      </c>
      <c r="E248" t="str" cm="1">
        <f t="array" ref="E248">IF(COUNTIF(A:A, "*" &amp; LEFT(D248, FIND(" ", D248 &amp; " ") - 1) &amp; "*") &gt; 0,INDEX(A:A,FuzzyVLookup(D248,A:A,0,,,1)),"Non-PDL")</f>
        <v>EXONDYS-51 (eteplirsen)</v>
      </c>
      <c r="F248" t="str">
        <f t="shared" si="6"/>
        <v>Non-Preferred</v>
      </c>
      <c r="G248" s="1" cm="1">
        <f t="array" ref="G248">FuzzyPercent(D248,E248,1)</f>
        <v>0.5151515007019043</v>
      </c>
      <c r="H248" t="str">
        <f t="shared" si="7"/>
        <v/>
      </c>
    </row>
    <row r="249" spans="1:8" x14ac:dyDescent="0.2">
      <c r="A249" t="s">
        <v>494</v>
      </c>
      <c r="B249" t="s">
        <v>0</v>
      </c>
      <c r="D249" t="s">
        <v>2365</v>
      </c>
      <c r="E249" t="str" cm="1">
        <f t="array" ref="E249">IF(COUNTIF(A:A, "*" &amp; LEFT(D249, FIND(" ", D249 &amp; " ") - 1) &amp; "*") &gt; 0,INDEX(A:A,FuzzyVLookup(D249,A:A,0,,,1)),"Non-PDL")</f>
        <v>Non-PDL</v>
      </c>
      <c r="F249" t="str">
        <f t="shared" si="6"/>
        <v>Non-PDL</v>
      </c>
      <c r="G249" s="1" cm="1">
        <f t="array" ref="G249">FuzzyPercent(D249,E249,1)</f>
        <v>0</v>
      </c>
      <c r="H249" t="str">
        <f t="shared" si="7"/>
        <v/>
      </c>
    </row>
    <row r="250" spans="1:8" x14ac:dyDescent="0.2">
      <c r="A250" t="s">
        <v>496</v>
      </c>
      <c r="B250" t="s">
        <v>0</v>
      </c>
      <c r="D250" t="s">
        <v>2366</v>
      </c>
      <c r="E250" t="str" cm="1">
        <f t="array" ref="E250">IF(COUNTIF(A:A, "*" &amp; LEFT(D250, FIND(" ", D250 &amp; " ") - 1) &amp; "*") &gt; 0,INDEX(A:A,FuzzyVLookup(D250,A:A,0,,,1)),"Non-PDL")</f>
        <v>Non-PDL</v>
      </c>
      <c r="F250" t="str">
        <f t="shared" si="6"/>
        <v>Non-PDL</v>
      </c>
      <c r="G250" s="1" cm="1">
        <f t="array" ref="G250">FuzzyPercent(D250,E250,1)</f>
        <v>0</v>
      </c>
      <c r="H250" t="str">
        <f t="shared" si="7"/>
        <v/>
      </c>
    </row>
    <row r="251" spans="1:8" x14ac:dyDescent="0.2">
      <c r="A251" t="s">
        <v>498</v>
      </c>
      <c r="B251" t="s">
        <v>0</v>
      </c>
      <c r="D251" t="s">
        <v>2367</v>
      </c>
      <c r="E251" t="str" cm="1">
        <f t="array" ref="E251">IF(COUNTIF(A:A, "*" &amp; LEFT(D251, FIND(" ", D251 &amp; " ") - 1) &amp; "*") &gt; 0,INDEX(A:A,FuzzyVLookup(D251,A:A,0,,,1)),"Non-PDL")</f>
        <v>Non-PDL</v>
      </c>
      <c r="F251" t="str">
        <f t="shared" si="6"/>
        <v>Non-PDL</v>
      </c>
      <c r="G251" s="1" cm="1">
        <f t="array" ref="G251">FuzzyPercent(D251,E251,1)</f>
        <v>0.125</v>
      </c>
      <c r="H251" t="str">
        <f t="shared" si="7"/>
        <v/>
      </c>
    </row>
    <row r="252" spans="1:8" x14ac:dyDescent="0.2">
      <c r="A252" t="s">
        <v>500</v>
      </c>
      <c r="B252" t="s">
        <v>0</v>
      </c>
      <c r="D252" t="s">
        <v>2368</v>
      </c>
      <c r="E252" t="str" cm="1">
        <f t="array" ref="E252">IF(COUNTIF(A:A, "*" &amp; LEFT(D252, FIND(" ", D252 &amp; " ") - 1) &amp; "*") &gt; 0,INDEX(A:A,FuzzyVLookup(D252,A:A,0,,,1)),"Non-PDL")</f>
        <v>Non-PDL</v>
      </c>
      <c r="F252" t="str">
        <f t="shared" si="6"/>
        <v>Non-PDL</v>
      </c>
      <c r="G252" s="1" cm="1">
        <f t="array" ref="G252">FuzzyPercent(D252,E252,1)</f>
        <v>0</v>
      </c>
      <c r="H252" t="str">
        <f t="shared" si="7"/>
        <v/>
      </c>
    </row>
    <row r="253" spans="1:8" x14ac:dyDescent="0.2">
      <c r="A253" t="s">
        <v>502</v>
      </c>
      <c r="B253" t="s">
        <v>0</v>
      </c>
      <c r="D253" t="s">
        <v>2369</v>
      </c>
      <c r="E253" t="str" cm="1">
        <f t="array" ref="E253">IF(COUNTIF(A:A, "*" &amp; LEFT(D253, FIND(" ", D253 &amp; " ") - 1) &amp; "*") &gt; 0,INDEX(A:A,FuzzyVLookup(D253,A:A,0,,,1)),"Non-PDL")</f>
        <v>FANAPT (iloperidone)</v>
      </c>
      <c r="F253" t="str">
        <f t="shared" si="6"/>
        <v>Non-Preferred</v>
      </c>
      <c r="G253" s="1" cm="1">
        <f t="array" ref="G253">FuzzyPercent(D253,E253,1)</f>
        <v>0.46153846383094788</v>
      </c>
      <c r="H253" t="str">
        <f t="shared" si="7"/>
        <v/>
      </c>
    </row>
    <row r="254" spans="1:8" x14ac:dyDescent="0.2">
      <c r="A254" t="s">
        <v>504</v>
      </c>
      <c r="B254" t="s">
        <v>0</v>
      </c>
      <c r="D254" t="s">
        <v>2370</v>
      </c>
      <c r="E254" t="str" cm="1">
        <f t="array" ref="E254">IF(COUNTIF(A:A, "*" &amp; LEFT(D254, FIND(" ", D254 &amp; " ") - 1) &amp; "*") &gt; 0,INDEX(A:A,FuzzyVLookup(D254,A:A,0,,,1)),"Non-PDL")</f>
        <v>FARXIGA (dapagliflozin)</v>
      </c>
      <c r="F254" t="str">
        <f t="shared" si="6"/>
        <v>Preferred</v>
      </c>
      <c r="G254" s="1" cm="1">
        <f t="array" ref="G254">FuzzyPercent(D254,E254,1)</f>
        <v>0.46666666865348816</v>
      </c>
      <c r="H254" t="str">
        <f t="shared" si="7"/>
        <v/>
      </c>
    </row>
    <row r="255" spans="1:8" x14ac:dyDescent="0.2">
      <c r="A255" t="s">
        <v>506</v>
      </c>
      <c r="B255" t="s">
        <v>0</v>
      </c>
      <c r="D255" t="s">
        <v>2371</v>
      </c>
      <c r="E255" t="str" cm="1">
        <f t="array" ref="E255">IF(COUNTIF(A:A, "*" &amp; LEFT(D255, FIND(" ", D255 &amp; " ") - 1) &amp; "*") &gt; 0,INDEX(A:A,FuzzyVLookup(D255,A:A,0,,,1)),"Non-PDL")</f>
        <v>FASENRA (benralizumab)</v>
      </c>
      <c r="F255" t="str">
        <f t="shared" si="6"/>
        <v>Preferred</v>
      </c>
      <c r="G255" s="1" cm="1">
        <f t="array" ref="G255">FuzzyPercent(D255,E255,1)</f>
        <v>0.41860464215278625</v>
      </c>
      <c r="H255" t="str">
        <f t="shared" si="7"/>
        <v/>
      </c>
    </row>
    <row r="256" spans="1:8" x14ac:dyDescent="0.2">
      <c r="A256" t="s">
        <v>508</v>
      </c>
      <c r="B256" t="s">
        <v>0</v>
      </c>
      <c r="D256" t="s">
        <v>2372</v>
      </c>
      <c r="E256" t="str" cm="1">
        <f t="array" ref="E256">IF(COUNTIF(A:A, "*" &amp; LEFT(D256, FIND(" ", D256 &amp; " ") - 1) &amp; "*") &gt; 0,INDEX(A:A,FuzzyVLookup(D256,A:A,0,,,1)),"Non-PDL")</f>
        <v>FASENRA (benralizumab)</v>
      </c>
      <c r="F256" t="str">
        <f t="shared" si="6"/>
        <v>Preferred</v>
      </c>
      <c r="G256" s="1" cm="1">
        <f t="array" ref="G256">FuzzyPercent(D256,E256,1)</f>
        <v>0.40000000596046448</v>
      </c>
      <c r="H256" t="str">
        <f t="shared" si="7"/>
        <v/>
      </c>
    </row>
    <row r="257" spans="1:8" x14ac:dyDescent="0.2">
      <c r="A257" t="s">
        <v>510</v>
      </c>
      <c r="B257" t="s">
        <v>0</v>
      </c>
      <c r="D257" t="s">
        <v>2373</v>
      </c>
      <c r="E257" t="str" cm="1">
        <f t="array" ref="E257">IF(COUNTIF(A:A, "*" &amp; LEFT(D257, FIND(" ", D257 &amp; " ") - 1) &amp; "*") &gt; 0,INDEX(A:A,FuzzyVLookup(D257,A:A,0,,,1)),"Non-PDL")</f>
        <v>Non-PDL</v>
      </c>
      <c r="F257" t="str">
        <f t="shared" si="6"/>
        <v>Non-PDL</v>
      </c>
      <c r="G257" s="1" cm="1">
        <f t="array" ref="G257">FuzzyPercent(D257,E257,1)</f>
        <v>0.1428571492433548</v>
      </c>
      <c r="H257" t="str">
        <f t="shared" si="7"/>
        <v/>
      </c>
    </row>
    <row r="258" spans="1:8" x14ac:dyDescent="0.2">
      <c r="A258" t="s">
        <v>512</v>
      </c>
      <c r="B258" t="s">
        <v>0</v>
      </c>
      <c r="D258" t="s">
        <v>2374</v>
      </c>
      <c r="E258" t="str" cm="1">
        <f t="array" ref="E258">IF(COUNTIF(A:A, "*" &amp; LEFT(D258, FIND(" ", D258 &amp; " ") - 1) &amp; "*") &gt; 0,INDEX(A:A,FuzzyVLookup(D258,A:A,0,,,1)),"Non-PDL")</f>
        <v>FELBATOL (felbamate)</v>
      </c>
      <c r="F258" t="str">
        <f t="shared" si="6"/>
        <v>Non-Preferred</v>
      </c>
      <c r="G258" s="1" cm="1">
        <f t="array" ref="G258">FuzzyPercent(D258,E258,1)</f>
        <v>0.4166666567325592</v>
      </c>
      <c r="H258" t="str">
        <f t="shared" si="7"/>
        <v/>
      </c>
    </row>
    <row r="259" spans="1:8" x14ac:dyDescent="0.2">
      <c r="A259" t="s">
        <v>514</v>
      </c>
      <c r="B259" t="s">
        <v>0</v>
      </c>
      <c r="D259" t="s">
        <v>2375</v>
      </c>
      <c r="E259" t="str" cm="1">
        <f t="array" ref="E259">IF(COUNTIF(A:A, "*" &amp; LEFT(D259, FIND(" ", D259 &amp; " ") - 1) &amp; "*") &gt; 0,INDEX(A:A,FuzzyVLookup(D259,A:A,0,,,1)),"Non-PDL")</f>
        <v>FELBATOL (felbamate)</v>
      </c>
      <c r="F259" t="str">
        <f t="shared" ref="F259:F322" si="8">_xlfn.IFNA(_xlfn.XLOOKUP(E259,A:A,B:B),"Non-PDL")</f>
        <v>Non-Preferred</v>
      </c>
      <c r="G259" s="1" cm="1">
        <f t="array" ref="G259">FuzzyPercent(D259,E259,1)</f>
        <v>0.60000002384185791</v>
      </c>
      <c r="H259" t="str">
        <f t="shared" ref="H259:H322" si="9">IF(F259="Non-PDL","",IF(G259&lt;0.4,"CHECK",""))</f>
        <v/>
      </c>
    </row>
    <row r="260" spans="1:8" x14ac:dyDescent="0.2">
      <c r="A260" t="s">
        <v>516</v>
      </c>
      <c r="B260" t="s">
        <v>0</v>
      </c>
      <c r="D260" t="s">
        <v>2376</v>
      </c>
      <c r="E260" t="str" cm="1">
        <f t="array" ref="E260">IF(COUNTIF(A:A, "*" &amp; LEFT(D260, FIND(" ", D260 &amp; " ") - 1) &amp; "*") &gt; 0,INDEX(A:A,FuzzyVLookup(D260,A:A,0,,,1)),"Non-PDL")</f>
        <v>Non-PDL</v>
      </c>
      <c r="F260" t="str">
        <f t="shared" si="8"/>
        <v>Non-PDL</v>
      </c>
      <c r="G260" s="1" cm="1">
        <f t="array" ref="G260">FuzzyPercent(D260,E260,1)</f>
        <v>7.6923079788684845E-2</v>
      </c>
      <c r="H260" t="str">
        <f t="shared" si="9"/>
        <v/>
      </c>
    </row>
    <row r="261" spans="1:8" x14ac:dyDescent="0.2">
      <c r="A261" t="s">
        <v>518</v>
      </c>
      <c r="B261" t="s">
        <v>0</v>
      </c>
      <c r="D261" t="s">
        <v>2377</v>
      </c>
      <c r="E261" t="str" cm="1">
        <f t="array" ref="E261">IF(COUNTIF(A:A, "*" &amp; LEFT(D261, FIND(" ", D261 &amp; " ") - 1) &amp; "*") &gt; 0,INDEX(A:A,FuzzyVLookup(D261,A:A,0,,,1)),"Non-PDL")</f>
        <v>Non-PDL</v>
      </c>
      <c r="F261" t="str">
        <f t="shared" si="8"/>
        <v>Non-PDL</v>
      </c>
      <c r="G261" s="1" cm="1">
        <f t="array" ref="G261">FuzzyPercent(D261,E261,1)</f>
        <v>0.25</v>
      </c>
      <c r="H261" t="str">
        <f t="shared" si="9"/>
        <v/>
      </c>
    </row>
    <row r="262" spans="1:8" x14ac:dyDescent="0.2">
      <c r="A262" t="s">
        <v>520</v>
      </c>
      <c r="B262" t="s">
        <v>0</v>
      </c>
      <c r="D262" t="s">
        <v>2378</v>
      </c>
      <c r="E262" t="str" cm="1">
        <f t="array" ref="E262">IF(COUNTIF(A:A, "*" &amp; LEFT(D262, FIND(" ", D262 &amp; " ") - 1) &amp; "*") &gt; 0,INDEX(A:A,FuzzyVLookup(D262,A:A,0,,,1)),"Non-PDL")</f>
        <v>Felbamate</v>
      </c>
      <c r="F262" t="str">
        <f t="shared" si="8"/>
        <v>Non-Preferred</v>
      </c>
      <c r="G262" s="1" cm="1">
        <f t="array" ref="G262">FuzzyPercent(D262,E262,1)</f>
        <v>0.4375</v>
      </c>
      <c r="H262" t="str">
        <f t="shared" si="9"/>
        <v/>
      </c>
    </row>
    <row r="263" spans="1:8" x14ac:dyDescent="0.2">
      <c r="A263" t="s">
        <v>522</v>
      </c>
      <c r="B263" t="s">
        <v>0</v>
      </c>
      <c r="D263" t="s">
        <v>2379</v>
      </c>
      <c r="E263" t="str" cm="1">
        <f t="array" ref="E263">IF(COUNTIF(A:A, "*" &amp; LEFT(D263, FIND(" ", D263 &amp; " ") - 1) &amp; "*") &gt; 0,INDEX(A:A,FuzzyVLookup(D263,A:A,0,,,1)),"Non-PDL")</f>
        <v>FEXMID (cyclobenzaprine)</v>
      </c>
      <c r="F263" t="str">
        <f t="shared" si="8"/>
        <v>Non-Preferred</v>
      </c>
      <c r="G263" s="1" cm="1">
        <f t="array" ref="G263">FuzzyPercent(D263,E263,1)</f>
        <v>0.40000000596046448</v>
      </c>
      <c r="H263" t="str">
        <f t="shared" si="9"/>
        <v/>
      </c>
    </row>
    <row r="264" spans="1:8" x14ac:dyDescent="0.2">
      <c r="A264" t="s">
        <v>524</v>
      </c>
      <c r="B264" t="s">
        <v>0</v>
      </c>
      <c r="D264" t="s">
        <v>2380</v>
      </c>
      <c r="E264" t="str" cm="1">
        <f t="array" ref="E264">IF(COUNTIF(A:A, "*" &amp; LEFT(D264, FIND(" ", D264 &amp; " ") - 1) &amp; "*") &gt; 0,INDEX(A:A,FuzzyVLookup(D264,A:A,0,,,1)),"Non-PDL")</f>
        <v>FEIBA</v>
      </c>
      <c r="F264" t="str">
        <f t="shared" si="8"/>
        <v>Preferred</v>
      </c>
      <c r="G264" s="1" cm="1">
        <f t="array" ref="G264">FuzzyPercent(D264,E264,1)</f>
        <v>0.60000002384185791</v>
      </c>
      <c r="H264" t="str">
        <f t="shared" si="9"/>
        <v/>
      </c>
    </row>
    <row r="265" spans="1:8" x14ac:dyDescent="0.2">
      <c r="A265" t="s">
        <v>526</v>
      </c>
      <c r="B265" t="s">
        <v>0</v>
      </c>
      <c r="D265" t="s">
        <v>2381</v>
      </c>
      <c r="E265" t="str" cm="1">
        <f t="array" ref="E265">IF(COUNTIF(A:A, "*" &amp; LEFT(D265, FIND(" ", D265 &amp; " ") - 1) &amp; "*") &gt; 0,INDEX(A:A,FuzzyVLookup(D265,A:A,0,,,1)),"Non-PDL")</f>
        <v>fluticasone HFA</v>
      </c>
      <c r="F265" t="str">
        <f t="shared" si="8"/>
        <v>Non-Preferred</v>
      </c>
      <c r="G265" s="1" cm="1">
        <f t="array" ref="G265">FuzzyPercent(D265,E265,1)</f>
        <v>0.40000000596046448</v>
      </c>
      <c r="H265" t="str">
        <f t="shared" si="9"/>
        <v/>
      </c>
    </row>
    <row r="266" spans="1:8" x14ac:dyDescent="0.2">
      <c r="A266" t="s">
        <v>528</v>
      </c>
      <c r="B266" t="s">
        <v>0</v>
      </c>
      <c r="D266" t="s">
        <v>2382</v>
      </c>
      <c r="E266" t="str" cm="1">
        <f t="array" ref="E266">IF(COUNTIF(A:A, "*" &amp; LEFT(D266, FIND(" ", D266 &amp; " ") - 1) &amp; "*") &gt; 0,INDEX(A:A,FuzzyVLookup(D266,A:A,0,,,1)),"Non-PDL")</f>
        <v>Non-PDL</v>
      </c>
      <c r="F266" t="str">
        <f t="shared" si="8"/>
        <v>Non-PDL</v>
      </c>
      <c r="G266" s="1" cm="1">
        <f t="array" ref="G266">FuzzyPercent(D266,E266,1)</f>
        <v>0.125</v>
      </c>
      <c r="H266" t="str">
        <f t="shared" si="9"/>
        <v/>
      </c>
    </row>
    <row r="267" spans="1:8" x14ac:dyDescent="0.2">
      <c r="A267" t="s">
        <v>530</v>
      </c>
      <c r="B267" t="s">
        <v>0</v>
      </c>
      <c r="D267" t="s">
        <v>2383</v>
      </c>
      <c r="E267" t="str" cm="1">
        <f t="array" ref="E267">IF(COUNTIF(A:A, "*" &amp; LEFT(D267, FIND(" ", D267 &amp; " ") - 1) &amp; "*") &gt; 0,INDEX(A:A,FuzzyVLookup(D267,A:A,0,,,1)),"Non-PDL")</f>
        <v>fingolimod</v>
      </c>
      <c r="F267" t="str">
        <f t="shared" si="8"/>
        <v>Preferred</v>
      </c>
      <c r="G267" s="1" cm="1">
        <f t="array" ref="G267">FuzzyPercent(D267,E267,1)</f>
        <v>0.55555558204650879</v>
      </c>
      <c r="H267" t="str">
        <f t="shared" si="9"/>
        <v/>
      </c>
    </row>
    <row r="268" spans="1:8" x14ac:dyDescent="0.2">
      <c r="A268" t="s">
        <v>532</v>
      </c>
      <c r="B268" t="s">
        <v>0</v>
      </c>
      <c r="D268" t="s">
        <v>2384</v>
      </c>
      <c r="E268" t="str" cm="1">
        <f t="array" ref="E268">IF(COUNTIF(A:A, "*" &amp; LEFT(D268, FIND(" ", D268 &amp; " ") - 1) &amp; "*") &gt; 0,INDEX(A:A,FuzzyVLookup(D268,A:A,0,,,1)),"Non-PDL")</f>
        <v>FINTEPLA (fenfluramine)</v>
      </c>
      <c r="F268" t="str">
        <f t="shared" si="8"/>
        <v>Non-Preferred</v>
      </c>
      <c r="G268" s="1" cm="1">
        <f t="array" ref="G268">FuzzyPercent(D268,E268,1)</f>
        <v>0.5161290168762207</v>
      </c>
      <c r="H268" t="str">
        <f t="shared" si="9"/>
        <v/>
      </c>
    </row>
    <row r="269" spans="1:8" x14ac:dyDescent="0.2">
      <c r="A269" t="s">
        <v>534</v>
      </c>
      <c r="B269" t="s">
        <v>0</v>
      </c>
      <c r="D269" t="s">
        <v>2385</v>
      </c>
      <c r="E269" t="str" cm="1">
        <f t="array" ref="E269">IF(COUNTIF(A:A, "*" &amp; LEFT(D269, FIND(" ", D269 &amp; " ") - 1) &amp; "*") &gt; 0,INDEX(A:A,FuzzyVLookup(D269,A:A,0,,,1)),"Non-PDL")</f>
        <v>KLARON (sulfacetamide) suspension</v>
      </c>
      <c r="F269" t="str">
        <f t="shared" si="8"/>
        <v>Non-Preferred</v>
      </c>
      <c r="G269" s="1" cm="1">
        <f t="array" ref="G269">FuzzyPercent(D269,E269,1)</f>
        <v>0.39344263076782227</v>
      </c>
      <c r="H269" t="str">
        <f t="shared" si="9"/>
        <v>CHECK</v>
      </c>
    </row>
    <row r="270" spans="1:8" x14ac:dyDescent="0.2">
      <c r="A270" t="s">
        <v>536</v>
      </c>
      <c r="B270" t="s">
        <v>0</v>
      </c>
      <c r="D270" t="s">
        <v>2386</v>
      </c>
      <c r="E270" t="str" cm="1">
        <f t="array" ref="E270">IF(COUNTIF(A:A, "*" &amp; LEFT(D270, FIND(" ", D270 &amp; " ") - 1) &amp; "*") &gt; 0,INDEX(A:A,FuzzyVLookup(D270,A:A,0,,,1)),"Non-PDL")</f>
        <v>FLEQSUVY (baclofen)</v>
      </c>
      <c r="F270" t="str">
        <f t="shared" si="8"/>
        <v>Non-Preferred</v>
      </c>
      <c r="G270" s="1" cm="1">
        <f t="array" ref="G270">FuzzyPercent(D270,E270,1)</f>
        <v>0.59259259700775146</v>
      </c>
      <c r="H270" t="str">
        <f t="shared" si="9"/>
        <v/>
      </c>
    </row>
    <row r="271" spans="1:8" x14ac:dyDescent="0.2">
      <c r="A271" t="s">
        <v>538</v>
      </c>
      <c r="B271" t="s">
        <v>0</v>
      </c>
      <c r="D271" t="s">
        <v>2387</v>
      </c>
      <c r="E271" t="str" cm="1">
        <f t="array" ref="E271">IF(COUNTIF(A:A, "*" &amp; LEFT(D271, FIND(" ", D271 &amp; " ") - 1) &amp; "*") &gt; 0,INDEX(A:A,FuzzyVLookup(D271,A:A,0,,,1)),"Non-PDL")</f>
        <v>FLOVENT DISKUS (fluticasone)</v>
      </c>
      <c r="F271" t="str">
        <f t="shared" si="8"/>
        <v>Preferred</v>
      </c>
      <c r="G271" s="1" cm="1">
        <f t="array" ref="G271">FuzzyPercent(D271,E271,1)</f>
        <v>0.66666668653488159</v>
      </c>
      <c r="H271" t="str">
        <f t="shared" si="9"/>
        <v/>
      </c>
    </row>
    <row r="272" spans="1:8" x14ac:dyDescent="0.2">
      <c r="A272" t="s">
        <v>540</v>
      </c>
      <c r="B272" t="s">
        <v>0</v>
      </c>
      <c r="D272" t="s">
        <v>2388</v>
      </c>
      <c r="E272" t="str" cm="1">
        <f t="array" ref="E272">IF(COUNTIF(A:A, "*" &amp; LEFT(D272, FIND(" ", D272 &amp; " ") - 1) &amp; "*") &gt; 0,INDEX(A:A,FuzzyVLookup(D272,A:A,0,,,1)),"Non-PDL")</f>
        <v>FLOVENT HFA (fluticasone)</v>
      </c>
      <c r="F272" t="str">
        <f t="shared" si="8"/>
        <v>Non-Preferred</v>
      </c>
      <c r="G272" s="1" cm="1">
        <f t="array" ref="G272">FuzzyPercent(D272,E272,1)</f>
        <v>0.6111111044883728</v>
      </c>
      <c r="H272" t="str">
        <f t="shared" si="9"/>
        <v/>
      </c>
    </row>
    <row r="273" spans="1:8" x14ac:dyDescent="0.2">
      <c r="A273" t="s">
        <v>542</v>
      </c>
      <c r="B273" t="s">
        <v>0</v>
      </c>
      <c r="D273" t="s">
        <v>2389</v>
      </c>
      <c r="E273" t="str" cm="1">
        <f t="array" ref="E273">IF(COUNTIF(A:A, "*" &amp; LEFT(D273, FIND(" ", D273 &amp; " ") - 1) &amp; "*") &gt; 0,INDEX(A:A,FuzzyVLookup(D273,A:A,0,,,1)),"Non-PDL")</f>
        <v>Non-PDL</v>
      </c>
      <c r="F273" t="str">
        <f t="shared" si="8"/>
        <v>Non-PDL</v>
      </c>
      <c r="G273" s="1" cm="1">
        <f t="array" ref="G273">FuzzyPercent(D273,E273,1)</f>
        <v>0</v>
      </c>
      <c r="H273" t="str">
        <f t="shared" si="9"/>
        <v/>
      </c>
    </row>
    <row r="274" spans="1:8" x14ac:dyDescent="0.2">
      <c r="A274" t="s">
        <v>544</v>
      </c>
      <c r="B274" t="s">
        <v>0</v>
      </c>
      <c r="D274" t="s">
        <v>2390</v>
      </c>
      <c r="E274" t="str" cm="1">
        <f t="array" ref="E274">IF(COUNTIF(A:A, "*" &amp; LEFT(D274, FIND(" ", D274 &amp; " ") - 1) &amp; "*") &gt; 0,INDEX(A:A,FuzzyVLookup(D274,A:A,0,,,1)),"Non-PDL")</f>
        <v>Non-PDL</v>
      </c>
      <c r="F274" t="str">
        <f t="shared" si="8"/>
        <v>Non-PDL</v>
      </c>
      <c r="G274" s="1" cm="1">
        <f t="array" ref="G274">FuzzyPercent(D274,E274,1)</f>
        <v>0</v>
      </c>
      <c r="H274" t="str">
        <f t="shared" si="9"/>
        <v/>
      </c>
    </row>
    <row r="275" spans="1:8" x14ac:dyDescent="0.2">
      <c r="A275" t="s">
        <v>546</v>
      </c>
      <c r="B275" t="s">
        <v>0</v>
      </c>
      <c r="D275" t="s">
        <v>2391</v>
      </c>
      <c r="E275" t="str" cm="1">
        <f t="array" ref="E275">IF(COUNTIF(A:A, "*" &amp; LEFT(D275, FIND(" ", D275 &amp; " ") - 1) &amp; "*") &gt; 0,INDEX(A:A,FuzzyVLookup(D275,A:A,0,,,1)),"Non-PDL")</f>
        <v>Non-PDL</v>
      </c>
      <c r="F275" t="str">
        <f t="shared" si="8"/>
        <v>Non-PDL</v>
      </c>
      <c r="G275" s="1" cm="1">
        <f t="array" ref="G275">FuzzyPercent(D275,E275,1)</f>
        <v>0.15384615957736969</v>
      </c>
      <c r="H275" t="str">
        <f t="shared" si="9"/>
        <v/>
      </c>
    </row>
    <row r="276" spans="1:8" x14ac:dyDescent="0.2">
      <c r="A276" t="s">
        <v>548</v>
      </c>
      <c r="B276" t="s">
        <v>0</v>
      </c>
      <c r="D276" t="s">
        <v>2392</v>
      </c>
      <c r="E276" t="str" cm="1">
        <f t="array" ref="E276">IF(COUNTIF(A:A, "*" &amp; LEFT(D276, FIND(" ", D276 &amp; " ") - 1) &amp; "*") &gt; 0,INDEX(A:A,FuzzyVLookup(D276,A:A,0,,,1)),"Non-PDL")</f>
        <v>fosinopril</v>
      </c>
      <c r="F276" t="str">
        <f t="shared" si="8"/>
        <v>Preferred</v>
      </c>
      <c r="G276" s="1" cm="1">
        <f t="array" ref="G276">FuzzyPercent(D276,E276,1)</f>
        <v>1</v>
      </c>
      <c r="H276" t="str">
        <f t="shared" si="9"/>
        <v/>
      </c>
    </row>
    <row r="277" spans="1:8" x14ac:dyDescent="0.2">
      <c r="A277" t="s">
        <v>550</v>
      </c>
      <c r="B277" t="s">
        <v>0</v>
      </c>
      <c r="D277" t="s">
        <v>2393</v>
      </c>
      <c r="E277" t="str" cm="1">
        <f t="array" ref="E277">IF(COUNTIF(A:A, "*" &amp; LEFT(D277, FIND(" ", D277 &amp; " ") - 1) &amp; "*") &gt; 0,INDEX(A:A,FuzzyVLookup(D277,A:A,0,,,1)),"Non-PDL")</f>
        <v>Non-PDL</v>
      </c>
      <c r="F277" t="str">
        <f t="shared" si="8"/>
        <v>Non-PDL</v>
      </c>
      <c r="G277" s="1" cm="1">
        <f t="array" ref="G277">FuzzyPercent(D277,E277,1)</f>
        <v>0</v>
      </c>
      <c r="H277" t="str">
        <f t="shared" si="9"/>
        <v/>
      </c>
    </row>
    <row r="278" spans="1:8" x14ac:dyDescent="0.2">
      <c r="A278" t="s">
        <v>552</v>
      </c>
      <c r="B278" t="s">
        <v>0</v>
      </c>
      <c r="D278" t="s">
        <v>2394</v>
      </c>
      <c r="E278" t="str" cm="1">
        <f t="array" ref="E278">IF(COUNTIF(A:A, "*" &amp; LEFT(D278, FIND(" ", D278 &amp; " ") - 1) &amp; "*") &gt; 0,INDEX(A:A,FuzzyVLookup(D278,A:A,0,,,1)),"Non-PDL")</f>
        <v>Non-PDL</v>
      </c>
      <c r="F278" t="str">
        <f t="shared" si="8"/>
        <v>Non-PDL</v>
      </c>
      <c r="G278" s="1" cm="1">
        <f t="array" ref="G278">FuzzyPercent(D278,E278,1)</f>
        <v>0</v>
      </c>
      <c r="H278" t="str">
        <f t="shared" si="9"/>
        <v/>
      </c>
    </row>
    <row r="279" spans="1:8" x14ac:dyDescent="0.2">
      <c r="A279" t="s">
        <v>554</v>
      </c>
      <c r="B279" t="s">
        <v>0</v>
      </c>
      <c r="D279" t="s">
        <v>2395</v>
      </c>
      <c r="E279" t="str" cm="1">
        <f t="array" ref="E279">IF(COUNTIF(A:A, "*" &amp; LEFT(D279, FIND(" ", D279 &amp; " ") - 1) &amp; "*") &gt; 0,INDEX(A:A,FuzzyVLookup(D279,A:A,0,,,1)),"Non-PDL")</f>
        <v>Non-PDL</v>
      </c>
      <c r="F279" t="str">
        <f t="shared" si="8"/>
        <v>Non-PDL</v>
      </c>
      <c r="G279" s="1" cm="1">
        <f t="array" ref="G279">FuzzyPercent(D279,E279,1)</f>
        <v>0</v>
      </c>
      <c r="H279" t="str">
        <f t="shared" si="9"/>
        <v/>
      </c>
    </row>
    <row r="280" spans="1:8" x14ac:dyDescent="0.2">
      <c r="A280" t="s">
        <v>556</v>
      </c>
      <c r="B280" t="s">
        <v>0</v>
      </c>
      <c r="D280" t="s">
        <v>2396</v>
      </c>
      <c r="E280" t="str" cm="1">
        <f t="array" ref="E280">IF(COUNTIF(A:A, "*" &amp; LEFT(D280, FIND(" ", D280 &amp; " ") - 1) &amp; "*") &gt; 0,INDEX(A:A,FuzzyVLookup(D280,A:A,0,,,1)),"Non-PDL")</f>
        <v>Non-PDL</v>
      </c>
      <c r="F280" t="str">
        <f t="shared" si="8"/>
        <v>Non-PDL</v>
      </c>
      <c r="G280" s="1" cm="1">
        <f t="array" ref="G280">FuzzyPercent(D280,E280,1)</f>
        <v>0.125</v>
      </c>
      <c r="H280" t="str">
        <f t="shared" si="9"/>
        <v/>
      </c>
    </row>
    <row r="281" spans="1:8" x14ac:dyDescent="0.2">
      <c r="A281" t="s">
        <v>558</v>
      </c>
      <c r="B281" t="s">
        <v>0</v>
      </c>
      <c r="D281" t="s">
        <v>2397</v>
      </c>
      <c r="E281" t="str" cm="1">
        <f t="array" ref="E281">IF(COUNTIF(A:A, "*" &amp; LEFT(D281, FIND(" ", D281 &amp; " ") - 1) &amp; "*") &gt; 0,INDEX(A:A,FuzzyVLookup(D281,A:A,0,,,1)),"Non-PDL")</f>
        <v>Non-PDL</v>
      </c>
      <c r="F281" t="str">
        <f t="shared" si="8"/>
        <v>Non-PDL</v>
      </c>
      <c r="G281" s="1" cm="1">
        <f t="array" ref="G281">FuzzyPercent(D281,E281,1)</f>
        <v>0.125</v>
      </c>
      <c r="H281" t="str">
        <f t="shared" si="9"/>
        <v/>
      </c>
    </row>
    <row r="282" spans="1:8" x14ac:dyDescent="0.2">
      <c r="A282" t="s">
        <v>560</v>
      </c>
      <c r="B282" t="s">
        <v>0</v>
      </c>
      <c r="D282" t="s">
        <v>2398</v>
      </c>
      <c r="E282" t="str" cm="1">
        <f t="array" ref="E282">IF(COUNTIF(A:A, "*" &amp; LEFT(D282, FIND(" ", D282 &amp; " ") - 1) &amp; "*") &gt; 0,INDEX(A:A,FuzzyVLookup(D282,A:A,0,,,1)),"Non-PDL")</f>
        <v>FYLNETRA (pegfilgrastim-pbbk)</v>
      </c>
      <c r="F282" t="str">
        <f t="shared" si="8"/>
        <v>Non-Preferred</v>
      </c>
      <c r="G282" s="1" cm="1">
        <f t="array" ref="G282">FuzzyPercent(D282,E282,1)</f>
        <v>0.43243244290351868</v>
      </c>
      <c r="H282" t="str">
        <f t="shared" si="9"/>
        <v/>
      </c>
    </row>
    <row r="283" spans="1:8" x14ac:dyDescent="0.2">
      <c r="A283" t="s">
        <v>562</v>
      </c>
      <c r="B283" t="s">
        <v>0</v>
      </c>
      <c r="D283" t="s">
        <v>2399</v>
      </c>
      <c r="E283" t="str" cm="1">
        <f t="array" ref="E283">IF(COUNTIF(A:A, "*" &amp; LEFT(D283, FIND(" ", D283 &amp; " ") - 1) &amp; "*") &gt; 0,INDEX(A:A,FuzzyVLookup(D283,A:A,0,,,1)),"Non-PDL")</f>
        <v>Non-PDL</v>
      </c>
      <c r="F283" t="str">
        <f t="shared" si="8"/>
        <v>Non-PDL</v>
      </c>
      <c r="G283" s="1" cm="1">
        <f t="array" ref="G283">FuzzyPercent(D283,E283,1)</f>
        <v>0.125</v>
      </c>
      <c r="H283" t="str">
        <f t="shared" si="9"/>
        <v/>
      </c>
    </row>
    <row r="284" spans="1:8" x14ac:dyDescent="0.2">
      <c r="A284" t="s">
        <v>564</v>
      </c>
      <c r="B284" t="s">
        <v>0</v>
      </c>
      <c r="D284" t="s">
        <v>2400</v>
      </c>
      <c r="E284" t="str" cm="1">
        <f t="array" ref="E284">IF(COUNTIF(A:A, "*" &amp; LEFT(D284, FIND(" ", D284 &amp; " ") - 1) &amp; "*") &gt; 0,INDEX(A:A,FuzzyVLookup(D284,A:A,0,,,1)),"Non-PDL")</f>
        <v>galantamine ER</v>
      </c>
      <c r="F284" t="str">
        <f t="shared" si="8"/>
        <v>Preferred</v>
      </c>
      <c r="G284" s="1" cm="1">
        <f t="array" ref="G284">FuzzyPercent(D284,E284,1)</f>
        <v>0.51999998092651367</v>
      </c>
      <c r="H284" t="str">
        <f t="shared" si="9"/>
        <v/>
      </c>
    </row>
    <row r="285" spans="1:8" x14ac:dyDescent="0.2">
      <c r="A285" t="s">
        <v>566</v>
      </c>
      <c r="B285" t="s">
        <v>0</v>
      </c>
      <c r="D285" t="s">
        <v>2401</v>
      </c>
      <c r="E285" t="str" cm="1">
        <f t="array" ref="E285">IF(COUNTIF(A:A, "*" &amp; LEFT(D285, FIND(" ", D285 &amp; " ") - 1) &amp; "*") &gt; 0,INDEX(A:A,FuzzyVLookup(D285,A:A,0,,,1)),"Non-PDL")</f>
        <v>galantamine ER</v>
      </c>
      <c r="F285" t="str">
        <f t="shared" si="8"/>
        <v>Preferred</v>
      </c>
      <c r="G285" s="1" cm="1">
        <f t="array" ref="G285">FuzzyPercent(D285,E285,1)</f>
        <v>0.66666668653488159</v>
      </c>
      <c r="H285" t="str">
        <f t="shared" si="9"/>
        <v/>
      </c>
    </row>
    <row r="286" spans="1:8" x14ac:dyDescent="0.2">
      <c r="A286" t="s">
        <v>568</v>
      </c>
      <c r="B286" t="s">
        <v>0</v>
      </c>
      <c r="D286" t="s">
        <v>2402</v>
      </c>
      <c r="E286" t="str" cm="1">
        <f t="array" ref="E286">IF(COUNTIF(A:A, "*" &amp; LEFT(D286, FIND(" ", D286 &amp; " ") - 1) &amp; "*") &gt; 0,INDEX(A:A,FuzzyVLookup(D286,A:A,0,,,1)),"Non-PDL")</f>
        <v>galantamine ER</v>
      </c>
      <c r="F286" t="str">
        <f t="shared" si="8"/>
        <v>Preferred</v>
      </c>
      <c r="G286" s="1" cm="1">
        <f t="array" ref="G286">FuzzyPercent(D286,E286,1)</f>
        <v>1</v>
      </c>
      <c r="H286" t="str">
        <f t="shared" si="9"/>
        <v/>
      </c>
    </row>
    <row r="287" spans="1:8" x14ac:dyDescent="0.2">
      <c r="A287" t="s">
        <v>570</v>
      </c>
      <c r="B287" t="s">
        <v>0</v>
      </c>
      <c r="D287" t="s">
        <v>2403</v>
      </c>
      <c r="E287" t="str" cm="1">
        <f t="array" ref="E287">IF(COUNTIF(A:A, "*" &amp; LEFT(D287, FIND(" ", D287 &amp; " ") - 1) &amp; "*") &gt; 0,INDEX(A:A,FuzzyVLookup(D287,A:A,0,,,1)),"Non-PDL")</f>
        <v>Non-PDL</v>
      </c>
      <c r="F287" t="str">
        <f t="shared" si="8"/>
        <v>Non-PDL</v>
      </c>
      <c r="G287" s="1" cm="1">
        <f t="array" ref="G287">FuzzyPercent(D287,E287,1)</f>
        <v>0</v>
      </c>
      <c r="H287" t="str">
        <f t="shared" si="9"/>
        <v/>
      </c>
    </row>
    <row r="288" spans="1:8" x14ac:dyDescent="0.2">
      <c r="A288" t="s">
        <v>572</v>
      </c>
      <c r="B288" t="s">
        <v>0</v>
      </c>
      <c r="D288" t="s">
        <v>2404</v>
      </c>
      <c r="E288" t="str" cm="1">
        <f t="array" ref="E288">IF(COUNTIF(A:A, "*" &amp; LEFT(D288, FIND(" ", D288 &amp; " ") - 1) &amp; "*") &gt; 0,INDEX(A:A,FuzzyVLookup(D288,A:A,0,,,1)),"Non-PDL")</f>
        <v>GAVRETO (pralsetinib)</v>
      </c>
      <c r="F288" t="str">
        <f t="shared" si="8"/>
        <v>Non-Preferred</v>
      </c>
      <c r="G288" s="1" cm="1">
        <f t="array" ref="G288">FuzzyPercent(D288,E288,1)</f>
        <v>0.5</v>
      </c>
      <c r="H288" t="str">
        <f t="shared" si="9"/>
        <v/>
      </c>
    </row>
    <row r="289" spans="1:8" x14ac:dyDescent="0.2">
      <c r="A289" t="s">
        <v>574</v>
      </c>
      <c r="B289" t="s">
        <v>0</v>
      </c>
      <c r="D289" t="s">
        <v>2405</v>
      </c>
      <c r="E289" t="str" cm="1">
        <f t="array" ref="E289">IF(COUNTIF(A:A, "*" &amp; LEFT(D289, FIND(" ", D289 &amp; " ") - 1) &amp; "*") &gt; 0,INDEX(A:A,FuzzyVLookup(D289,A:A,0,,,1)),"Non-PDL")</f>
        <v>Non-PDL</v>
      </c>
      <c r="F289" t="str">
        <f t="shared" si="8"/>
        <v>Non-PDL</v>
      </c>
      <c r="G289" s="1" cm="1">
        <f t="array" ref="G289">FuzzyPercent(D289,E289,1)</f>
        <v>0.10000000149011612</v>
      </c>
      <c r="H289" t="str">
        <f t="shared" si="9"/>
        <v/>
      </c>
    </row>
    <row r="290" spans="1:8" x14ac:dyDescent="0.2">
      <c r="A290" t="s">
        <v>576</v>
      </c>
      <c r="B290" t="s">
        <v>0</v>
      </c>
      <c r="D290" t="s">
        <v>2406</v>
      </c>
      <c r="E290" t="str" cm="1">
        <f t="array" ref="E290">IF(COUNTIF(A:A, "*" &amp; LEFT(D290, FIND(" ", D290 &amp; " ") - 1) &amp; "*") &gt; 0,INDEX(A:A,FuzzyVLookup(D290,A:A,0,,,1)),"Non-PDL")</f>
        <v>ASCENIV</v>
      </c>
      <c r="F290" t="str">
        <f t="shared" si="8"/>
        <v>Non-Preferred</v>
      </c>
      <c r="G290" s="1" cm="1">
        <f t="array" ref="G290">FuzzyPercent(D290,E290,1)</f>
        <v>0.4285714328289032</v>
      </c>
      <c r="H290" t="str">
        <f t="shared" si="9"/>
        <v/>
      </c>
    </row>
    <row r="291" spans="1:8" x14ac:dyDescent="0.2">
      <c r="A291" t="s">
        <v>578</v>
      </c>
      <c r="B291" t="s">
        <v>0</v>
      </c>
      <c r="D291" t="s">
        <v>2407</v>
      </c>
      <c r="E291" t="str" cm="1">
        <f t="array" ref="E291">IF(COUNTIF(A:A, "*" &amp; LEFT(D291, FIND(" ", D291 &amp; " ") - 1) &amp; "*") &gt; 0,INDEX(A:A,FuzzyVLookup(D291,A:A,0,,,1)),"Non-PDL")</f>
        <v>GEODON (ziprasidone)</v>
      </c>
      <c r="F291" t="str">
        <f t="shared" si="8"/>
        <v>Non-Preferred</v>
      </c>
      <c r="G291" s="1" cm="1">
        <f t="array" ref="G291">FuzzyPercent(D291,E291,1)</f>
        <v>0.46153846383094788</v>
      </c>
      <c r="H291" t="str">
        <f t="shared" si="9"/>
        <v/>
      </c>
    </row>
    <row r="292" spans="1:8" x14ac:dyDescent="0.2">
      <c r="A292" t="s">
        <v>580</v>
      </c>
      <c r="B292" t="s">
        <v>0</v>
      </c>
      <c r="D292" t="s">
        <v>2408</v>
      </c>
      <c r="E292" t="str" cm="1">
        <f t="array" ref="E292">IF(COUNTIF(A:A, "*" &amp; LEFT(D292, FIND(" ", D292 &amp; " ") - 1) &amp; "*") &gt; 0,INDEX(A:A,FuzzyVLookup(D292,A:A,0,,,1)),"Non-PDL")</f>
        <v>GILENYA (fingolimod)</v>
      </c>
      <c r="F292" t="str">
        <f t="shared" si="8"/>
        <v>Non-Preferred</v>
      </c>
      <c r="G292" s="1" cm="1">
        <f t="array" ref="G292">FuzzyPercent(D292,E292,1)</f>
        <v>0.48571428656578064</v>
      </c>
      <c r="H292" t="str">
        <f t="shared" si="9"/>
        <v/>
      </c>
    </row>
    <row r="293" spans="1:8" x14ac:dyDescent="0.2">
      <c r="A293" t="s">
        <v>582</v>
      </c>
      <c r="B293" t="s">
        <v>0</v>
      </c>
      <c r="D293" t="s">
        <v>2409</v>
      </c>
      <c r="E293" t="str" cm="1">
        <f t="array" ref="E293">IF(COUNTIF(A:A, "*" &amp; LEFT(D293, FIND(" ", D293 &amp; " ") - 1) &amp; "*") &gt; 0,INDEX(A:A,FuzzyVLookup(D293,A:A,0,,,1)),"Non-PDL")</f>
        <v>GILOTRIF (afatinib)</v>
      </c>
      <c r="F293" t="str">
        <f t="shared" si="8"/>
        <v>Preferred</v>
      </c>
      <c r="G293" s="1" cm="1">
        <f t="array" ref="G293">FuzzyPercent(D293,E293,1)</f>
        <v>0.59259259700775146</v>
      </c>
      <c r="H293" t="str">
        <f t="shared" si="9"/>
        <v/>
      </c>
    </row>
    <row r="294" spans="1:8" x14ac:dyDescent="0.2">
      <c r="A294" t="s">
        <v>584</v>
      </c>
      <c r="B294" t="s">
        <v>0</v>
      </c>
      <c r="D294" t="s">
        <v>2410</v>
      </c>
      <c r="E294" t="str" cm="1">
        <f t="array" ref="E294">IF(COUNTIF(A:A, "*" &amp; LEFT(D294, FIND(" ", D294 &amp; " ") - 1) &amp; "*") &gt; 0,INDEX(A:A,FuzzyVLookup(D294,A:A,0,,,1)),"Non-PDL")</f>
        <v>clotrimazole/betamethasone cream</v>
      </c>
      <c r="F294" t="str">
        <f t="shared" si="8"/>
        <v>Preferred</v>
      </c>
      <c r="G294" s="1" cm="1">
        <f t="array" ref="G294">FuzzyPercent(D294,E294,1)</f>
        <v>0.3611111044883728</v>
      </c>
      <c r="H294" t="str">
        <f t="shared" si="9"/>
        <v>CHECK</v>
      </c>
    </row>
    <row r="295" spans="1:8" x14ac:dyDescent="0.2">
      <c r="A295" t="s">
        <v>586</v>
      </c>
      <c r="B295" t="s">
        <v>0</v>
      </c>
      <c r="D295" t="s">
        <v>2411</v>
      </c>
      <c r="E295" t="str" cm="1">
        <f t="array" ref="E295">IF(COUNTIF(A:A, "*" &amp; LEFT(D295, FIND(" ", D295 &amp; " ") - 1) &amp; "*") &gt; 0,INDEX(A:A,FuzzyVLookup(D295,A:A,0,,,1)),"Non-PDL")</f>
        <v>GLATOPA (glatiramer)</v>
      </c>
      <c r="F295" t="str">
        <f t="shared" si="8"/>
        <v>Non-Preferred</v>
      </c>
      <c r="G295" s="1" cm="1">
        <f t="array" ref="G295">FuzzyPercent(D295,E295,1)</f>
        <v>0.41304346919059753</v>
      </c>
      <c r="H295" t="str">
        <f t="shared" si="9"/>
        <v/>
      </c>
    </row>
    <row r="296" spans="1:8" x14ac:dyDescent="0.2">
      <c r="A296" t="s">
        <v>588</v>
      </c>
      <c r="B296" t="s">
        <v>0</v>
      </c>
      <c r="D296" t="s">
        <v>2412</v>
      </c>
      <c r="E296" t="str" cm="1">
        <f t="array" ref="E296">IF(COUNTIF(A:A, "*" &amp; LEFT(D296, FIND(" ", D296 &amp; " ") - 1) &amp; "*") &gt; 0,INDEX(A:A,FuzzyVLookup(D296,A:A,0,,,1)),"Non-PDL")</f>
        <v>GLEEVEC (imatinib)</v>
      </c>
      <c r="F296" t="str">
        <f t="shared" si="8"/>
        <v>Non-Preferred</v>
      </c>
      <c r="G296" s="1" cm="1">
        <f t="array" ref="G296">FuzzyPercent(D296,E296,1)</f>
        <v>0.56000000238418579</v>
      </c>
      <c r="H296" t="str">
        <f t="shared" si="9"/>
        <v/>
      </c>
    </row>
    <row r="297" spans="1:8" x14ac:dyDescent="0.2">
      <c r="A297" t="s">
        <v>590</v>
      </c>
      <c r="B297" t="s">
        <v>0</v>
      </c>
      <c r="D297" t="s">
        <v>2413</v>
      </c>
      <c r="E297" t="str" cm="1">
        <f t="array" ref="E297">IF(COUNTIF(A:A, "*" &amp; LEFT(D297, FIND(" ", D297 &amp; " ") - 1) &amp; "*") &gt; 0,INDEX(A:A,FuzzyVLookup(D297,A:A,0,,,1)),"Non-PDL")</f>
        <v>Granisetron</v>
      </c>
      <c r="F297" t="str">
        <f t="shared" si="8"/>
        <v>Non-Preferred</v>
      </c>
      <c r="G297" s="1" cm="1">
        <f t="array" ref="G297">FuzzyPercent(D297,E297,1)</f>
        <v>0.66666668653488159</v>
      </c>
      <c r="H297" t="str">
        <f t="shared" si="9"/>
        <v/>
      </c>
    </row>
    <row r="298" spans="1:8" x14ac:dyDescent="0.2">
      <c r="A298" t="s">
        <v>592</v>
      </c>
      <c r="B298" t="s">
        <v>0</v>
      </c>
      <c r="D298" t="s">
        <v>2414</v>
      </c>
      <c r="E298" t="str" cm="1">
        <f t="array" ref="E298">IF(COUNTIF(A:A, "*" &amp; LEFT(D298, FIND(" ", D298 &amp; " ") - 1) &amp; "*") &gt; 0,INDEX(A:A,FuzzyVLookup(D298,A:A,0,,,1)),"Non-PDL")</f>
        <v>GRASTEK</v>
      </c>
      <c r="F298" t="str">
        <f t="shared" si="8"/>
        <v>Non-Preferred</v>
      </c>
      <c r="G298" s="1" cm="1">
        <f t="array" ref="G298">FuzzyPercent(D298,E298,1)</f>
        <v>1</v>
      </c>
      <c r="H298" t="str">
        <f t="shared" si="9"/>
        <v/>
      </c>
    </row>
    <row r="299" spans="1:8" x14ac:dyDescent="0.2">
      <c r="A299" t="s">
        <v>594</v>
      </c>
      <c r="B299" t="s">
        <v>0</v>
      </c>
      <c r="D299" t="s">
        <v>2415</v>
      </c>
      <c r="E299" t="str" cm="1">
        <f t="array" ref="E299">IF(COUNTIF(A:A, "*" &amp; LEFT(D299, FIND(" ", D299 &amp; " ") - 1) &amp; "*") &gt; 0,INDEX(A:A,FuzzyVLookup(D299,A:A,0,,,1)),"Non-PDL")</f>
        <v>Non-PDL</v>
      </c>
      <c r="F299" t="str">
        <f t="shared" si="8"/>
        <v>Non-PDL</v>
      </c>
      <c r="G299" s="1" cm="1">
        <f t="array" ref="G299">FuzzyPercent(D299,E299,1)</f>
        <v>0.125</v>
      </c>
      <c r="H299" t="str">
        <f t="shared" si="9"/>
        <v/>
      </c>
    </row>
    <row r="300" spans="1:8" x14ac:dyDescent="0.2">
      <c r="A300" t="s">
        <v>596</v>
      </c>
      <c r="B300" t="s">
        <v>0</v>
      </c>
      <c r="D300" t="s">
        <v>2416</v>
      </c>
      <c r="E300" t="str" cm="1">
        <f t="array" ref="E300">IF(COUNTIF(A:A, "*" &amp; LEFT(D300, FIND(" ", D300 &amp; " ") - 1) &amp; "*") &gt; 0,INDEX(A:A,FuzzyVLookup(D300,A:A,0,,,1)),"Non-PDL")</f>
        <v>tadalafil</v>
      </c>
      <c r="F300" t="str">
        <f t="shared" si="8"/>
        <v>Preferred</v>
      </c>
      <c r="G300" s="1" cm="1">
        <f t="array" ref="G300">FuzzyPercent(D300,E300,1)</f>
        <v>0.4375</v>
      </c>
      <c r="H300" t="str">
        <f t="shared" si="9"/>
        <v/>
      </c>
    </row>
    <row r="301" spans="1:8" x14ac:dyDescent="0.2">
      <c r="A301" t="s">
        <v>598</v>
      </c>
      <c r="B301" t="s">
        <v>0</v>
      </c>
      <c r="D301" t="s">
        <v>2417</v>
      </c>
      <c r="E301" t="str" cm="1">
        <f t="array" ref="E301">IF(COUNTIF(A:A, "*" &amp; LEFT(D301, FIND(" ", D301 &amp; " ") - 1) &amp; "*") &gt; 0,INDEX(A:A,FuzzyVLookup(D301,A:A,0,,,1)),"Non-PDL")</f>
        <v>halcinonide</v>
      </c>
      <c r="F301" t="str">
        <f t="shared" si="8"/>
        <v>Non-Preferred</v>
      </c>
      <c r="G301" s="1" cm="1">
        <f t="array" ref="G301">FuzzyPercent(D301,E301,1)</f>
        <v>0.4444444477558136</v>
      </c>
      <c r="H301" t="str">
        <f t="shared" si="9"/>
        <v/>
      </c>
    </row>
    <row r="302" spans="1:8" x14ac:dyDescent="0.2">
      <c r="A302" t="s">
        <v>600</v>
      </c>
      <c r="B302" t="s">
        <v>0</v>
      </c>
      <c r="D302" t="s">
        <v>2418</v>
      </c>
      <c r="E302" t="str" cm="1">
        <f t="array" ref="E302">IF(COUNTIF(A:A, "*" &amp; LEFT(D302, FIND(" ", D302 &amp; " ") - 1) &amp; "*") &gt; 0,INDEX(A:A,FuzzyVLookup(D302,A:A,0,,,1)),"Non-PDL")</f>
        <v>Non-PDL</v>
      </c>
      <c r="F302" t="str">
        <f t="shared" si="8"/>
        <v>Non-PDL</v>
      </c>
      <c r="G302" s="1" cm="1">
        <f t="array" ref="G302">FuzzyPercent(D302,E302,1)</f>
        <v>0.1428571492433548</v>
      </c>
      <c r="H302" t="str">
        <f t="shared" si="9"/>
        <v/>
      </c>
    </row>
    <row r="303" spans="1:8" x14ac:dyDescent="0.2">
      <c r="A303" t="s">
        <v>602</v>
      </c>
      <c r="B303" t="s">
        <v>0</v>
      </c>
      <c r="D303" t="s">
        <v>2419</v>
      </c>
      <c r="E303" t="str" cm="1">
        <f t="array" ref="E303">IF(COUNTIF(A:A, "*" &amp; LEFT(D303, FIND(" ", D303 &amp; " ") - 1) &amp; "*") &gt; 0,INDEX(A:A,FuzzyVLookup(D303,A:A,0,,,1)),"Non-PDL")</f>
        <v>HEMANGEOL (propranolol)</v>
      </c>
      <c r="F303" t="str">
        <f t="shared" si="8"/>
        <v>Preferred</v>
      </c>
      <c r="G303" s="1" cm="1">
        <f t="array" ref="G303">FuzzyPercent(D303,E303,1)</f>
        <v>0.5625</v>
      </c>
      <c r="H303" t="str">
        <f t="shared" si="9"/>
        <v/>
      </c>
    </row>
    <row r="304" spans="1:8" x14ac:dyDescent="0.2">
      <c r="A304" t="s">
        <v>604</v>
      </c>
      <c r="B304" t="s">
        <v>0</v>
      </c>
      <c r="D304" t="s">
        <v>2420</v>
      </c>
      <c r="E304" t="str" cm="1">
        <f t="array" ref="E304">IF(COUNTIF(A:A, "*" &amp; LEFT(D304, FIND(" ", D304 &amp; " ") - 1) &amp; "*") &gt; 0,INDEX(A:A,FuzzyVLookup(D304,A:A,0,,,1)),"Non-PDL")</f>
        <v>Non-PDL</v>
      </c>
      <c r="F304" t="str">
        <f t="shared" si="8"/>
        <v>Non-PDL</v>
      </c>
      <c r="G304" s="1" cm="1">
        <f t="array" ref="G304">FuzzyPercent(D304,E304,1)</f>
        <v>0</v>
      </c>
      <c r="H304" t="str">
        <f t="shared" si="9"/>
        <v/>
      </c>
    </row>
    <row r="305" spans="1:8" x14ac:dyDescent="0.2">
      <c r="A305" t="s">
        <v>606</v>
      </c>
      <c r="B305" t="s">
        <v>0</v>
      </c>
      <c r="D305" t="s">
        <v>2421</v>
      </c>
      <c r="E305" t="str" cm="1">
        <f t="array" ref="E305">IF(COUNTIF(A:A, "*" &amp; LEFT(D305, FIND(" ", D305 &amp; " ") - 1) &amp; "*") &gt; 0,INDEX(A:A,FuzzyVLookup(D305,A:A,0,,,1)),"Non-PDL")</f>
        <v>gemfibrozil</v>
      </c>
      <c r="F305" t="str">
        <f t="shared" si="8"/>
        <v>Preferred</v>
      </c>
      <c r="G305" s="1" cm="1">
        <f t="array" ref="G305">FuzzyPercent(D305,E305,1)</f>
        <v>0.52631580829620361</v>
      </c>
      <c r="H305" t="str">
        <f t="shared" si="9"/>
        <v/>
      </c>
    </row>
    <row r="306" spans="1:8" x14ac:dyDescent="0.2">
      <c r="A306" t="s">
        <v>608</v>
      </c>
      <c r="B306" t="s">
        <v>0</v>
      </c>
      <c r="D306" t="s">
        <v>2422</v>
      </c>
      <c r="E306" t="str" cm="1">
        <f t="array" ref="E306">IF(COUNTIF(A:A, "*" &amp; LEFT(D306, FIND(" ", D306 &amp; " ") - 1) &amp; "*") &gt; 0,INDEX(A:A,FuzzyVLookup(D306,A:A,0,,,1)),"Non-PDL")</f>
        <v>Non-PDL</v>
      </c>
      <c r="F306" t="str">
        <f t="shared" si="8"/>
        <v>Non-PDL</v>
      </c>
      <c r="G306" s="1" cm="1">
        <f t="array" ref="G306">FuzzyPercent(D306,E306,1)</f>
        <v>0.1428571492433548</v>
      </c>
      <c r="H306" t="str">
        <f t="shared" si="9"/>
        <v/>
      </c>
    </row>
    <row r="307" spans="1:8" x14ac:dyDescent="0.2">
      <c r="A307" t="s">
        <v>610</v>
      </c>
      <c r="B307" t="s">
        <v>0</v>
      </c>
      <c r="D307" t="s">
        <v>2423</v>
      </c>
      <c r="E307" t="str" cm="1">
        <f t="array" ref="E307">IF(COUNTIF(A:A, "*" &amp; LEFT(D307, FIND(" ", D307 &amp; " ") - 1) &amp; "*") &gt; 0,INDEX(A:A,FuzzyVLookup(D307,A:A,0,,,1)),"Non-PDL")</f>
        <v>Non-PDL</v>
      </c>
      <c r="F307" t="str">
        <f t="shared" si="8"/>
        <v>Non-PDL</v>
      </c>
      <c r="G307" s="1" cm="1">
        <f t="array" ref="G307">FuzzyPercent(D307,E307,1)</f>
        <v>0</v>
      </c>
      <c r="H307" t="str">
        <f t="shared" si="9"/>
        <v/>
      </c>
    </row>
    <row r="308" spans="1:8" x14ac:dyDescent="0.2">
      <c r="A308" t="s">
        <v>612</v>
      </c>
      <c r="B308" t="s">
        <v>0</v>
      </c>
      <c r="D308" t="s">
        <v>2424</v>
      </c>
      <c r="E308" t="str" cm="1">
        <f t="array" ref="E308">IF(COUNTIF(A:A, "*" &amp; LEFT(D308, FIND(" ", D308 &amp; " ") - 1) &amp; "*") &gt; 0,INDEX(A:A,FuzzyVLookup(D308,A:A,0,,,1)),"Non-PDL")</f>
        <v>rizatriptan</v>
      </c>
      <c r="F308" t="str">
        <f t="shared" si="8"/>
        <v>Preferred</v>
      </c>
      <c r="G308" s="1" cm="1">
        <f t="array" ref="G308">FuzzyPercent(D308,E308,1)</f>
        <v>0.47368422150611877</v>
      </c>
      <c r="H308" t="str">
        <f t="shared" si="9"/>
        <v/>
      </c>
    </row>
    <row r="309" spans="1:8" x14ac:dyDescent="0.2">
      <c r="A309" t="s">
        <v>614</v>
      </c>
      <c r="B309" t="s">
        <v>0</v>
      </c>
      <c r="D309" t="s">
        <v>2425</v>
      </c>
      <c r="E309" t="str" cm="1">
        <f t="array" ref="E309">IF(COUNTIF(A:A, "*" &amp; LEFT(D309, FIND(" ", D309 &amp; " ") - 1) &amp; "*") &gt; 0,INDEX(A:A,FuzzyVLookup(D309,A:A,0,,,1)),"Non-PDL")</f>
        <v>HULIO (adalimumab-fkjp)</v>
      </c>
      <c r="F309" t="str">
        <f t="shared" si="8"/>
        <v>Non-Preferred</v>
      </c>
      <c r="G309" s="1" cm="1">
        <f t="array" ref="G309">FuzzyPercent(D309,E309,1)</f>
        <v>0.36363637447357178</v>
      </c>
      <c r="H309" t="str">
        <f t="shared" si="9"/>
        <v>CHECK</v>
      </c>
    </row>
    <row r="310" spans="1:8" x14ac:dyDescent="0.2">
      <c r="A310" t="s">
        <v>616</v>
      </c>
      <c r="B310" t="s">
        <v>0</v>
      </c>
      <c r="D310" t="s">
        <v>2426</v>
      </c>
      <c r="E310" t="str" cm="1">
        <f t="array" ref="E310">IF(COUNTIF(A:A, "*" &amp; LEFT(D310, FIND(" ", D310 &amp; " ") - 1) &amp; "*") &gt; 0,INDEX(A:A,FuzzyVLookup(D310,A:A,0,,,1)),"Non-PDL")</f>
        <v>HUMALOG (insulin lispro)</v>
      </c>
      <c r="F310" t="str">
        <f t="shared" si="8"/>
        <v>Non-Preferred</v>
      </c>
      <c r="G310" s="1" cm="1">
        <f t="array" ref="G310">FuzzyPercent(D310,E310,1)</f>
        <v>0.52777779102325439</v>
      </c>
      <c r="H310" t="str">
        <f t="shared" si="9"/>
        <v/>
      </c>
    </row>
    <row r="311" spans="1:8" x14ac:dyDescent="0.2">
      <c r="A311" t="s">
        <v>618</v>
      </c>
      <c r="B311" t="s">
        <v>0</v>
      </c>
      <c r="D311" t="s">
        <v>2427</v>
      </c>
      <c r="E311" t="str" cm="1">
        <f t="array" ref="E311">IF(COUNTIF(A:A, "*" &amp; LEFT(D311, FIND(" ", D311 &amp; " ") - 1) &amp; "*") &gt; 0,INDEX(A:A,FuzzyVLookup(D311,A:A,0,,,1)),"Non-PDL")</f>
        <v>HUMALOG JUNIOR, KWIKPEN, TEMPO PEN (insulin lispro)</v>
      </c>
      <c r="F311" t="str">
        <f t="shared" si="8"/>
        <v>Non-Preferred</v>
      </c>
      <c r="G311" s="1" cm="1">
        <f t="array" ref="G311">FuzzyPercent(D311,E311,1)</f>
        <v>0.50684928894042969</v>
      </c>
      <c r="H311" t="str">
        <f t="shared" si="9"/>
        <v/>
      </c>
    </row>
    <row r="312" spans="1:8" x14ac:dyDescent="0.2">
      <c r="A312" t="s">
        <v>620</v>
      </c>
      <c r="B312" t="s">
        <v>0</v>
      </c>
      <c r="D312" t="s">
        <v>2428</v>
      </c>
      <c r="E312" t="str" cm="1">
        <f t="array" ref="E312">IF(COUNTIF(A:A, "*" &amp; LEFT(D312, FIND(" ", D312 &amp; " ") - 1) &amp; "*") &gt; 0,INDEX(A:A,FuzzyVLookup(D312,A:A,0,,,1)),"Non-PDL")</f>
        <v>HUMALOG (insulin lispro)</v>
      </c>
      <c r="F312" t="str">
        <f t="shared" si="8"/>
        <v>Non-Preferred</v>
      </c>
      <c r="G312" s="1" cm="1">
        <f t="array" ref="G312">FuzzyPercent(D312,E312,1)</f>
        <v>0.43478259444236755</v>
      </c>
      <c r="H312" t="str">
        <f t="shared" si="9"/>
        <v/>
      </c>
    </row>
    <row r="313" spans="1:8" x14ac:dyDescent="0.2">
      <c r="A313" t="s">
        <v>622</v>
      </c>
      <c r="B313" t="s">
        <v>0</v>
      </c>
      <c r="D313" t="s">
        <v>2429</v>
      </c>
      <c r="E313" t="str" cm="1">
        <f t="array" ref="E313">IF(COUNTIF(A:A, "*" &amp; LEFT(D313, FIND(" ", D313 &amp; " ") - 1) &amp; "*") &gt; 0,INDEX(A:A,FuzzyVLookup(D313,A:A,0,,,1)),"Non-PDL")</f>
        <v>HUMATE-P</v>
      </c>
      <c r="F313" t="str">
        <f t="shared" si="8"/>
        <v>Preferred</v>
      </c>
      <c r="G313" s="1" cm="1">
        <f t="array" ref="G313">FuzzyPercent(D313,E313,1)</f>
        <v>0.66666668653488159</v>
      </c>
      <c r="H313" t="str">
        <f t="shared" si="9"/>
        <v/>
      </c>
    </row>
    <row r="314" spans="1:8" x14ac:dyDescent="0.2">
      <c r="A314" t="s">
        <v>624</v>
      </c>
      <c r="B314" t="s">
        <v>0</v>
      </c>
      <c r="D314" t="s">
        <v>2430</v>
      </c>
      <c r="E314" t="str" cm="1">
        <f t="array" ref="E314">IF(COUNTIF(A:A, "*" &amp; LEFT(D314, FIND(" ", D314 &amp; " ") - 1) &amp; "*") &gt; 0,INDEX(A:A,FuzzyVLookup(D314,A:A,0,,,1)),"Non-PDL")</f>
        <v>NOURIANZ (istradefylline)</v>
      </c>
      <c r="F314" t="str">
        <f t="shared" si="8"/>
        <v>Non-Preferred</v>
      </c>
      <c r="G314" s="1" cm="1">
        <f t="array" ref="G314">FuzzyPercent(D314,E314,1)</f>
        <v>0.36000001430511475</v>
      </c>
      <c r="H314" t="str">
        <f t="shared" si="9"/>
        <v>CHECK</v>
      </c>
    </row>
    <row r="315" spans="1:8" x14ac:dyDescent="0.2">
      <c r="A315" t="s">
        <v>626</v>
      </c>
      <c r="B315" t="s">
        <v>0</v>
      </c>
      <c r="D315" t="s">
        <v>2431</v>
      </c>
      <c r="E315" t="str" cm="1">
        <f t="array" ref="E315">IF(COUNTIF(A:A, "*" &amp; LEFT(D315, FIND(" ", D315 &amp; " ") - 1) &amp; "*") &gt; 0,INDEX(A:A,FuzzyVLookup(D315,A:A,0,,,1)),"Non-PDL")</f>
        <v>HUMIRA (adalimumab)</v>
      </c>
      <c r="F315" t="str">
        <f t="shared" si="8"/>
        <v>Preferred</v>
      </c>
      <c r="G315" s="1" cm="1">
        <f t="array" ref="G315">FuzzyPercent(D315,E315,1)</f>
        <v>0.52941179275512695</v>
      </c>
      <c r="H315" t="str">
        <f t="shared" si="9"/>
        <v/>
      </c>
    </row>
    <row r="316" spans="1:8" x14ac:dyDescent="0.2">
      <c r="A316" t="s">
        <v>628</v>
      </c>
      <c r="B316" t="s">
        <v>0</v>
      </c>
      <c r="D316" t="s">
        <v>2432</v>
      </c>
      <c r="E316" t="str" cm="1">
        <f t="array" ref="E316">IF(COUNTIF(A:A, "*" &amp; LEFT(D316, FIND(" ", D316 &amp; " ") - 1) &amp; "*") &gt; 0,INDEX(A:A,FuzzyVLookup(D316,A:A,0,,,1)),"Non-PDL")</f>
        <v>Non-PDL</v>
      </c>
      <c r="F316" t="str">
        <f t="shared" si="8"/>
        <v>Non-PDL</v>
      </c>
      <c r="G316" s="1" cm="1">
        <f t="array" ref="G316">FuzzyPercent(D316,E316,1)</f>
        <v>0</v>
      </c>
      <c r="H316" t="str">
        <f t="shared" si="9"/>
        <v/>
      </c>
    </row>
    <row r="317" spans="1:8" x14ac:dyDescent="0.2">
      <c r="A317" t="s">
        <v>630</v>
      </c>
      <c r="B317" t="s">
        <v>0</v>
      </c>
      <c r="D317" t="s">
        <v>2433</v>
      </c>
      <c r="E317" t="str" cm="1">
        <f t="array" ref="E317">IF(COUNTIF(A:A, "*" &amp; LEFT(D317, FIND(" ", D317 &amp; " ") - 1) &amp; "*") &gt; 0,INDEX(A:A,FuzzyVLookup(D317,A:A,0,,,1)),"Non-PDL")</f>
        <v>Non-PDL</v>
      </c>
      <c r="F317" t="str">
        <f t="shared" si="8"/>
        <v>Non-PDL</v>
      </c>
      <c r="G317" s="1" cm="1">
        <f t="array" ref="G317">FuzzyPercent(D317,E317,1)</f>
        <v>0</v>
      </c>
      <c r="H317" t="str">
        <f t="shared" si="9"/>
        <v/>
      </c>
    </row>
    <row r="318" spans="1:8" x14ac:dyDescent="0.2">
      <c r="A318" t="s">
        <v>632</v>
      </c>
      <c r="B318" t="s">
        <v>0</v>
      </c>
      <c r="D318" t="s">
        <v>2434</v>
      </c>
      <c r="E318" t="str" cm="1">
        <f t="array" ref="E318">IF(COUNTIF(A:A, "*" &amp; LEFT(D318, FIND(" ", D318 &amp; " ") - 1) &amp; "*") &gt; 0,INDEX(A:A,FuzzyVLookup(D318,A:A,0,,,1)),"Non-PDL")</f>
        <v>HYRIMOZ (adalimumab-adaz)</v>
      </c>
      <c r="F318" t="str">
        <f t="shared" si="8"/>
        <v>Non-Preferred</v>
      </c>
      <c r="G318" s="1" cm="1">
        <f t="array" ref="G318">FuzzyPercent(D318,E318,1)</f>
        <v>0.44736841320991516</v>
      </c>
      <c r="H318" t="str">
        <f t="shared" si="9"/>
        <v/>
      </c>
    </row>
    <row r="319" spans="1:8" x14ac:dyDescent="0.2">
      <c r="A319" t="s">
        <v>634</v>
      </c>
      <c r="B319" t="s">
        <v>0</v>
      </c>
      <c r="D319" t="s">
        <v>2435</v>
      </c>
      <c r="E319" t="str" cm="1">
        <f t="array" ref="E319">IF(COUNTIF(A:A, "*" &amp; LEFT(D319, FIND(" ", D319 &amp; " ") - 1) &amp; "*") &gt; 0,INDEX(A:A,FuzzyVLookup(D319,A:A,0,,,1)),"Non-PDL")</f>
        <v>HYRIMOZ (adalimumab-adaz)</v>
      </c>
      <c r="F319" t="str">
        <f t="shared" si="8"/>
        <v>Non-Preferred</v>
      </c>
      <c r="G319" s="1" cm="1">
        <f t="array" ref="G319">FuzzyPercent(D319,E319,1)</f>
        <v>0.4375</v>
      </c>
      <c r="H319" t="str">
        <f t="shared" si="9"/>
        <v/>
      </c>
    </row>
    <row r="320" spans="1:8" x14ac:dyDescent="0.2">
      <c r="A320" t="s">
        <v>636</v>
      </c>
      <c r="B320" t="s">
        <v>0</v>
      </c>
      <c r="D320" t="s">
        <v>2436</v>
      </c>
      <c r="E320" t="str" cm="1">
        <f t="array" ref="E320">IF(COUNTIF(A:A, "*" &amp; LEFT(D320, FIND(" ", D320 &amp; " ") - 1) &amp; "*") &gt; 0,INDEX(A:A,FuzzyVLookup(D320,A:A,0,,,1)),"Non-PDL")</f>
        <v>IBRANCE (palbociclib)</v>
      </c>
      <c r="F320" t="str">
        <f t="shared" si="8"/>
        <v>Non-Preferred</v>
      </c>
      <c r="G320" s="1" cm="1">
        <f t="array" ref="G320">FuzzyPercent(D320,E320,1)</f>
        <v>0.5</v>
      </c>
      <c r="H320" t="str">
        <f t="shared" si="9"/>
        <v/>
      </c>
    </row>
    <row r="321" spans="1:8" x14ac:dyDescent="0.2">
      <c r="A321" t="s">
        <v>638</v>
      </c>
      <c r="B321" t="s">
        <v>0</v>
      </c>
      <c r="D321" t="s">
        <v>2437</v>
      </c>
      <c r="E321" t="str" cm="1">
        <f t="array" ref="E321">IF(COUNTIF(A:A, "*" &amp; LEFT(D321, FIND(" ", D321 &amp; " ") - 1) &amp; "*") &gt; 0,INDEX(A:A,FuzzyVLookup(D321,A:A,0,,,1)),"Non-PDL")</f>
        <v>ICLUSIG (ponatinib)</v>
      </c>
      <c r="F321" t="str">
        <f t="shared" si="8"/>
        <v>Preferred</v>
      </c>
      <c r="G321" s="1" cm="1">
        <f t="array" ref="G321">FuzzyPercent(D321,E321,1)</f>
        <v>0.53846156597137451</v>
      </c>
      <c r="H321" t="str">
        <f t="shared" si="9"/>
        <v/>
      </c>
    </row>
    <row r="322" spans="1:8" x14ac:dyDescent="0.2">
      <c r="A322" t="s">
        <v>640</v>
      </c>
      <c r="B322" t="s">
        <v>0</v>
      </c>
      <c r="D322" t="s">
        <v>2438</v>
      </c>
      <c r="E322" t="str" cm="1">
        <f t="array" ref="E322">IF(COUNTIF(A:A, "*" &amp; LEFT(D322, FIND(" ", D322 &amp; " ") - 1) &amp; "*") &gt; 0,INDEX(A:A,FuzzyVLookup(D322,A:A,0,,,1)),"Non-PDL")</f>
        <v>bacitracin</v>
      </c>
      <c r="F322" t="str">
        <f t="shared" si="8"/>
        <v>Non-Preferred</v>
      </c>
      <c r="G322" s="1" cm="1">
        <f t="array" ref="G322">FuzzyPercent(D322,E322,1)</f>
        <v>0.4375</v>
      </c>
      <c r="H322" t="str">
        <f t="shared" si="9"/>
        <v/>
      </c>
    </row>
    <row r="323" spans="1:8" x14ac:dyDescent="0.2">
      <c r="A323" t="s">
        <v>642</v>
      </c>
      <c r="B323" t="s">
        <v>0</v>
      </c>
      <c r="D323" t="s">
        <v>2439</v>
      </c>
      <c r="E323" t="str" cm="1">
        <f t="array" ref="E323">IF(COUNTIF(A:A, "*" &amp; LEFT(D323, FIND(" ", D323 &amp; " ") - 1) &amp; "*") &gt; 0,INDEX(A:A,FuzzyVLookup(D323,A:A,0,,,1)),"Non-PDL")</f>
        <v>IDELVION</v>
      </c>
      <c r="F323" t="str">
        <f t="shared" ref="F323:F386" si="10">_xlfn.IFNA(_xlfn.XLOOKUP(E323,A:A,B:B),"Non-PDL")</f>
        <v>Preferred</v>
      </c>
      <c r="G323" s="1" cm="1">
        <f t="array" ref="G323">FuzzyPercent(D323,E323,1)</f>
        <v>1</v>
      </c>
      <c r="H323" t="str">
        <f t="shared" ref="H323:H386" si="11">IF(F323="Non-PDL","",IF(G323&lt;0.4,"CHECK",""))</f>
        <v/>
      </c>
    </row>
    <row r="324" spans="1:8" x14ac:dyDescent="0.2">
      <c r="A324" t="s">
        <v>644</v>
      </c>
      <c r="B324" t="s">
        <v>0</v>
      </c>
      <c r="D324" t="s">
        <v>2440</v>
      </c>
      <c r="E324" t="str" cm="1">
        <f t="array" ref="E324">IF(COUNTIF(A:A, "*" &amp; LEFT(D324, FIND(" ", D324 &amp; " ") - 1) &amp; "*") &gt; 0,INDEX(A:A,FuzzyVLookup(D324,A:A,0,,,1)),"Non-PDL")</f>
        <v>Non-PDL</v>
      </c>
      <c r="F324" t="str">
        <f t="shared" si="10"/>
        <v>Non-PDL</v>
      </c>
      <c r="G324" s="1" cm="1">
        <f t="array" ref="G324">FuzzyPercent(D324,E324,1)</f>
        <v>0</v>
      </c>
      <c r="H324" t="str">
        <f t="shared" si="11"/>
        <v/>
      </c>
    </row>
    <row r="325" spans="1:8" x14ac:dyDescent="0.2">
      <c r="A325" t="s">
        <v>646</v>
      </c>
      <c r="B325" t="s">
        <v>0</v>
      </c>
      <c r="D325" t="s">
        <v>2441</v>
      </c>
      <c r="E325" t="str" cm="1">
        <f t="array" ref="E325">IF(COUNTIF(A:A, "*" &amp; LEFT(D325, FIND(" ", D325 &amp; " ") - 1) &amp; "*") &gt; 0,INDEX(A:A,FuzzyVLookup(D325,A:A,0,,,1)),"Non-PDL")</f>
        <v>WILATE</v>
      </c>
      <c r="F325" t="str">
        <f t="shared" si="10"/>
        <v>Preferred</v>
      </c>
      <c r="G325" s="1" cm="1">
        <f t="array" ref="G325">FuzzyPercent(D325,E325,1)</f>
        <v>0.5</v>
      </c>
      <c r="H325" t="str">
        <f t="shared" si="11"/>
        <v/>
      </c>
    </row>
    <row r="326" spans="1:8" x14ac:dyDescent="0.2">
      <c r="A326" t="s">
        <v>648</v>
      </c>
      <c r="B326" t="s">
        <v>0</v>
      </c>
      <c r="D326" t="s">
        <v>2442</v>
      </c>
      <c r="E326" t="str" cm="1">
        <f t="array" ref="E326">IF(COUNTIF(A:A, "*" &amp; LEFT(D326, FIND(" ", D326 &amp; " ") - 1) &amp; "*") &gt; 0,INDEX(A:A,FuzzyVLookup(D326,A:A,0,,,1)),"Non-PDL")</f>
        <v>TRILEPTAL (oxcarbazepine) suspension</v>
      </c>
      <c r="F326" t="str">
        <f t="shared" si="10"/>
        <v>Preferred</v>
      </c>
      <c r="G326" s="1" cm="1">
        <f t="array" ref="G326">FuzzyPercent(D326,E326,1)</f>
        <v>0.375</v>
      </c>
      <c r="H326" t="str">
        <f t="shared" si="11"/>
        <v>CHECK</v>
      </c>
    </row>
    <row r="327" spans="1:8" x14ac:dyDescent="0.2">
      <c r="A327" t="s">
        <v>650</v>
      </c>
      <c r="B327" t="s">
        <v>0</v>
      </c>
      <c r="D327" t="s">
        <v>2443</v>
      </c>
      <c r="E327" t="str" cm="1">
        <f t="array" ref="E327">IF(COUNTIF(A:A, "*" &amp; LEFT(D327, FIND(" ", D327 &amp; " ") - 1) &amp; "*") &gt; 0,INDEX(A:A,FuzzyVLookup(D327,A:A,0,,,1)),"Non-PDL")</f>
        <v>imatinib</v>
      </c>
      <c r="F327" t="str">
        <f t="shared" si="10"/>
        <v>Preferred</v>
      </c>
      <c r="G327" s="1" cm="1">
        <f t="array" ref="G327">FuzzyPercent(D327,E327,1)</f>
        <v>1</v>
      </c>
      <c r="H327" t="str">
        <f t="shared" si="11"/>
        <v/>
      </c>
    </row>
    <row r="328" spans="1:8" x14ac:dyDescent="0.2">
      <c r="A328" t="s">
        <v>652</v>
      </c>
      <c r="B328" t="s">
        <v>0</v>
      </c>
      <c r="D328" t="s">
        <v>2444</v>
      </c>
      <c r="E328" t="str" cm="1">
        <f t="array" ref="E328">IF(COUNTIF(A:A, "*" &amp; LEFT(D328, FIND(" ", D328 &amp; " ") - 1) &amp; "*") &gt; 0,INDEX(A:A,FuzzyVLookup(D328,A:A,0,,,1)),"Non-PDL")</f>
        <v>IMBRUVICA (ibrutinib)</v>
      </c>
      <c r="F328" t="str">
        <f t="shared" si="10"/>
        <v>Preferred</v>
      </c>
      <c r="G328" s="1" cm="1">
        <f t="array" ref="G328">FuzzyPercent(D328,E328,1)</f>
        <v>0.60000002384185791</v>
      </c>
      <c r="H328" t="str">
        <f t="shared" si="11"/>
        <v/>
      </c>
    </row>
    <row r="329" spans="1:8" x14ac:dyDescent="0.2">
      <c r="A329" t="s">
        <v>654</v>
      </c>
      <c r="B329" t="s">
        <v>0</v>
      </c>
      <c r="D329" t="s">
        <v>2445</v>
      </c>
      <c r="E329" t="str" cm="1">
        <f t="array" ref="E329">IF(COUNTIF(A:A, "*" &amp; LEFT(D329, FIND(" ", D329 &amp; " ") - 1) &amp; "*") &gt; 0,INDEX(A:A,FuzzyVLookup(D329,A:A,0,,,1)),"Non-PDL")</f>
        <v>Non-PDL</v>
      </c>
      <c r="F329" t="str">
        <f t="shared" si="10"/>
        <v>Non-PDL</v>
      </c>
      <c r="G329" s="1" cm="1">
        <f t="array" ref="G329">FuzzyPercent(D329,E329,1)</f>
        <v>0</v>
      </c>
      <c r="H329" t="str">
        <f t="shared" si="11"/>
        <v/>
      </c>
    </row>
    <row r="330" spans="1:8" x14ac:dyDescent="0.2">
      <c r="A330" t="s">
        <v>656</v>
      </c>
      <c r="B330" t="s">
        <v>0</v>
      </c>
      <c r="D330" t="s">
        <v>2446</v>
      </c>
      <c r="E330" t="str" cm="1">
        <f t="array" ref="E330">IF(COUNTIF(A:A, "*" &amp; LEFT(D330, FIND(" ", D330 &amp; " ") - 1) &amp; "*") &gt; 0,INDEX(A:A,FuzzyVLookup(D330,A:A,0,,,1)),"Non-PDL")</f>
        <v>Non-PDL</v>
      </c>
      <c r="F330" t="str">
        <f t="shared" si="10"/>
        <v>Non-PDL</v>
      </c>
      <c r="G330" s="1" cm="1">
        <f t="array" ref="G330">FuzzyPercent(D330,E330,1)</f>
        <v>7.6923079788684845E-2</v>
      </c>
      <c r="H330" t="str">
        <f t="shared" si="11"/>
        <v/>
      </c>
    </row>
    <row r="331" spans="1:8" x14ac:dyDescent="0.2">
      <c r="A331" t="s">
        <v>658</v>
      </c>
      <c r="B331" t="s">
        <v>0</v>
      </c>
      <c r="D331" t="s">
        <v>2447</v>
      </c>
      <c r="E331" t="str" cm="1">
        <f t="array" ref="E331">IF(COUNTIF(A:A, "*" &amp; LEFT(D331, FIND(" ", D331 &amp; " ") - 1) &amp; "*") &gt; 0,INDEX(A:A,FuzzyVLookup(D331,A:A,0,,,1)),"Non-PDL")</f>
        <v>INGREZZA (valbenazine)</v>
      </c>
      <c r="F331" t="str">
        <f t="shared" si="10"/>
        <v>Preferred</v>
      </c>
      <c r="G331" s="1" cm="1">
        <f t="array" ref="G331">FuzzyPercent(D331,E331,1)</f>
        <v>0.53333336114883423</v>
      </c>
      <c r="H331" t="str">
        <f t="shared" si="11"/>
        <v/>
      </c>
    </row>
    <row r="332" spans="1:8" x14ac:dyDescent="0.2">
      <c r="A332" t="s">
        <v>660</v>
      </c>
      <c r="B332" t="s">
        <v>0</v>
      </c>
      <c r="D332" t="s">
        <v>2448</v>
      </c>
      <c r="E332" t="str" cm="1">
        <f t="array" ref="E332">IF(COUNTIF(A:A, "*" &amp; LEFT(D332, FIND(" ", D332 &amp; " ") - 1) &amp; "*") &gt; 0,INDEX(A:A,FuzzyVLookup(D332,A:A,0,,,1)),"Non-PDL")</f>
        <v>INGREZZA SPRINKLE (valbenazine)</v>
      </c>
      <c r="F332" t="str">
        <f t="shared" si="10"/>
        <v>Preferred</v>
      </c>
      <c r="G332" s="1" cm="1">
        <f t="array" ref="G332">FuzzyPercent(D332,E332,1)</f>
        <v>0.67857140302658081</v>
      </c>
      <c r="H332" t="str">
        <f t="shared" si="11"/>
        <v/>
      </c>
    </row>
    <row r="333" spans="1:8" x14ac:dyDescent="0.2">
      <c r="A333" t="s">
        <v>662</v>
      </c>
      <c r="B333" t="s">
        <v>0</v>
      </c>
      <c r="D333" t="s">
        <v>2449</v>
      </c>
      <c r="E333" t="str" cm="1">
        <f t="array" ref="E333">IF(COUNTIF(A:A, "*" &amp; LEFT(D333, FIND(" ", D333 &amp; " ") - 1) &amp; "*") &gt; 0,INDEX(A:A,FuzzyVLookup(D333,A:A,0,,,1)),"Non-PDL")</f>
        <v>INGREZZA (valbenazine)</v>
      </c>
      <c r="F333" t="str">
        <f t="shared" si="10"/>
        <v>Preferred</v>
      </c>
      <c r="G333" s="1" cm="1">
        <f t="array" ref="G333">FuzzyPercent(D333,E333,1)</f>
        <v>0.47826087474822998</v>
      </c>
      <c r="H333" t="str">
        <f t="shared" si="11"/>
        <v/>
      </c>
    </row>
    <row r="334" spans="1:8" x14ac:dyDescent="0.2">
      <c r="A334" t="s">
        <v>664</v>
      </c>
      <c r="B334" t="s">
        <v>0</v>
      </c>
      <c r="D334" t="s">
        <v>2450</v>
      </c>
      <c r="E334" t="str" cm="1">
        <f t="array" ref="E334">IF(COUNTIF(A:A, "*" &amp; LEFT(D334, FIND(" ", D334 &amp; " ") - 1) &amp; "*") &gt; 0,INDEX(A:A,FuzzyVLookup(D334,A:A,0,,,1)),"Non-PDL")</f>
        <v>insulin glargine-yfgn</v>
      </c>
      <c r="F334" t="str">
        <f t="shared" si="10"/>
        <v>Non-Preferred</v>
      </c>
      <c r="G334" s="1" cm="1">
        <f t="array" ref="G334">FuzzyPercent(D334,E334,1)</f>
        <v>0.86486488580703735</v>
      </c>
      <c r="H334" t="str">
        <f t="shared" si="11"/>
        <v/>
      </c>
    </row>
    <row r="335" spans="1:8" x14ac:dyDescent="0.2">
      <c r="A335" t="s">
        <v>665</v>
      </c>
      <c r="B335" t="s">
        <v>0</v>
      </c>
      <c r="D335" t="s">
        <v>2451</v>
      </c>
      <c r="E335" t="str" cm="1">
        <f t="array" ref="E335">IF(COUNTIF(A:A, "*" &amp; LEFT(D335, FIND(" ", D335 &amp; " ") - 1) &amp; "*") &gt; 0,INDEX(A:A,FuzzyVLookup(D335,A:A,0,,,1)),"Non-PDL")</f>
        <v>insulin lispro</v>
      </c>
      <c r="F335" t="str">
        <f t="shared" si="10"/>
        <v>Preferred</v>
      </c>
      <c r="G335" s="1" cm="1">
        <f t="array" ref="G335">FuzzyPercent(D335,E335,1)</f>
        <v>1</v>
      </c>
      <c r="H335" t="str">
        <f t="shared" si="11"/>
        <v/>
      </c>
    </row>
    <row r="336" spans="1:8" x14ac:dyDescent="0.2">
      <c r="A336" t="s">
        <v>667</v>
      </c>
      <c r="B336" t="s">
        <v>0</v>
      </c>
      <c r="D336" t="s">
        <v>2452</v>
      </c>
      <c r="E336" t="str" cm="1">
        <f t="array" ref="E336">IF(COUNTIF(A:A, "*" &amp; LEFT(D336, FIND(" ", D336 &amp; " ") - 1) &amp; "*") &gt; 0,INDEX(A:A,FuzzyVLookup(D336,A:A,0,,,1)),"Non-PDL")</f>
        <v>INVEGA (paliperidone)</v>
      </c>
      <c r="F336" t="str">
        <f t="shared" si="10"/>
        <v>Non-Preferred</v>
      </c>
      <c r="G336" s="1" cm="1">
        <f t="array" ref="G336">FuzzyPercent(D336,E336,1)</f>
        <v>0.46666666865348816</v>
      </c>
      <c r="H336" t="str">
        <f t="shared" si="11"/>
        <v/>
      </c>
    </row>
    <row r="337" spans="1:8" x14ac:dyDescent="0.2">
      <c r="A337" t="s">
        <v>668</v>
      </c>
      <c r="B337" t="s">
        <v>0</v>
      </c>
      <c r="D337" t="s">
        <v>2453</v>
      </c>
      <c r="E337" t="str" cm="1">
        <f t="array" ref="E337">IF(COUNTIF(A:A, "*" &amp; LEFT(D337, FIND(" ", D337 &amp; " ") - 1) &amp; "*") &gt; 0,INDEX(A:A,FuzzyVLookup(D337,A:A,0,,,1)),"Non-PDL")</f>
        <v>INVEGA HAFYERA (paliperidone)</v>
      </c>
      <c r="F337" t="str">
        <f t="shared" si="10"/>
        <v>Preferred</v>
      </c>
      <c r="G337" s="1" cm="1">
        <f t="array" ref="G337">FuzzyPercent(D337,E337,1)</f>
        <v>0.65116280317306519</v>
      </c>
      <c r="H337" t="str">
        <f t="shared" si="11"/>
        <v/>
      </c>
    </row>
    <row r="338" spans="1:8" x14ac:dyDescent="0.2">
      <c r="A338" t="s">
        <v>670</v>
      </c>
      <c r="B338" t="s">
        <v>0</v>
      </c>
      <c r="D338" t="s">
        <v>2454</v>
      </c>
      <c r="E338" t="str" cm="1">
        <f t="array" ref="E338">IF(COUNTIF(A:A, "*" &amp; LEFT(D338, FIND(" ", D338 &amp; " ") - 1) &amp; "*") &gt; 0,INDEX(A:A,FuzzyVLookup(D338,A:A,0,,,1)),"Non-PDL")</f>
        <v>INVEGA SUSTENNA (paliperidone palmitate)</v>
      </c>
      <c r="F338" t="str">
        <f t="shared" si="10"/>
        <v>Preferred</v>
      </c>
      <c r="G338" s="1" cm="1">
        <f t="array" ref="G338">FuzzyPercent(D338,E338,1)</f>
        <v>0.54545456171035767</v>
      </c>
      <c r="H338" t="str">
        <f t="shared" si="11"/>
        <v/>
      </c>
    </row>
    <row r="339" spans="1:8" x14ac:dyDescent="0.2">
      <c r="A339" t="s">
        <v>672</v>
      </c>
      <c r="B339" t="s">
        <v>0</v>
      </c>
      <c r="D339" t="s">
        <v>2455</v>
      </c>
      <c r="E339" t="str" cm="1">
        <f t="array" ref="E339">IF(COUNTIF(A:A, "*" &amp; LEFT(D339, FIND(" ", D339 &amp; " ") - 1) &amp; "*") &gt; 0,INDEX(A:A,FuzzyVLookup(D339,A:A,0,,,1)),"Non-PDL")</f>
        <v>INVEGA TRINZA (paliperidone)</v>
      </c>
      <c r="F339" t="str">
        <f t="shared" si="10"/>
        <v>Preferred</v>
      </c>
      <c r="G339" s="1" cm="1">
        <f t="array" ref="G339">FuzzyPercent(D339,E339,1)</f>
        <v>0.63414633274078369</v>
      </c>
      <c r="H339" t="str">
        <f t="shared" si="11"/>
        <v/>
      </c>
    </row>
    <row r="340" spans="1:8" x14ac:dyDescent="0.2">
      <c r="A340" t="s">
        <v>674</v>
      </c>
      <c r="B340" t="s">
        <v>0</v>
      </c>
      <c r="D340" t="s">
        <v>2456</v>
      </c>
      <c r="E340" t="str" cm="1">
        <f t="array" ref="E340">IF(COUNTIF(A:A, "*" &amp; LEFT(D340, FIND(" ", D340 &amp; " ") - 1) &amp; "*") &gt; 0,INDEX(A:A,FuzzyVLookup(D340,A:A,0,,,1)),"Non-PDL")</f>
        <v>triazolam</v>
      </c>
      <c r="F340" t="str">
        <f t="shared" si="10"/>
        <v>Preferred</v>
      </c>
      <c r="G340" s="1" cm="1">
        <f t="array" ref="G340">FuzzyPercent(D340,E340,1)</f>
        <v>0.4444444477558136</v>
      </c>
      <c r="H340" t="str">
        <f t="shared" si="11"/>
        <v/>
      </c>
    </row>
    <row r="341" spans="1:8" x14ac:dyDescent="0.2">
      <c r="A341" t="s">
        <v>676</v>
      </c>
      <c r="B341" t="s">
        <v>0</v>
      </c>
      <c r="D341" t="s">
        <v>2457</v>
      </c>
      <c r="E341" t="str" cm="1">
        <f t="array" ref="E341">IF(COUNTIF(A:A, "*" &amp; LEFT(D341, FIND(" ", D341 &amp; " ") - 1) &amp; "*") &gt; 0,INDEX(A:A,FuzzyVLookup(D341,A:A,0,,,1)),"Non-PDL")</f>
        <v>INVOKANA (canagliflozin)</v>
      </c>
      <c r="F341" t="str">
        <f t="shared" si="10"/>
        <v>Non-Preferred</v>
      </c>
      <c r="G341" s="1" cm="1">
        <f t="array" ref="G341">FuzzyPercent(D341,E341,1)</f>
        <v>0.5</v>
      </c>
      <c r="H341" t="str">
        <f t="shared" si="11"/>
        <v/>
      </c>
    </row>
    <row r="342" spans="1:8" x14ac:dyDescent="0.2">
      <c r="A342" t="s">
        <v>678</v>
      </c>
      <c r="B342" t="s">
        <v>0</v>
      </c>
      <c r="D342" t="s">
        <v>2458</v>
      </c>
      <c r="E342" t="str" cm="1">
        <f t="array" ref="E342">IF(COUNTIF(A:A, "*" &amp; LEFT(D342, FIND(" ", D342 &amp; " ") - 1) &amp; "*") &gt; 0,INDEX(A:A,FuzzyVLookup(D342,A:A,0,,,1)),"Non-PDL")</f>
        <v>Non-PDL</v>
      </c>
      <c r="F342" t="str">
        <f t="shared" si="10"/>
        <v>Non-PDL</v>
      </c>
      <c r="G342" s="1" cm="1">
        <f t="array" ref="G342">FuzzyPercent(D342,E342,1)</f>
        <v>7.1428574621677399E-2</v>
      </c>
      <c r="H342" t="str">
        <f t="shared" si="11"/>
        <v/>
      </c>
    </row>
    <row r="343" spans="1:8" x14ac:dyDescent="0.2">
      <c r="A343" t="s">
        <v>679</v>
      </c>
      <c r="B343" t="s">
        <v>0</v>
      </c>
      <c r="D343" t="s">
        <v>2459</v>
      </c>
      <c r="E343" t="str" cm="1">
        <f t="array" ref="E343">IF(COUNTIF(A:A, "*" &amp; LEFT(D343, FIND(" ", D343 &amp; " ") - 1) &amp; "*") &gt; 0,INDEX(A:A,FuzzyVLookup(D343,A:A,0,,,1)),"Non-PDL")</f>
        <v>ipratropium/albuterol</v>
      </c>
      <c r="F343" t="str">
        <f t="shared" si="10"/>
        <v>Preferred</v>
      </c>
      <c r="G343" s="1" cm="1">
        <f t="array" ref="G343">FuzzyPercent(D343,E343,1)</f>
        <v>0.52499997615814209</v>
      </c>
      <c r="H343" t="str">
        <f t="shared" si="11"/>
        <v/>
      </c>
    </row>
    <row r="344" spans="1:8" x14ac:dyDescent="0.2">
      <c r="A344" t="s">
        <v>681</v>
      </c>
      <c r="B344" t="s">
        <v>0</v>
      </c>
      <c r="D344" t="s">
        <v>2460</v>
      </c>
      <c r="E344" t="str" cm="1">
        <f t="array" ref="E344">IF(COUNTIF(A:A, "*" &amp; LEFT(D344, FIND(" ", D344 &amp; " ") - 1) &amp; "*") &gt; 0,INDEX(A:A,FuzzyVLookup(D344,A:A,0,,,1)),"Non-PDL")</f>
        <v>IQIRVO (elafibranor)</v>
      </c>
      <c r="F344" t="str">
        <f t="shared" si="10"/>
        <v>Non-Preferred</v>
      </c>
      <c r="G344" s="1" cm="1">
        <f t="array" ref="G344">FuzzyPercent(D344,E344,1)</f>
        <v>0.74074071645736694</v>
      </c>
      <c r="H344" t="str">
        <f t="shared" si="11"/>
        <v/>
      </c>
    </row>
    <row r="345" spans="1:8" x14ac:dyDescent="0.2">
      <c r="A345" t="s">
        <v>683</v>
      </c>
      <c r="B345" t="s">
        <v>0</v>
      </c>
      <c r="D345" t="s">
        <v>2461</v>
      </c>
      <c r="E345" t="str" cm="1">
        <f t="array" ref="E345">IF(COUNTIF(A:A, "*" &amp; LEFT(D345, FIND(" ", D345 &amp; " ") - 1) &amp; "*") &gt; 0,INDEX(A:A,FuzzyVLookup(D345,A:A,0,,,1)),"Non-PDL")</f>
        <v>irbesartan</v>
      </c>
      <c r="F345" t="str">
        <f t="shared" si="10"/>
        <v>Preferred</v>
      </c>
      <c r="G345" s="1" cm="1">
        <f t="array" ref="G345">FuzzyPercent(D345,E345,1)</f>
        <v>1</v>
      </c>
      <c r="H345" t="str">
        <f t="shared" si="11"/>
        <v/>
      </c>
    </row>
    <row r="346" spans="1:8" x14ac:dyDescent="0.2">
      <c r="A346" t="s">
        <v>685</v>
      </c>
      <c r="B346" t="s">
        <v>0</v>
      </c>
      <c r="D346" t="s">
        <v>2462</v>
      </c>
      <c r="E346" t="str" cm="1">
        <f t="array" ref="E346">IF(COUNTIF(A:A, "*" &amp; LEFT(D346, FIND(" ", D346 &amp; " ") - 1) &amp; "*") &gt; 0,INDEX(A:A,FuzzyVLookup(D346,A:A,0,,,1)),"Non-PDL")</f>
        <v>IWILFIN (eflornithine)</v>
      </c>
      <c r="F346" t="str">
        <f t="shared" si="10"/>
        <v>Non-Preferred</v>
      </c>
      <c r="G346" s="1" cm="1">
        <f t="array" ref="G346">FuzzyPercent(D346,E346,1)</f>
        <v>0.48275861144065857</v>
      </c>
      <c r="H346" t="str">
        <f t="shared" si="11"/>
        <v/>
      </c>
    </row>
    <row r="347" spans="1:8" x14ac:dyDescent="0.2">
      <c r="A347" t="s">
        <v>687</v>
      </c>
      <c r="B347" t="s">
        <v>0</v>
      </c>
      <c r="D347" t="s">
        <v>2463</v>
      </c>
      <c r="E347" t="str" cm="1">
        <f t="array" ref="E347">IF(COUNTIF(A:A, "*" &amp; LEFT(D347, FIND(" ", D347 &amp; " ") - 1) &amp; "*") &gt; 0,INDEX(A:A,FuzzyVLookup(D347,A:A,0,,,1)),"Non-PDL")</f>
        <v>IXINITY</v>
      </c>
      <c r="F347" t="str">
        <f t="shared" si="10"/>
        <v>Preferred</v>
      </c>
      <c r="G347" s="1" cm="1">
        <f t="array" ref="G347">FuzzyPercent(D347,E347,1)</f>
        <v>1</v>
      </c>
      <c r="H347" t="str">
        <f t="shared" si="11"/>
        <v/>
      </c>
    </row>
    <row r="348" spans="1:8" x14ac:dyDescent="0.2">
      <c r="A348" t="s">
        <v>689</v>
      </c>
      <c r="B348" t="s">
        <v>0</v>
      </c>
      <c r="D348" t="s">
        <v>2464</v>
      </c>
      <c r="E348" t="str" cm="1">
        <f t="array" ref="E348">IF(COUNTIF(A:A, "*" &amp; LEFT(D348, FIND(" ", D348 &amp; " ") - 1) &amp; "*") &gt; 0,INDEX(A:A,FuzzyVLookup(D348,A:A,0,,,1)),"Non-PDL")</f>
        <v>Non-PDL</v>
      </c>
      <c r="F348" t="str">
        <f t="shared" si="10"/>
        <v>Non-PDL</v>
      </c>
      <c r="G348" s="1" cm="1">
        <f t="array" ref="G348">FuzzyPercent(D348,E348,1)</f>
        <v>0</v>
      </c>
      <c r="H348" t="str">
        <f t="shared" si="11"/>
        <v/>
      </c>
    </row>
    <row r="349" spans="1:8" x14ac:dyDescent="0.2">
      <c r="A349" t="s">
        <v>690</v>
      </c>
      <c r="B349" t="s">
        <v>0</v>
      </c>
      <c r="D349" t="s">
        <v>2465</v>
      </c>
      <c r="E349" t="str" cm="1">
        <f t="array" ref="E349">IF(COUNTIF(A:A, "*" &amp; LEFT(D349, FIND(" ", D349 &amp; " ") - 1) &amp; "*") &gt; 0,INDEX(A:A,FuzzyVLookup(D349,A:A,0,,,1)),"Non-PDL")</f>
        <v>JAKAFI (ruxolitinib)</v>
      </c>
      <c r="F349" t="str">
        <f t="shared" si="10"/>
        <v>Preferred</v>
      </c>
      <c r="G349" s="1" cm="1">
        <f t="array" ref="G349">FuzzyPercent(D349,E349,1)</f>
        <v>0.46153846383094788</v>
      </c>
      <c r="H349" t="str">
        <f t="shared" si="11"/>
        <v/>
      </c>
    </row>
    <row r="350" spans="1:8" x14ac:dyDescent="0.2">
      <c r="A350" t="s">
        <v>692</v>
      </c>
      <c r="B350" t="s">
        <v>0</v>
      </c>
      <c r="D350" t="s">
        <v>2466</v>
      </c>
      <c r="E350" t="str" cm="1">
        <f t="array" ref="E350">IF(COUNTIF(A:A, "*" &amp; LEFT(D350, FIND(" ", D350 &amp; " ") - 1) &amp; "*") &gt; 0,INDEX(A:A,FuzzyVLookup(D350,A:A,0,,,1)),"Non-PDL")</f>
        <v>tasimelteon</v>
      </c>
      <c r="F350" t="str">
        <f t="shared" si="10"/>
        <v>Non-Preferred</v>
      </c>
      <c r="G350" s="1" cm="1">
        <f t="array" ref="G350">FuzzyPercent(D350,E350,1)</f>
        <v>0.3888888955116272</v>
      </c>
      <c r="H350" t="str">
        <f t="shared" si="11"/>
        <v>CHECK</v>
      </c>
    </row>
    <row r="351" spans="1:8" x14ac:dyDescent="0.2">
      <c r="A351" t="s">
        <v>694</v>
      </c>
      <c r="B351" t="s">
        <v>0</v>
      </c>
      <c r="D351" t="s">
        <v>2467</v>
      </c>
      <c r="E351" t="str" cm="1">
        <f t="array" ref="E351">IF(COUNTIF(A:A, "*" &amp; LEFT(D351, FIND(" ", D351 &amp; " ") - 1) &amp; "*") &gt; 0,INDEX(A:A,FuzzyVLookup(D351,A:A,0,,,1)),"Non-PDL")</f>
        <v>JANUVIA (sitagliptin)</v>
      </c>
      <c r="F351" t="str">
        <f t="shared" si="10"/>
        <v>Preferred</v>
      </c>
      <c r="G351" s="1" cm="1">
        <f t="array" ref="G351">FuzzyPercent(D351,E351,1)</f>
        <v>0.5</v>
      </c>
      <c r="H351" t="str">
        <f t="shared" si="11"/>
        <v/>
      </c>
    </row>
    <row r="352" spans="1:8" x14ac:dyDescent="0.2">
      <c r="A352" t="s">
        <v>696</v>
      </c>
      <c r="B352" t="s">
        <v>0</v>
      </c>
      <c r="D352" t="s">
        <v>2468</v>
      </c>
      <c r="E352" t="str" cm="1">
        <f t="array" ref="E352">IF(COUNTIF(A:A, "*" &amp; LEFT(D352, FIND(" ", D352 &amp; " ") - 1) &amp; "*") &gt; 0,INDEX(A:A,FuzzyVLookup(D352,A:A,0,,,1)),"Non-PDL")</f>
        <v>JARDIANCE (empagliflozin)</v>
      </c>
      <c r="F352" t="str">
        <f t="shared" si="10"/>
        <v>Preferred</v>
      </c>
      <c r="G352" s="1" cm="1">
        <f t="array" ref="G352">FuzzyPercent(D352,E352,1)</f>
        <v>0.52941179275512695</v>
      </c>
      <c r="H352" t="str">
        <f t="shared" si="11"/>
        <v/>
      </c>
    </row>
    <row r="353" spans="1:8" x14ac:dyDescent="0.2">
      <c r="A353" t="s">
        <v>698</v>
      </c>
      <c r="B353" t="s">
        <v>0</v>
      </c>
      <c r="D353" t="s">
        <v>2469</v>
      </c>
      <c r="E353" t="str" cm="1">
        <f t="array" ref="E353">IF(COUNTIF(A:A, "*" &amp; LEFT(D353, FIND(" ", D353 &amp; " ") - 1) &amp; "*") &gt; 0,INDEX(A:A,FuzzyVLookup(D353,A:A,0,,,1)),"Non-PDL")</f>
        <v>Non-PDL</v>
      </c>
      <c r="F353" t="str">
        <f t="shared" si="10"/>
        <v>Non-PDL</v>
      </c>
      <c r="G353" s="1" cm="1">
        <f t="array" ref="G353">FuzzyPercent(D353,E353,1)</f>
        <v>0</v>
      </c>
      <c r="H353" t="str">
        <f t="shared" si="11"/>
        <v/>
      </c>
    </row>
    <row r="354" spans="1:8" x14ac:dyDescent="0.2">
      <c r="A354" t="s">
        <v>700</v>
      </c>
      <c r="B354" t="s">
        <v>0</v>
      </c>
      <c r="D354" t="s">
        <v>2470</v>
      </c>
      <c r="E354" t="str" cm="1">
        <f t="array" ref="E354">IF(COUNTIF(A:A, "*" &amp; LEFT(D354, FIND(" ", D354 &amp; " ") - 1) &amp; "*") &gt; 0,INDEX(A:A,FuzzyVLookup(D354,A:A,0,,,1)),"Non-PDL")</f>
        <v>JIVI</v>
      </c>
      <c r="F354" t="str">
        <f t="shared" si="10"/>
        <v>Non-Preferred</v>
      </c>
      <c r="G354" s="1" cm="1">
        <f t="array" ref="G354">FuzzyPercent(D354,E354,1)</f>
        <v>1</v>
      </c>
      <c r="H354" t="str">
        <f t="shared" si="11"/>
        <v/>
      </c>
    </row>
    <row r="355" spans="1:8" x14ac:dyDescent="0.2">
      <c r="A355" t="s">
        <v>702</v>
      </c>
      <c r="B355" t="s">
        <v>0</v>
      </c>
      <c r="D355" t="s">
        <v>2471</v>
      </c>
      <c r="E355" t="str" cm="1">
        <f t="array" ref="E355">IF(COUNTIF(A:A, "*" &amp; LEFT(D355, FIND(" ", D355 &amp; " ") - 1) &amp; "*") &gt; 0,INDEX(A:A,FuzzyVLookup(D355,A:A,0,,,1)),"Non-PDL")</f>
        <v>Non-PDL</v>
      </c>
      <c r="F355" t="str">
        <f t="shared" si="10"/>
        <v>Non-PDL</v>
      </c>
      <c r="G355" s="1" cm="1">
        <f t="array" ref="G355">FuzzyPercent(D355,E355,1)</f>
        <v>0.15384615957736969</v>
      </c>
      <c r="H355" t="str">
        <f t="shared" si="11"/>
        <v/>
      </c>
    </row>
    <row r="356" spans="1:8" x14ac:dyDescent="0.2">
      <c r="A356" t="s">
        <v>704</v>
      </c>
      <c r="B356" t="s">
        <v>0</v>
      </c>
      <c r="D356" t="s">
        <v>2472</v>
      </c>
      <c r="E356" t="str" cm="1">
        <f t="array" ref="E356">IF(COUNTIF(A:A, "*" &amp; LEFT(D356, FIND(" ", D356 &amp; " ") - 1) &amp; "*") &gt; 0,INDEX(A:A,FuzzyVLookup(D356,A:A,0,,,1)),"Non-PDL")</f>
        <v>JORNAY PM (methylphenidate)</v>
      </c>
      <c r="F356" t="str">
        <f t="shared" si="10"/>
        <v>Non-Preferred</v>
      </c>
      <c r="G356" s="1" cm="1">
        <f t="array" ref="G356">FuzzyPercent(D356,E356,1)</f>
        <v>0.5</v>
      </c>
      <c r="H356" t="str">
        <f t="shared" si="11"/>
        <v/>
      </c>
    </row>
    <row r="357" spans="1:8" x14ac:dyDescent="0.2">
      <c r="A357" t="s">
        <v>706</v>
      </c>
      <c r="B357" t="s">
        <v>0</v>
      </c>
      <c r="D357" t="s">
        <v>2473</v>
      </c>
      <c r="E357" t="str" cm="1">
        <f t="array" ref="E357">IF(COUNTIF(A:A, "*" &amp; LEFT(D357, FIND(" ", D357 &amp; " ") - 1) &amp; "*") &gt; 0,INDEX(A:A,FuzzyVLookup(D357,A:A,0,,,1)),"Non-PDL")</f>
        <v>KALYDECO (ivacaftor)</v>
      </c>
      <c r="F357" t="str">
        <f t="shared" si="10"/>
        <v>Non-Preferred</v>
      </c>
      <c r="G357" s="1" cm="1">
        <f t="array" ref="G357">FuzzyPercent(D357,E357,1)</f>
        <v>0.57142859697341919</v>
      </c>
      <c r="H357" t="str">
        <f t="shared" si="11"/>
        <v/>
      </c>
    </row>
    <row r="358" spans="1:8" x14ac:dyDescent="0.2">
      <c r="A358" t="s">
        <v>708</v>
      </c>
      <c r="B358" t="s">
        <v>0</v>
      </c>
      <c r="D358" t="s">
        <v>2474</v>
      </c>
      <c r="E358" t="str" cm="1">
        <f t="array" ref="E358">IF(COUNTIF(A:A, "*" &amp; LEFT(D358, FIND(" ", D358 &amp; " ") - 1) &amp; "*") &gt; 0,INDEX(A:A,FuzzyVLookup(D358,A:A,0,,,1)),"Non-PDL")</f>
        <v>clindamycin solution</v>
      </c>
      <c r="F358" t="str">
        <f t="shared" si="10"/>
        <v>Preferred</v>
      </c>
      <c r="G358" s="1" cm="1">
        <f t="array" ref="G358">FuzzyPercent(D358,E358,1)</f>
        <v>0.5</v>
      </c>
      <c r="H358" t="str">
        <f t="shared" si="11"/>
        <v/>
      </c>
    </row>
    <row r="359" spans="1:8" x14ac:dyDescent="0.2">
      <c r="A359" t="s">
        <v>710</v>
      </c>
      <c r="B359" t="s">
        <v>0</v>
      </c>
      <c r="D359" t="s">
        <v>2475</v>
      </c>
      <c r="E359" t="str" cm="1">
        <f t="array" ref="E359">IF(COUNTIF(A:A, "*" &amp; LEFT(D359, FIND(" ", D359 &amp; " ") - 1) &amp; "*") &gt; 0,INDEX(A:A,FuzzyVLookup(D359,A:A,0,,,1)),"Non-PDL")</f>
        <v>KEPPRA (levetiracetam)</v>
      </c>
      <c r="F359" t="str">
        <f t="shared" si="10"/>
        <v>Non-Preferred</v>
      </c>
      <c r="G359" s="1" cm="1">
        <f t="array" ref="G359">FuzzyPercent(D359,E359,1)</f>
        <v>0.51428574323654175</v>
      </c>
      <c r="H359" t="str">
        <f t="shared" si="11"/>
        <v/>
      </c>
    </row>
    <row r="360" spans="1:8" x14ac:dyDescent="0.2">
      <c r="A360" t="s">
        <v>712</v>
      </c>
      <c r="B360" t="s">
        <v>0</v>
      </c>
      <c r="D360" t="s">
        <v>2476</v>
      </c>
      <c r="E360" t="str" cm="1">
        <f t="array" ref="E360">IF(COUNTIF(A:A, "*" &amp; LEFT(D360, FIND(" ", D360 &amp; " ") - 1) &amp; "*") &gt; 0,INDEX(A:A,FuzzyVLookup(D360,A:A,0,,,1)),"Non-PDL")</f>
        <v>KEPPRA XR (levetiracetam)</v>
      </c>
      <c r="F360" t="str">
        <f t="shared" si="10"/>
        <v>Non-Preferred</v>
      </c>
      <c r="G360" s="1" cm="1">
        <f t="array" ref="G360">FuzzyPercent(D360,E360,1)</f>
        <v>0.52941179275512695</v>
      </c>
      <c r="H360" t="str">
        <f t="shared" si="11"/>
        <v/>
      </c>
    </row>
    <row r="361" spans="1:8" x14ac:dyDescent="0.2">
      <c r="A361" t="s">
        <v>714</v>
      </c>
      <c r="B361" t="s">
        <v>0</v>
      </c>
      <c r="D361" t="s">
        <v>2477</v>
      </c>
      <c r="E361" t="str" cm="1">
        <f t="array" ref="E361">IF(COUNTIF(A:A, "*" &amp; LEFT(D361, FIND(" ", D361 &amp; " ") - 1) &amp; "*") &gt; 0,INDEX(A:A,FuzzyVLookup(D361,A:A,0,,,1)),"Non-PDL")</f>
        <v>Non-PDL</v>
      </c>
      <c r="F361" t="str">
        <f t="shared" si="10"/>
        <v>Non-PDL</v>
      </c>
      <c r="G361" s="1" cm="1">
        <f t="array" ref="G361">FuzzyPercent(D361,E361,1)</f>
        <v>0.125</v>
      </c>
      <c r="H361" t="str">
        <f t="shared" si="11"/>
        <v/>
      </c>
    </row>
    <row r="362" spans="1:8" x14ac:dyDescent="0.2">
      <c r="A362" t="s">
        <v>716</v>
      </c>
      <c r="B362" t="s">
        <v>0</v>
      </c>
      <c r="D362" t="s">
        <v>2478</v>
      </c>
      <c r="E362" t="str" cm="1">
        <f t="array" ref="E362">IF(COUNTIF(A:A, "*" &amp; LEFT(D362, FIND(" ", D362 &amp; " ") - 1) &amp; "*") &gt; 0,INDEX(A:A,FuzzyVLookup(D362,A:A,0,,,1)),"Non-PDL")</f>
        <v>KESIMPTA PEN (ofatumumab)</v>
      </c>
      <c r="F362" t="str">
        <f t="shared" si="10"/>
        <v>Non-Preferred</v>
      </c>
      <c r="G362" s="1" cm="1">
        <f t="array" ref="G362">FuzzyPercent(D362,E362,1)</f>
        <v>0.4848484992980957</v>
      </c>
      <c r="H362" t="str">
        <f t="shared" si="11"/>
        <v/>
      </c>
    </row>
    <row r="363" spans="1:8" x14ac:dyDescent="0.2">
      <c r="A363" t="s">
        <v>718</v>
      </c>
      <c r="B363" t="s">
        <v>0</v>
      </c>
      <c r="D363" t="s">
        <v>2479</v>
      </c>
      <c r="E363" t="str" cm="1">
        <f t="array" ref="E363">IF(COUNTIF(A:A, "*" &amp; LEFT(D363, FIND(" ", D363 &amp; " ") - 1) &amp; "*") &gt; 0,INDEX(A:A,FuzzyVLookup(D363,A:A,0,,,1)),"Non-PDL")</f>
        <v>KEVZARA (sarilumab)</v>
      </c>
      <c r="F363" t="str">
        <f t="shared" si="10"/>
        <v>Non-Preferred</v>
      </c>
      <c r="G363" s="1" cm="1">
        <f t="array" ref="G363">FuzzyPercent(D363,E363,1)</f>
        <v>0.36000001430511475</v>
      </c>
      <c r="H363" t="str">
        <f t="shared" si="11"/>
        <v>CHECK</v>
      </c>
    </row>
    <row r="364" spans="1:8" x14ac:dyDescent="0.2">
      <c r="A364" t="s">
        <v>720</v>
      </c>
      <c r="B364" t="s">
        <v>0</v>
      </c>
      <c r="D364" t="s">
        <v>2480</v>
      </c>
      <c r="E364" t="str" cm="1">
        <f t="array" ref="E364">IF(COUNTIF(A:A, "*" &amp; LEFT(D364, FIND(" ", D364 &amp; " ") - 1) &amp; "*") &gt; 0,INDEX(A:A,FuzzyVLookup(D364,A:A,0,,,1)),"Non-PDL")</f>
        <v>KEVZARA (sarilumab)</v>
      </c>
      <c r="F364" t="str">
        <f t="shared" si="10"/>
        <v>Non-Preferred</v>
      </c>
      <c r="G364" s="1" cm="1">
        <f t="array" ref="G364">FuzzyPercent(D364,E364,1)</f>
        <v>0.4285714328289032</v>
      </c>
      <c r="H364" t="str">
        <f t="shared" si="11"/>
        <v/>
      </c>
    </row>
    <row r="365" spans="1:8" x14ac:dyDescent="0.2">
      <c r="A365" t="s">
        <v>722</v>
      </c>
      <c r="B365" t="s">
        <v>0</v>
      </c>
      <c r="D365" t="s">
        <v>2481</v>
      </c>
      <c r="E365" t="str" cm="1">
        <f t="array" ref="E365">IF(COUNTIF(A:A, "*" &amp; LEFT(D365, FIND(" ", D365 &amp; " ") - 1) &amp; "*") &gt; 0,INDEX(A:A,FuzzyVLookup(D365,A:A,0,,,1)),"Non-PDL")</f>
        <v>Non-PDL</v>
      </c>
      <c r="F365" t="str">
        <f t="shared" si="10"/>
        <v>Non-PDL</v>
      </c>
      <c r="G365" s="1" cm="1">
        <f t="array" ref="G365">FuzzyPercent(D365,E365,1)</f>
        <v>0</v>
      </c>
      <c r="H365" t="str">
        <f t="shared" si="11"/>
        <v/>
      </c>
    </row>
    <row r="366" spans="1:8" x14ac:dyDescent="0.2">
      <c r="A366" t="s">
        <v>724</v>
      </c>
      <c r="B366" t="s">
        <v>0</v>
      </c>
      <c r="D366" t="s">
        <v>2482</v>
      </c>
      <c r="E366" t="str" cm="1">
        <f t="array" ref="E366">IF(COUNTIF(A:A, "*" &amp; LEFT(D366, FIND(" ", D366 &amp; " ") - 1) &amp; "*") &gt; 0,INDEX(A:A,FuzzyVLookup(D366,A:A,0,,,1)),"Non-PDL")</f>
        <v>KISQALI (ribociclib)</v>
      </c>
      <c r="F366" t="str">
        <f t="shared" si="10"/>
        <v>Non-Preferred</v>
      </c>
      <c r="G366" s="1" cm="1">
        <f t="array" ref="G366">FuzzyPercent(D366,E366,1)</f>
        <v>0.51851850748062134</v>
      </c>
      <c r="H366" t="str">
        <f t="shared" si="11"/>
        <v/>
      </c>
    </row>
    <row r="367" spans="1:8" x14ac:dyDescent="0.2">
      <c r="A367" t="s">
        <v>726</v>
      </c>
      <c r="B367" t="s">
        <v>0</v>
      </c>
      <c r="D367" t="s">
        <v>2483</v>
      </c>
      <c r="E367" t="str" cm="1">
        <f t="array" ref="E367">IF(COUNTIF(A:A, "*" &amp; LEFT(D367, FIND(" ", D367 &amp; " ") - 1) &amp; "*") &gt; 0,INDEX(A:A,FuzzyVLookup(D367,A:A,0,,,1)),"Non-PDL")</f>
        <v>KITABIS (tobramycin)</v>
      </c>
      <c r="F367" t="str">
        <f t="shared" si="10"/>
        <v>Non-Preferred</v>
      </c>
      <c r="G367" s="1" cm="1">
        <f t="array" ref="G367">FuzzyPercent(D367,E367,1)</f>
        <v>0.5161290168762207</v>
      </c>
      <c r="H367" t="str">
        <f t="shared" si="11"/>
        <v/>
      </c>
    </row>
    <row r="368" spans="1:8" x14ac:dyDescent="0.2">
      <c r="A368" t="s">
        <v>728</v>
      </c>
      <c r="B368" t="s">
        <v>0</v>
      </c>
      <c r="D368" t="s">
        <v>2484</v>
      </c>
      <c r="E368" t="str" cm="1">
        <f t="array" ref="E368">IF(COUNTIF(A:A, "*" &amp; LEFT(D368, FIND(" ", D368 &amp; " ") - 1) &amp; "*") &gt; 0,INDEX(A:A,FuzzyVLookup(D368,A:A,0,,,1)),"Non-PDL")</f>
        <v>KLOXXADO (naloxone)</v>
      </c>
      <c r="F368" t="str">
        <f t="shared" si="10"/>
        <v>Preferred</v>
      </c>
      <c r="G368" s="1" cm="1">
        <f t="array" ref="G368">FuzzyPercent(D368,E368,1)</f>
        <v>0.59259259700775146</v>
      </c>
      <c r="H368" t="str">
        <f t="shared" si="11"/>
        <v/>
      </c>
    </row>
    <row r="369" spans="1:8" x14ac:dyDescent="0.2">
      <c r="A369" t="s">
        <v>730</v>
      </c>
      <c r="B369" t="s">
        <v>0</v>
      </c>
      <c r="D369" t="s">
        <v>2485</v>
      </c>
      <c r="E369" t="str" cm="1">
        <f t="array" ref="E369">IF(COUNTIF(A:A, "*" &amp; LEFT(D369, FIND(" ", D369 &amp; " ") - 1) &amp; "*") &gt; 0,INDEX(A:A,FuzzyVLookup(D369,A:A,0,,,1)),"Non-PDL")</f>
        <v>KOGENATE FS</v>
      </c>
      <c r="F369" t="str">
        <f t="shared" si="10"/>
        <v>Preferred</v>
      </c>
      <c r="G369" s="1" cm="1">
        <f t="array" ref="G369">FuzzyPercent(D369,E369,1)</f>
        <v>1</v>
      </c>
      <c r="H369" t="str">
        <f t="shared" si="11"/>
        <v/>
      </c>
    </row>
    <row r="370" spans="1:8" x14ac:dyDescent="0.2">
      <c r="A370" t="s">
        <v>732</v>
      </c>
      <c r="B370" t="s">
        <v>0</v>
      </c>
      <c r="D370" t="s">
        <v>2486</v>
      </c>
      <c r="E370" t="str" cm="1">
        <f t="array" ref="E370">IF(COUNTIF(A:A, "*" &amp; LEFT(D370, FIND(" ", D370 &amp; " ") - 1) &amp; "*") &gt; 0,INDEX(A:A,FuzzyVLookup(D370,A:A,0,,,1)),"Non-PDL")</f>
        <v>ketoprofen</v>
      </c>
      <c r="F370" t="str">
        <f t="shared" si="10"/>
        <v>Preferred</v>
      </c>
      <c r="G370" s="1" cm="1">
        <f t="array" ref="G370">FuzzyPercent(D370,E370,1)</f>
        <v>0.3888888955116272</v>
      </c>
      <c r="H370" t="str">
        <f t="shared" si="11"/>
        <v>CHECK</v>
      </c>
    </row>
    <row r="371" spans="1:8" x14ac:dyDescent="0.2">
      <c r="A371" t="s">
        <v>734</v>
      </c>
      <c r="B371" t="s">
        <v>0</v>
      </c>
      <c r="D371" t="s">
        <v>2487</v>
      </c>
      <c r="E371" t="str" cm="1">
        <f t="array" ref="E371">IF(COUNTIF(A:A, "*" &amp; LEFT(D371, FIND(" ", D371 &amp; " ") - 1) &amp; "*") &gt; 0,INDEX(A:A,FuzzyVLookup(D371,A:A,0,,,1)),"Non-PDL")</f>
        <v>KOSELUGO (selumetinib/vitamin e)</v>
      </c>
      <c r="F371" t="str">
        <f t="shared" si="10"/>
        <v>Non-Preferred</v>
      </c>
      <c r="G371" s="1" cm="1">
        <f t="array" ref="G371">FuzzyPercent(D371,E371,1)</f>
        <v>0.40000000596046448</v>
      </c>
      <c r="H371" t="str">
        <f t="shared" si="11"/>
        <v/>
      </c>
    </row>
    <row r="372" spans="1:8" x14ac:dyDescent="0.2">
      <c r="A372" t="s">
        <v>736</v>
      </c>
      <c r="B372" t="s">
        <v>0</v>
      </c>
      <c r="D372" t="s">
        <v>2488</v>
      </c>
      <c r="E372" t="str" cm="1">
        <f t="array" ref="E372">IF(COUNTIF(A:A, "*" &amp; LEFT(D372, FIND(" ", D372 &amp; " ") - 1) &amp; "*") &gt; 0,INDEX(A:A,FuzzyVLookup(D372,A:A,0,,,1)),"Non-PDL")</f>
        <v>KOVALTRY</v>
      </c>
      <c r="F372" t="str">
        <f t="shared" si="10"/>
        <v>Preferred</v>
      </c>
      <c r="G372" s="1" cm="1">
        <f t="array" ref="G372">FuzzyPercent(D372,E372,1)</f>
        <v>1</v>
      </c>
      <c r="H372" t="str">
        <f t="shared" si="11"/>
        <v/>
      </c>
    </row>
    <row r="373" spans="1:8" x14ac:dyDescent="0.2">
      <c r="A373" t="s">
        <v>738</v>
      </c>
      <c r="B373" t="s">
        <v>0</v>
      </c>
      <c r="D373" t="s">
        <v>2489</v>
      </c>
      <c r="E373" t="str" cm="1">
        <f t="array" ref="E373">IF(COUNTIF(A:A, "*" &amp; LEFT(D373, FIND(" ", D373 &amp; " ") - 1) &amp; "*") &gt; 0,INDEX(A:A,FuzzyVLookup(D373,A:A,0,,,1)),"Non-PDL")</f>
        <v>KRAZATI (adagrasib)</v>
      </c>
      <c r="F373" t="str">
        <f t="shared" si="10"/>
        <v>Non-Preferred</v>
      </c>
      <c r="G373" s="1" cm="1">
        <f t="array" ref="G373">FuzzyPercent(D373,E373,1)</f>
        <v>0.53846156597137451</v>
      </c>
      <c r="H373" t="str">
        <f t="shared" si="11"/>
        <v/>
      </c>
    </row>
    <row r="374" spans="1:8" x14ac:dyDescent="0.2">
      <c r="A374" t="s">
        <v>740</v>
      </c>
      <c r="B374" t="s">
        <v>0</v>
      </c>
      <c r="D374" t="s">
        <v>2490</v>
      </c>
      <c r="E374" t="str" cm="1">
        <f t="array" ref="E374">IF(COUNTIF(A:A, "*" &amp; LEFT(D374, FIND(" ", D374 &amp; " ") - 1) &amp; "*") &gt; 0,INDEX(A:A,FuzzyVLookup(D374,A:A,0,,,1)),"Non-PDL")</f>
        <v>Non-PDL</v>
      </c>
      <c r="F374" t="str">
        <f t="shared" si="10"/>
        <v>Non-PDL</v>
      </c>
      <c r="G374" s="1" cm="1">
        <f t="array" ref="G374">FuzzyPercent(D374,E374,1)</f>
        <v>0</v>
      </c>
      <c r="H374" t="str">
        <f t="shared" si="11"/>
        <v/>
      </c>
    </row>
    <row r="375" spans="1:8" x14ac:dyDescent="0.2">
      <c r="A375" t="s">
        <v>742</v>
      </c>
      <c r="B375" t="s">
        <v>0</v>
      </c>
      <c r="D375" t="s">
        <v>2491</v>
      </c>
      <c r="E375" t="str" cm="1">
        <f t="array" ref="E375">IF(COUNTIF(A:A, "*" &amp; LEFT(D375, FIND(" ", D375 &amp; " ") - 1) &amp; "*") &gt; 0,INDEX(A:A,FuzzyVLookup(D375,A:A,0,,,1)),"Non-PDL")</f>
        <v>Non-PDL</v>
      </c>
      <c r="F375" t="str">
        <f t="shared" si="10"/>
        <v>Non-PDL</v>
      </c>
      <c r="G375" s="1" cm="1">
        <f t="array" ref="G375">FuzzyPercent(D375,E375,1)</f>
        <v>0</v>
      </c>
      <c r="H375" t="str">
        <f t="shared" si="11"/>
        <v/>
      </c>
    </row>
    <row r="376" spans="1:8" x14ac:dyDescent="0.2">
      <c r="A376" t="s">
        <v>744</v>
      </c>
      <c r="B376" t="s">
        <v>0</v>
      </c>
      <c r="D376" t="s">
        <v>2492</v>
      </c>
      <c r="E376" t="str" cm="1">
        <f t="array" ref="E376">IF(COUNTIF(A:A, "*" &amp; LEFT(D376, FIND(" ", D376 &amp; " ") - 1) &amp; "*") &gt; 0,INDEX(A:A,FuzzyVLookup(D376,A:A,0,,,1)),"Non-PDL")</f>
        <v>Non-PDL</v>
      </c>
      <c r="F376" t="str">
        <f t="shared" si="10"/>
        <v>Non-PDL</v>
      </c>
      <c r="G376" s="1" cm="1">
        <f t="array" ref="G376">FuzzyPercent(D376,E376,1)</f>
        <v>0</v>
      </c>
      <c r="H376" t="str">
        <f t="shared" si="11"/>
        <v/>
      </c>
    </row>
    <row r="377" spans="1:8" x14ac:dyDescent="0.2">
      <c r="A377" t="s">
        <v>746</v>
      </c>
      <c r="B377" t="s">
        <v>0</v>
      </c>
      <c r="D377" t="s">
        <v>2493</v>
      </c>
      <c r="E377" t="str" cm="1">
        <f t="array" ref="E377">IF(COUNTIF(A:A, "*" &amp; LEFT(D377, FIND(" ", D377 &amp; " ") - 1) &amp; "*") &gt; 0,INDEX(A:A,FuzzyVLookup(D377,A:A,0,,,1)),"Non-PDL")</f>
        <v>Non-PDL</v>
      </c>
      <c r="F377" t="str">
        <f t="shared" si="10"/>
        <v>Non-PDL</v>
      </c>
      <c r="G377" s="1" cm="1">
        <f t="array" ref="G377">FuzzyPercent(D377,E377,1)</f>
        <v>0</v>
      </c>
      <c r="H377" t="str">
        <f t="shared" si="11"/>
        <v/>
      </c>
    </row>
    <row r="378" spans="1:8" x14ac:dyDescent="0.2">
      <c r="A378" t="s">
        <v>748</v>
      </c>
      <c r="B378" t="s">
        <v>0</v>
      </c>
      <c r="D378" t="s">
        <v>2494</v>
      </c>
      <c r="E378" t="str" cm="1">
        <f t="array" ref="E378">IF(COUNTIF(A:A, "*" &amp; LEFT(D378, FIND(" ", D378 &amp; " ") - 1) &amp; "*") &gt; 0,INDEX(A:A,FuzzyVLookup(D378,A:A,0,,,1)),"Non-PDL")</f>
        <v>Non-PDL</v>
      </c>
      <c r="F378" t="str">
        <f t="shared" si="10"/>
        <v>Non-PDL</v>
      </c>
      <c r="G378" s="1" cm="1">
        <f t="array" ref="G378">FuzzyPercent(D378,E378,1)</f>
        <v>0</v>
      </c>
      <c r="H378" t="str">
        <f t="shared" si="11"/>
        <v/>
      </c>
    </row>
    <row r="379" spans="1:8" x14ac:dyDescent="0.2">
      <c r="A379" t="s">
        <v>750</v>
      </c>
      <c r="B379" t="s">
        <v>0</v>
      </c>
      <c r="D379" t="s">
        <v>2495</v>
      </c>
      <c r="E379" t="str" cm="1">
        <f t="array" ref="E379">IF(COUNTIF(A:A, "*" &amp; LEFT(D379, FIND(" ", D379 &amp; " ") - 1) &amp; "*") &gt; 0,INDEX(A:A,FuzzyVLookup(D379,A:A,0,,,1)),"Non-PDL")</f>
        <v>LAMICTAL (lamotrigine)</v>
      </c>
      <c r="F379" t="str">
        <f t="shared" si="10"/>
        <v>Non-Preferred</v>
      </c>
      <c r="G379" s="1" cm="1">
        <f t="array" ref="G379">FuzzyPercent(D379,E379,1)</f>
        <v>0.55882352590560913</v>
      </c>
      <c r="H379" t="str">
        <f t="shared" si="11"/>
        <v/>
      </c>
    </row>
    <row r="380" spans="1:8" x14ac:dyDescent="0.2">
      <c r="A380" t="s">
        <v>752</v>
      </c>
      <c r="B380" t="s">
        <v>0</v>
      </c>
      <c r="D380" t="s">
        <v>2496</v>
      </c>
      <c r="E380" t="str" cm="1">
        <f t="array" ref="E380">IF(COUNTIF(A:A, "*" &amp; LEFT(D380, FIND(" ", D380 &amp; " ") - 1) &amp; "*") &gt; 0,INDEX(A:A,FuzzyVLookup(D380,A:A,0,,,1)),"Non-PDL")</f>
        <v>LAMICTAL (lamotrigine)</v>
      </c>
      <c r="F380" t="str">
        <f t="shared" si="10"/>
        <v>Non-Preferred</v>
      </c>
      <c r="G380" s="1" cm="1">
        <f t="array" ref="G380">FuzzyPercent(D380,E380,1)</f>
        <v>0.54054051637649536</v>
      </c>
      <c r="H380" t="str">
        <f t="shared" si="11"/>
        <v/>
      </c>
    </row>
    <row r="381" spans="1:8" x14ac:dyDescent="0.2">
      <c r="A381" t="s">
        <v>754</v>
      </c>
      <c r="B381" t="s">
        <v>0</v>
      </c>
      <c r="D381" t="s">
        <v>2497</v>
      </c>
      <c r="E381" t="str" cm="1">
        <f t="array" ref="E381">IF(COUNTIF(A:A, "*" &amp; LEFT(D381, FIND(" ", D381 &amp; " ") - 1) &amp; "*") &gt; 0,INDEX(A:A,FuzzyVLookup(D381,A:A,0,,,1)),"Non-PDL")</f>
        <v>lamotrigine</v>
      </c>
      <c r="F381" t="str">
        <f t="shared" si="10"/>
        <v>Preferred</v>
      </c>
      <c r="G381" s="1" cm="1">
        <f t="array" ref="G381">FuzzyPercent(D381,E381,1)</f>
        <v>1</v>
      </c>
      <c r="H381" t="str">
        <f t="shared" si="11"/>
        <v/>
      </c>
    </row>
    <row r="382" spans="1:8" x14ac:dyDescent="0.2">
      <c r="A382" t="s">
        <v>756</v>
      </c>
      <c r="B382" t="s">
        <v>0</v>
      </c>
      <c r="D382" t="s">
        <v>2498</v>
      </c>
      <c r="E382" t="str" cm="1">
        <f t="array" ref="E382">IF(COUNTIF(A:A, "*" &amp; LEFT(D382, FIND(" ", D382 &amp; " ") - 1) &amp; "*") &gt; 0,INDEX(A:A,FuzzyVLookup(D382,A:A,0,,,1)),"Non-PDL")</f>
        <v>lansoprazole Rx</v>
      </c>
      <c r="F382" t="str">
        <f t="shared" si="10"/>
        <v>Non-Preferred</v>
      </c>
      <c r="G382" s="1" cm="1">
        <f t="array" ref="G382">FuzzyPercent(D382,E382,1)</f>
        <v>0.8888888955116272</v>
      </c>
      <c r="H382" t="str">
        <f t="shared" si="11"/>
        <v/>
      </c>
    </row>
    <row r="383" spans="1:8" x14ac:dyDescent="0.2">
      <c r="A383" t="s">
        <v>758</v>
      </c>
      <c r="B383" t="s">
        <v>0</v>
      </c>
      <c r="D383" t="s">
        <v>2499</v>
      </c>
      <c r="E383" t="str" cm="1">
        <f t="array" ref="E383">IF(COUNTIF(A:A, "*" &amp; LEFT(D383, FIND(" ", D383 &amp; " ") - 1) &amp; "*") &gt; 0,INDEX(A:A,FuzzyVLookup(D383,A:A,0,,,1)),"Non-PDL")</f>
        <v>lansoprazole/amoxicillin/clarithromycin</v>
      </c>
      <c r="F383" t="str">
        <f t="shared" si="10"/>
        <v>Non-Preferred</v>
      </c>
      <c r="G383" s="1" cm="1">
        <f t="array" ref="G383">FuzzyPercent(D383,E383,1)</f>
        <v>0.39534884691238403</v>
      </c>
      <c r="H383" t="str">
        <f t="shared" si="11"/>
        <v>CHECK</v>
      </c>
    </row>
    <row r="384" spans="1:8" x14ac:dyDescent="0.2">
      <c r="A384" t="s">
        <v>760</v>
      </c>
      <c r="B384" t="s">
        <v>0</v>
      </c>
      <c r="D384" t="s">
        <v>2500</v>
      </c>
      <c r="E384" t="str" cm="1">
        <f t="array" ref="E384">IF(COUNTIF(A:A, "*" &amp; LEFT(D384, FIND(" ", D384 &amp; " ") - 1) &amp; "*") &gt; 0,INDEX(A:A,FuzzyVLookup(D384,A:A,0,,,1)),"Non-PDL")</f>
        <v>LANTUS (insulin glargine)</v>
      </c>
      <c r="F384" t="str">
        <f t="shared" si="10"/>
        <v>Preferred</v>
      </c>
      <c r="G384" s="1" cm="1">
        <f t="array" ref="G384">FuzzyPercent(D384,E384,1)</f>
        <v>0.47499999403953552</v>
      </c>
      <c r="H384" t="str">
        <f t="shared" si="11"/>
        <v/>
      </c>
    </row>
    <row r="385" spans="1:8" x14ac:dyDescent="0.2">
      <c r="A385" t="s">
        <v>762</v>
      </c>
      <c r="B385" t="s">
        <v>0</v>
      </c>
      <c r="D385" t="s">
        <v>2501</v>
      </c>
      <c r="E385" t="str" cm="1">
        <f t="array" ref="E385">IF(COUNTIF(A:A, "*" &amp; LEFT(D385, FIND(" ", D385 &amp; " ") - 1) &amp; "*") &gt; 0,INDEX(A:A,FuzzyVLookup(D385,A:A,0,,,1)),"Non-PDL")</f>
        <v>LANTUS (insulin glargine)</v>
      </c>
      <c r="F385" t="str">
        <f t="shared" si="10"/>
        <v>Preferred</v>
      </c>
      <c r="G385" s="1" cm="1">
        <f t="array" ref="G385">FuzzyPercent(D385,E385,1)</f>
        <v>0.47222220897674561</v>
      </c>
      <c r="H385" t="str">
        <f t="shared" si="11"/>
        <v/>
      </c>
    </row>
    <row r="386" spans="1:8" x14ac:dyDescent="0.2">
      <c r="A386" t="s">
        <v>764</v>
      </c>
      <c r="B386" t="s">
        <v>0</v>
      </c>
      <c r="D386" t="s">
        <v>2502</v>
      </c>
      <c r="E386" t="str" cm="1">
        <f t="array" ref="E386">IF(COUNTIF(A:A, "*" &amp; LEFT(D386, FIND(" ", D386 &amp; " ") - 1) &amp; "*") &gt; 0,INDEX(A:A,FuzzyVLookup(D386,A:A,0,,,1)),"Non-PDL")</f>
        <v>LASTACAFT (alcaftadine)</v>
      </c>
      <c r="F386" t="str">
        <f t="shared" si="10"/>
        <v>Non-Preferred</v>
      </c>
      <c r="G386" s="1" cm="1">
        <f t="array" ref="G386">FuzzyPercent(D386,E386,1)</f>
        <v>0.5625</v>
      </c>
      <c r="H386" t="str">
        <f t="shared" si="11"/>
        <v/>
      </c>
    </row>
    <row r="387" spans="1:8" x14ac:dyDescent="0.2">
      <c r="A387" t="s">
        <v>766</v>
      </c>
      <c r="B387" t="s">
        <v>0</v>
      </c>
      <c r="D387" t="s">
        <v>2503</v>
      </c>
      <c r="E387" t="str" cm="1">
        <f t="array" ref="E387">IF(COUNTIF(A:A, "*" &amp; LEFT(D387, FIND(" ", D387 &amp; " ") - 1) &amp; "*") &gt; 0,INDEX(A:A,FuzzyVLookup(D387,A:A,0,,,1)),"Non-PDL")</f>
        <v>WILATE</v>
      </c>
      <c r="F387" t="str">
        <f t="shared" ref="F387:F450" si="12">_xlfn.IFNA(_xlfn.XLOOKUP(E387,A:A,B:B),"Non-PDL")</f>
        <v>Preferred</v>
      </c>
      <c r="G387" s="1" cm="1">
        <f t="array" ref="G387">FuzzyPercent(D387,E387,1)</f>
        <v>0.5</v>
      </c>
      <c r="H387" t="str">
        <f t="shared" ref="H387:H450" si="13">IF(F387="Non-PDL","",IF(G387&lt;0.4,"CHECK",""))</f>
        <v/>
      </c>
    </row>
    <row r="388" spans="1:8" x14ac:dyDescent="0.2">
      <c r="A388" t="s">
        <v>768</v>
      </c>
      <c r="B388" t="s">
        <v>0</v>
      </c>
      <c r="D388" t="s">
        <v>2504</v>
      </c>
      <c r="E388" t="str" cm="1">
        <f t="array" ref="E388">IF(COUNTIF(A:A, "*" &amp; LEFT(D388, FIND(" ", D388 &amp; " ") - 1) &amp; "*") &gt; 0,INDEX(A:A,FuzzyVLookup(D388,A:A,0,,,1)),"Non-PDL")</f>
        <v>ledipasvir/sofosbuvir ‚àû</v>
      </c>
      <c r="F388" t="str">
        <f t="shared" si="12"/>
        <v>Non-Preferred</v>
      </c>
      <c r="G388" s="1" cm="1">
        <f t="array" ref="G388">FuzzyPercent(D388,E388,1)</f>
        <v>0.66666668653488159</v>
      </c>
      <c r="H388" t="str">
        <f t="shared" si="13"/>
        <v/>
      </c>
    </row>
    <row r="389" spans="1:8" x14ac:dyDescent="0.2">
      <c r="A389" t="s">
        <v>770</v>
      </c>
      <c r="B389" t="s">
        <v>0</v>
      </c>
      <c r="D389" t="s">
        <v>2505</v>
      </c>
      <c r="E389" t="str" cm="1">
        <f t="array" ref="E389">IF(COUNTIF(A:A, "*" &amp; LEFT(D389, FIND(" ", D389 &amp; " ") - 1) &amp; "*") &gt; 0,INDEX(A:A,FuzzyVLookup(D389,A:A,0,,,1)),"Non-PDL")</f>
        <v>LETAIRIS (ambrisentan)</v>
      </c>
      <c r="F389" t="str">
        <f t="shared" si="12"/>
        <v>Preferred</v>
      </c>
      <c r="G389" s="1" cm="1">
        <f t="array" ref="G389">FuzzyPercent(D389,E389,1)</f>
        <v>0.53333336114883423</v>
      </c>
      <c r="H389" t="str">
        <f t="shared" si="13"/>
        <v/>
      </c>
    </row>
    <row r="390" spans="1:8" x14ac:dyDescent="0.2">
      <c r="A390" t="s">
        <v>772</v>
      </c>
      <c r="B390" t="s">
        <v>0</v>
      </c>
      <c r="D390" t="s">
        <v>2506</v>
      </c>
      <c r="E390" t="str" cm="1">
        <f t="array" ref="E390">IF(COUNTIF(A:A, "*" &amp; LEFT(D390, FIND(" ", D390 &amp; " ") - 1) &amp; "*") &gt; 0,INDEX(A:A,FuzzyVLookup(D390,A:A,0,,,1)),"Non-PDL")</f>
        <v>loratadine chewable tablet, ODT, solution, tablet OTC</v>
      </c>
      <c r="F390" t="str">
        <f t="shared" si="12"/>
        <v>Preferred</v>
      </c>
      <c r="G390" s="1" cm="1">
        <f t="array" ref="G390">FuzzyPercent(D390,E390,1)</f>
        <v>0.31372550129890442</v>
      </c>
      <c r="H390" t="str">
        <f t="shared" si="13"/>
        <v>CHECK</v>
      </c>
    </row>
    <row r="391" spans="1:8" x14ac:dyDescent="0.2">
      <c r="A391" t="s">
        <v>774</v>
      </c>
      <c r="B391" t="s">
        <v>0</v>
      </c>
      <c r="D391" t="s">
        <v>2507</v>
      </c>
      <c r="E391" t="str" cm="1">
        <f t="array" ref="E391">IF(COUNTIF(A:A, "*" &amp; LEFT(D391, FIND(" ", D391 &amp; " ") - 1) &amp; "*") &gt; 0,INDEX(A:A,FuzzyVLookup(D391,A:A,0,,,1)),"Non-PDL")</f>
        <v>levetiracetam</v>
      </c>
      <c r="F391" t="str">
        <f t="shared" si="12"/>
        <v>Preferred</v>
      </c>
      <c r="G391" s="1" cm="1">
        <f t="array" ref="G391">FuzzyPercent(D391,E391,1)</f>
        <v>0.56000000238418579</v>
      </c>
      <c r="H391" t="str">
        <f t="shared" si="13"/>
        <v/>
      </c>
    </row>
    <row r="392" spans="1:8" x14ac:dyDescent="0.2">
      <c r="A392" t="s">
        <v>776</v>
      </c>
      <c r="B392" t="s">
        <v>0</v>
      </c>
      <c r="D392" t="s">
        <v>2508</v>
      </c>
      <c r="E392" t="str" cm="1">
        <f t="array" ref="E392">IF(COUNTIF(A:A, "*" &amp; LEFT(D392, FIND(" ", D392 &amp; " ") - 1) &amp; "*") &gt; 0,INDEX(A:A,FuzzyVLookup(D392,A:A,0,,,1)),"Non-PDL")</f>
        <v>levocetirizine</v>
      </c>
      <c r="F392" t="str">
        <f t="shared" si="12"/>
        <v>Preferred</v>
      </c>
      <c r="G392" s="1" cm="1">
        <f t="array" ref="G392">FuzzyPercent(D392,E392,1)</f>
        <v>0.4117647111415863</v>
      </c>
      <c r="H392" t="str">
        <f t="shared" si="13"/>
        <v/>
      </c>
    </row>
    <row r="393" spans="1:8" x14ac:dyDescent="0.2">
      <c r="A393" t="s">
        <v>778</v>
      </c>
      <c r="B393" t="s">
        <v>0</v>
      </c>
      <c r="D393" t="s">
        <v>2509</v>
      </c>
      <c r="E393" t="str" cm="1">
        <f t="array" ref="E393">IF(COUNTIF(A:A, "*" &amp; LEFT(D393, FIND(" ", D393 &amp; " ") - 1) &amp; "*") &gt; 0,INDEX(A:A,FuzzyVLookup(D393,A:A,0,,,1)),"Non-PDL")</f>
        <v>LIBERVANT (diazepam)</v>
      </c>
      <c r="F393" t="str">
        <f t="shared" si="12"/>
        <v>Non-Preferred</v>
      </c>
      <c r="G393" s="1" cm="1">
        <f t="array" ref="G393">FuzzyPercent(D393,E393,1)</f>
        <v>0.52380955219268799</v>
      </c>
      <c r="H393" t="str">
        <f t="shared" si="13"/>
        <v/>
      </c>
    </row>
    <row r="394" spans="1:8" x14ac:dyDescent="0.2">
      <c r="A394" t="s">
        <v>780</v>
      </c>
      <c r="B394" t="s">
        <v>0</v>
      </c>
      <c r="D394" t="s">
        <v>2510</v>
      </c>
      <c r="E394" t="str" cm="1">
        <f t="array" ref="E394">IF(COUNTIF(A:A, "*" &amp; LEFT(D394, FIND(" ", D394 &amp; " ") - 1) &amp; "*") &gt; 0,INDEX(A:A,FuzzyVLookup(D394,A:A,0,,,1)),"Non-PDL")</f>
        <v>Non-PDL</v>
      </c>
      <c r="F394" t="str">
        <f t="shared" si="12"/>
        <v>Non-PDL</v>
      </c>
      <c r="G394" s="1" cm="1">
        <f t="array" ref="G394">FuzzyPercent(D394,E394,1)</f>
        <v>0</v>
      </c>
      <c r="H394" t="str">
        <f t="shared" si="13"/>
        <v/>
      </c>
    </row>
    <row r="395" spans="1:8" x14ac:dyDescent="0.2">
      <c r="A395" t="s">
        <v>782</v>
      </c>
      <c r="B395" t="s">
        <v>0</v>
      </c>
      <c r="D395" t="s">
        <v>2511</v>
      </c>
      <c r="E395" t="str" cm="1">
        <f t="array" ref="E395">IF(COUNTIF(A:A, "*" &amp; LEFT(D395, FIND(" ", D395 &amp; " ") - 1) &amp; "*") &gt; 0,INDEX(A:A,FuzzyVLookup(D395,A:A,0,,,1)),"Non-PDL")</f>
        <v>Non-PDL</v>
      </c>
      <c r="F395" t="str">
        <f t="shared" si="12"/>
        <v>Non-PDL</v>
      </c>
      <c r="G395" s="1" cm="1">
        <f t="array" ref="G395">FuzzyPercent(D395,E395,1)</f>
        <v>0</v>
      </c>
      <c r="H395" t="str">
        <f t="shared" si="13"/>
        <v/>
      </c>
    </row>
    <row r="396" spans="1:8" x14ac:dyDescent="0.2">
      <c r="A396" t="s">
        <v>784</v>
      </c>
      <c r="B396" t="s">
        <v>0</v>
      </c>
      <c r="D396" t="s">
        <v>2512</v>
      </c>
      <c r="E396" t="str" cm="1">
        <f t="array" ref="E396">IF(COUNTIF(A:A, "*" &amp; LEFT(D396, FIND(" ", D396 &amp; " ") - 1) &amp; "*") &gt; 0,INDEX(A:A,FuzzyVLookup(D396,A:A,0,,,1)),"Non-PDL")</f>
        <v>Non-PDL</v>
      </c>
      <c r="F396" t="str">
        <f t="shared" si="12"/>
        <v>Non-PDL</v>
      </c>
      <c r="G396" s="1" cm="1">
        <f t="array" ref="G396">FuzzyPercent(D396,E396,1)</f>
        <v>0.1428571492433548</v>
      </c>
      <c r="H396" t="str">
        <f t="shared" si="13"/>
        <v/>
      </c>
    </row>
    <row r="397" spans="1:8" x14ac:dyDescent="0.2">
      <c r="A397" t="s">
        <v>786</v>
      </c>
      <c r="B397" t="s">
        <v>0</v>
      </c>
      <c r="D397" t="s">
        <v>2513</v>
      </c>
      <c r="E397" t="str" cm="1">
        <f t="array" ref="E397">IF(COUNTIF(A:A, "*" &amp; LEFT(D397, FIND(" ", D397 &amp; " ") - 1) &amp; "*") &gt; 0,INDEX(A:A,FuzzyVLookup(D397,A:A,0,,,1)),"Non-PDL")</f>
        <v>Non-PDL</v>
      </c>
      <c r="F397" t="str">
        <f t="shared" si="12"/>
        <v>Non-PDL</v>
      </c>
      <c r="G397" s="1" cm="1">
        <f t="array" ref="G397">FuzzyPercent(D397,E397,1)</f>
        <v>7.1428574621677399E-2</v>
      </c>
      <c r="H397" t="str">
        <f t="shared" si="13"/>
        <v/>
      </c>
    </row>
    <row r="398" spans="1:8" x14ac:dyDescent="0.2">
      <c r="A398" t="s">
        <v>788</v>
      </c>
      <c r="B398" t="s">
        <v>0</v>
      </c>
      <c r="D398" t="s">
        <v>2514</v>
      </c>
      <c r="E398" t="str" cm="1">
        <f t="array" ref="E398">IF(COUNTIF(A:A, "*" &amp; LEFT(D398, FIND(" ", D398 &amp; " ") - 1) &amp; "*") &gt; 0,INDEX(A:A,FuzzyVLookup(D398,A:A,0,,,1)),"Non-PDL")</f>
        <v>LIQREV (sildenafil)</v>
      </c>
      <c r="F398" t="str">
        <f t="shared" si="12"/>
        <v>Non-Preferred</v>
      </c>
      <c r="G398" s="1" cm="1">
        <f t="array" ref="G398">FuzzyPercent(D398,E398,1)</f>
        <v>0.47999998927116394</v>
      </c>
      <c r="H398" t="str">
        <f t="shared" si="13"/>
        <v/>
      </c>
    </row>
    <row r="399" spans="1:8" x14ac:dyDescent="0.2">
      <c r="A399" t="s">
        <v>790</v>
      </c>
      <c r="B399" t="s">
        <v>0</v>
      </c>
      <c r="D399" t="s">
        <v>2515</v>
      </c>
      <c r="E399" t="str" cm="1">
        <f t="array" ref="E399">IF(COUNTIF(A:A, "*" &amp; LEFT(D399, FIND(" ", D399 &amp; " ") - 1) &amp; "*") &gt; 0,INDEX(A:A,FuzzyVLookup(D399,A:A,0,,,1)),"Non-PDL")</f>
        <v>lisinopril</v>
      </c>
      <c r="F399" t="str">
        <f t="shared" si="12"/>
        <v>Preferred</v>
      </c>
      <c r="G399" s="1" cm="1">
        <f t="array" ref="G399">FuzzyPercent(D399,E399,1)</f>
        <v>1</v>
      </c>
      <c r="H399" t="str">
        <f t="shared" si="13"/>
        <v/>
      </c>
    </row>
    <row r="400" spans="1:8" x14ac:dyDescent="0.2">
      <c r="A400" t="s">
        <v>792</v>
      </c>
      <c r="B400" t="s">
        <v>0</v>
      </c>
      <c r="D400" t="s">
        <v>2516</v>
      </c>
      <c r="E400" t="str" cm="1">
        <f t="array" ref="E400">IF(COUNTIF(A:A, "*" &amp; LEFT(D400, FIND(" ", D400 &amp; " ") - 1) &amp; "*") &gt; 0,INDEX(A:A,FuzzyVLookup(D400,A:A,0,,,1)),"Non-PDL")</f>
        <v>LITFULO (ritlecitinib)</v>
      </c>
      <c r="F400" t="str">
        <f t="shared" si="12"/>
        <v>Non-Preferred</v>
      </c>
      <c r="G400" s="1" cm="1">
        <f t="array" ref="G400">FuzzyPercent(D400,E400,1)</f>
        <v>0.48275861144065857</v>
      </c>
      <c r="H400" t="str">
        <f t="shared" si="13"/>
        <v/>
      </c>
    </row>
    <row r="401" spans="1:8" x14ac:dyDescent="0.2">
      <c r="A401" t="s">
        <v>794</v>
      </c>
      <c r="B401" t="s">
        <v>0</v>
      </c>
      <c r="D401" t="s">
        <v>2517</v>
      </c>
      <c r="E401" t="str" cm="1">
        <f t="array" ref="E401">IF(COUNTIF(A:A, "*" &amp; LEFT(D401, FIND(" ", D401 &amp; " ") - 1) &amp; "*") &gt; 0,INDEX(A:A,FuzzyVLookup(D401,A:A,0,,,1)),"Non-PDL")</f>
        <v>LIVMARLI (maralixibat)</v>
      </c>
      <c r="F401" t="str">
        <f t="shared" si="12"/>
        <v>Non-Preferred</v>
      </c>
      <c r="G401" s="1" cm="1">
        <f t="array" ref="G401">FuzzyPercent(D401,E401,1)</f>
        <v>0.53333336114883423</v>
      </c>
      <c r="H401" t="str">
        <f t="shared" si="13"/>
        <v/>
      </c>
    </row>
    <row r="402" spans="1:8" x14ac:dyDescent="0.2">
      <c r="A402" t="s">
        <v>796</v>
      </c>
      <c r="B402" t="s">
        <v>0</v>
      </c>
      <c r="D402" t="s">
        <v>2518</v>
      </c>
      <c r="E402" t="str" cm="1">
        <f t="array" ref="E402">IF(COUNTIF(A:A, "*" &amp; LEFT(D402, FIND(" ", D402 &amp; " ") - 1) &amp; "*") &gt; 0,INDEX(A:A,FuzzyVLookup(D402,A:A,0,,,1)),"Non-PDL")</f>
        <v>Non-PDL</v>
      </c>
      <c r="F402" t="str">
        <f t="shared" si="12"/>
        <v>Non-PDL</v>
      </c>
      <c r="G402" s="1" cm="1">
        <f t="array" ref="G402">FuzzyPercent(D402,E402,1)</f>
        <v>0.28571429848670959</v>
      </c>
      <c r="H402" t="str">
        <f t="shared" si="13"/>
        <v/>
      </c>
    </row>
    <row r="403" spans="1:8" x14ac:dyDescent="0.2">
      <c r="A403" t="s">
        <v>798</v>
      </c>
      <c r="B403" t="s">
        <v>0</v>
      </c>
      <c r="D403" t="s">
        <v>2519</v>
      </c>
      <c r="E403" t="str" cm="1">
        <f t="array" ref="E403">IF(COUNTIF(A:A, "*" &amp; LEFT(D403, FIND(" ", D403 &amp; " ") - 1) &amp; "*") &gt; 0,INDEX(A:A,FuzzyVLookup(D403,A:A,0,,,1)),"Non-PDL")</f>
        <v>LO LOESTRIN FE (norethindrone/ethinyl estradiol/iron)</v>
      </c>
      <c r="F403" t="str">
        <f t="shared" si="12"/>
        <v>Preferred</v>
      </c>
      <c r="G403" s="1" cm="1">
        <f t="array" ref="G403">FuzzyPercent(D403,E403,1)</f>
        <v>0.41791045665740967</v>
      </c>
      <c r="H403" t="str">
        <f t="shared" si="13"/>
        <v/>
      </c>
    </row>
    <row r="404" spans="1:8" x14ac:dyDescent="0.2">
      <c r="A404" t="s">
        <v>800</v>
      </c>
      <c r="B404" t="s">
        <v>0</v>
      </c>
      <c r="D404" t="s">
        <v>2520</v>
      </c>
      <c r="E404" t="str" cm="1">
        <f t="array" ref="E404">IF(COUNTIF(A:A, "*" &amp; LEFT(D404, FIND(" ", D404 &amp; " ") - 1) &amp; "*") &gt; 0,INDEX(A:A,FuzzyVLookup(D404,A:A,0,,,1)),"Non-PDL")</f>
        <v>Non-PDL</v>
      </c>
      <c r="F404" t="str">
        <f t="shared" si="12"/>
        <v>Non-PDL</v>
      </c>
      <c r="G404" s="1" cm="1">
        <f t="array" ref="G404">FuzzyPercent(D404,E404,1)</f>
        <v>0.125</v>
      </c>
      <c r="H404" t="str">
        <f t="shared" si="13"/>
        <v/>
      </c>
    </row>
    <row r="405" spans="1:8" x14ac:dyDescent="0.2">
      <c r="A405" t="s">
        <v>802</v>
      </c>
      <c r="B405" t="s">
        <v>0</v>
      </c>
      <c r="D405" t="s">
        <v>2521</v>
      </c>
      <c r="E405" t="str" cm="1">
        <f t="array" ref="E405">IF(COUNTIF(A:A, "*" &amp; LEFT(D405, FIND(" ", D405 &amp; " ") - 1) &amp; "*") &gt; 0,INDEX(A:A,FuzzyVLookup(D405,A:A,0,,,1)),"Non-PDL")</f>
        <v>formoterol</v>
      </c>
      <c r="F405" t="str">
        <f t="shared" si="12"/>
        <v>Non-Preferred</v>
      </c>
      <c r="G405" s="1" cm="1">
        <f t="array" ref="G405">FuzzyPercent(D405,E405,1)</f>
        <v>0.47058823704719543</v>
      </c>
      <c r="H405" t="str">
        <f t="shared" si="13"/>
        <v/>
      </c>
    </row>
    <row r="406" spans="1:8" x14ac:dyDescent="0.2">
      <c r="A406" t="s">
        <v>804</v>
      </c>
      <c r="B406" t="s">
        <v>0</v>
      </c>
      <c r="D406" t="s">
        <v>2522</v>
      </c>
      <c r="E406" t="str" cm="1">
        <f t="array" ref="E406">IF(COUNTIF(A:A, "*" &amp; LEFT(D406, FIND(" ", D406 &amp; " ") - 1) &amp; "*") &gt; 0,INDEX(A:A,FuzzyVLookup(D406,A:A,0,,,1)),"Non-PDL")</f>
        <v>losartan</v>
      </c>
      <c r="F406" t="str">
        <f t="shared" si="12"/>
        <v>Preferred</v>
      </c>
      <c r="G406" s="1" cm="1">
        <f t="array" ref="G406">FuzzyPercent(D406,E406,1)</f>
        <v>1</v>
      </c>
      <c r="H406" t="str">
        <f t="shared" si="13"/>
        <v/>
      </c>
    </row>
    <row r="407" spans="1:8" x14ac:dyDescent="0.2">
      <c r="A407" t="s">
        <v>806</v>
      </c>
      <c r="B407" t="s">
        <v>0</v>
      </c>
      <c r="D407" t="s">
        <v>2523</v>
      </c>
      <c r="E407" t="str" cm="1">
        <f t="array" ref="E407">IF(COUNTIF(A:A, "*" &amp; LEFT(D407, FIND(" ", D407 &amp; " ") - 1) &amp; "*") &gt; 0,INDEX(A:A,FuzzyVLookup(D407,A:A,0,,,1)),"Non-PDL")</f>
        <v>LUCEMYRA (lofexidine)</v>
      </c>
      <c r="F407" t="str">
        <f t="shared" si="12"/>
        <v>Non-Preferred</v>
      </c>
      <c r="G407" s="1" cm="1">
        <f t="array" ref="G407">FuzzyPercent(D407,E407,1)</f>
        <v>0.5517241358757019</v>
      </c>
      <c r="H407" t="str">
        <f t="shared" si="13"/>
        <v/>
      </c>
    </row>
    <row r="408" spans="1:8" x14ac:dyDescent="0.2">
      <c r="A408" t="s">
        <v>808</v>
      </c>
      <c r="B408" t="s">
        <v>0</v>
      </c>
      <c r="D408" t="s">
        <v>2524</v>
      </c>
      <c r="E408" t="str" cm="1">
        <f t="array" ref="E408">IF(COUNTIF(A:A, "*" &amp; LEFT(D408, FIND(" ", D408 &amp; " ") - 1) &amp; "*") &gt; 0,INDEX(A:A,FuzzyVLookup(D408,A:A,0,,,1)),"Non-PDL")</f>
        <v>Non-PDL</v>
      </c>
      <c r="F408" t="str">
        <f t="shared" si="12"/>
        <v>Non-PDL</v>
      </c>
      <c r="G408" s="1" cm="1">
        <f t="array" ref="G408">FuzzyPercent(D408,E408,1)</f>
        <v>0</v>
      </c>
      <c r="H408" t="str">
        <f t="shared" si="13"/>
        <v/>
      </c>
    </row>
    <row r="409" spans="1:8" x14ac:dyDescent="0.2">
      <c r="A409" t="s">
        <v>810</v>
      </c>
      <c r="B409" t="s">
        <v>0</v>
      </c>
      <c r="D409" t="s">
        <v>2525</v>
      </c>
      <c r="E409" t="str" cm="1">
        <f t="array" ref="E409">IF(COUNTIF(A:A, "*" &amp; LEFT(D409, FIND(" ", D409 &amp; " ") - 1) &amp; "*") &gt; 0,INDEX(A:A,FuzzyVLookup(D409,A:A,0,,,1)),"Non-PDL")</f>
        <v>LUMAKRAS (sotorasib)</v>
      </c>
      <c r="F409" t="str">
        <f t="shared" si="12"/>
        <v>Non-Preferred</v>
      </c>
      <c r="G409" s="1" cm="1">
        <f t="array" ref="G409">FuzzyPercent(D409,E409,1)</f>
        <v>0.57142859697341919</v>
      </c>
      <c r="H409" t="str">
        <f t="shared" si="13"/>
        <v/>
      </c>
    </row>
    <row r="410" spans="1:8" x14ac:dyDescent="0.2">
      <c r="A410" t="s">
        <v>812</v>
      </c>
      <c r="B410" t="s">
        <v>0</v>
      </c>
      <c r="D410" t="s">
        <v>2526</v>
      </c>
      <c r="E410" t="str" cm="1">
        <f t="array" ref="E410">IF(COUNTIF(A:A, "*" &amp; LEFT(D410, FIND(" ", D410 &amp; " ") - 1) &amp; "*") &gt; 0,INDEX(A:A,FuzzyVLookup(D410,A:A,0,,,1)),"Non-PDL")</f>
        <v>LUMIGAN (bimatoprost)</v>
      </c>
      <c r="F410" t="str">
        <f t="shared" si="12"/>
        <v>Non-Preferred</v>
      </c>
      <c r="G410" s="1" cm="1">
        <f t="array" ref="G410">FuzzyPercent(D410,E410,1)</f>
        <v>0.48571428656578064</v>
      </c>
      <c r="H410" t="str">
        <f t="shared" si="13"/>
        <v/>
      </c>
    </row>
    <row r="411" spans="1:8" x14ac:dyDescent="0.2">
      <c r="A411" t="s">
        <v>814</v>
      </c>
      <c r="B411" t="s">
        <v>0</v>
      </c>
      <c r="D411" t="s">
        <v>2527</v>
      </c>
      <c r="E411" t="str" cm="1">
        <f t="array" ref="E411">IF(COUNTIF(A:A, "*" &amp; LEFT(D411, FIND(" ", D411 &amp; " ") - 1) &amp; "*") &gt; 0,INDEX(A:A,FuzzyVLookup(D411,A:A,0,,,1)),"Non-PDL")</f>
        <v>LUMIGAN (bimatoprost)</v>
      </c>
      <c r="F411" t="str">
        <f t="shared" si="12"/>
        <v>Non-Preferred</v>
      </c>
      <c r="G411" s="1" cm="1">
        <f t="array" ref="G411">FuzzyPercent(D411,E411,1)</f>
        <v>0.5151515007019043</v>
      </c>
      <c r="H411" t="str">
        <f t="shared" si="13"/>
        <v/>
      </c>
    </row>
    <row r="412" spans="1:8" x14ac:dyDescent="0.2">
      <c r="A412" t="s">
        <v>816</v>
      </c>
      <c r="B412" t="s">
        <v>0</v>
      </c>
      <c r="D412" t="s">
        <v>2528</v>
      </c>
      <c r="E412" t="str" cm="1">
        <f t="array" ref="E412">IF(COUNTIF(A:A, "*" &amp; LEFT(D412, FIND(" ", D412 &amp; " ") - 1) &amp; "*") &gt; 0,INDEX(A:A,FuzzyVLookup(D412,A:A,0,,,1)),"Non-PDL")</f>
        <v>LUMIGAN (bimatoprost)</v>
      </c>
      <c r="F412" t="str">
        <f t="shared" si="12"/>
        <v>Non-Preferred</v>
      </c>
      <c r="G412" s="1" cm="1">
        <f t="array" ref="G412">FuzzyPercent(D412,E412,1)</f>
        <v>0.48571428656578064</v>
      </c>
      <c r="H412" t="str">
        <f t="shared" si="13"/>
        <v/>
      </c>
    </row>
    <row r="413" spans="1:8" x14ac:dyDescent="0.2">
      <c r="A413" t="s">
        <v>818</v>
      </c>
      <c r="B413" t="s">
        <v>0</v>
      </c>
      <c r="D413" t="s">
        <v>2529</v>
      </c>
      <c r="E413" t="str" cm="1">
        <f t="array" ref="E413">IF(COUNTIF(A:A, "*" &amp; LEFT(D413, FIND(" ", D413 &amp; " ") - 1) &amp; "*") &gt; 0,INDEX(A:A,FuzzyVLookup(D413,A:A,0,,,1)),"Non-PDL")</f>
        <v>Non-PDL</v>
      </c>
      <c r="F413" t="str">
        <f t="shared" si="12"/>
        <v>Non-PDL</v>
      </c>
      <c r="G413" s="1" cm="1">
        <f t="array" ref="G413">FuzzyPercent(D413,E413,1)</f>
        <v>0</v>
      </c>
      <c r="H413" t="str">
        <f t="shared" si="13"/>
        <v/>
      </c>
    </row>
    <row r="414" spans="1:8" x14ac:dyDescent="0.2">
      <c r="A414" t="s">
        <v>820</v>
      </c>
      <c r="B414" t="s">
        <v>0</v>
      </c>
      <c r="D414" t="s">
        <v>2530</v>
      </c>
      <c r="E414" t="str" cm="1">
        <f t="array" ref="E414">IF(COUNTIF(A:A, "*" &amp; LEFT(D414, FIND(" ", D414 &amp; " ") - 1) &amp; "*") &gt; 0,INDEX(A:A,FuzzyVLookup(D414,A:A,0,,,1)),"Non-PDL")</f>
        <v>Non-PDL</v>
      </c>
      <c r="F414" t="str">
        <f t="shared" si="12"/>
        <v>Non-PDL</v>
      </c>
      <c r="G414" s="1" cm="1">
        <f t="array" ref="G414">FuzzyPercent(D414,E414,1)</f>
        <v>0</v>
      </c>
      <c r="H414" t="str">
        <f t="shared" si="13"/>
        <v/>
      </c>
    </row>
    <row r="415" spans="1:8" x14ac:dyDescent="0.2">
      <c r="A415" t="s">
        <v>822</v>
      </c>
      <c r="B415" t="s">
        <v>0</v>
      </c>
      <c r="D415" t="s">
        <v>2531</v>
      </c>
      <c r="E415" t="str" cm="1">
        <f t="array" ref="E415">IF(COUNTIF(A:A, "*" &amp; LEFT(D415, FIND(" ", D415 &amp; " ") - 1) &amp; "*") &gt; 0,INDEX(A:A,FuzzyVLookup(D415,A:A,0,,,1)),"Non-PDL")</f>
        <v>Non-PDL</v>
      </c>
      <c r="F415" t="str">
        <f t="shared" si="12"/>
        <v>Non-PDL</v>
      </c>
      <c r="G415" s="1" cm="1">
        <f t="array" ref="G415">FuzzyPercent(D415,E415,1)</f>
        <v>0.125</v>
      </c>
      <c r="H415" t="str">
        <f t="shared" si="13"/>
        <v/>
      </c>
    </row>
    <row r="416" spans="1:8" x14ac:dyDescent="0.2">
      <c r="A416" t="s">
        <v>824</v>
      </c>
      <c r="B416" t="s">
        <v>0</v>
      </c>
      <c r="D416" t="s">
        <v>2532</v>
      </c>
      <c r="E416" t="str" cm="1">
        <f t="array" ref="E416">IF(COUNTIF(A:A, "*" &amp; LEFT(D416, FIND(" ", D416 &amp; " ") - 1) &amp; "*") &gt; 0,INDEX(A:A,FuzzyVLookup(D416,A:A,0,,,1)),"Non-PDL")</f>
        <v>Non-PDL</v>
      </c>
      <c r="F416" t="str">
        <f t="shared" si="12"/>
        <v>Non-PDL</v>
      </c>
      <c r="G416" s="1" cm="1">
        <f t="array" ref="G416">FuzzyPercent(D416,E416,1)</f>
        <v>4.1666667908430099E-2</v>
      </c>
      <c r="H416" t="str">
        <f t="shared" si="13"/>
        <v/>
      </c>
    </row>
    <row r="417" spans="1:8" x14ac:dyDescent="0.2">
      <c r="A417" t="s">
        <v>826</v>
      </c>
      <c r="B417" t="s">
        <v>0</v>
      </c>
      <c r="D417" t="s">
        <v>2533</v>
      </c>
      <c r="E417" t="str" cm="1">
        <f t="array" ref="E417">IF(COUNTIF(A:A, "*" &amp; LEFT(D417, FIND(" ", D417 &amp; " ") - 1) &amp; "*") &gt; 0,INDEX(A:A,FuzzyVLookup(D417,A:A,0,,,1)),"Non-PDL")</f>
        <v>Non-PDL</v>
      </c>
      <c r="F417" t="str">
        <f t="shared" si="12"/>
        <v>Non-PDL</v>
      </c>
      <c r="G417" s="1" cm="1">
        <f t="array" ref="G417">FuzzyPercent(D417,E417,1)</f>
        <v>4.1666667908430099E-2</v>
      </c>
      <c r="H417" t="str">
        <f t="shared" si="13"/>
        <v/>
      </c>
    </row>
    <row r="418" spans="1:8" x14ac:dyDescent="0.2">
      <c r="A418" t="s">
        <v>828</v>
      </c>
      <c r="B418" t="s">
        <v>0</v>
      </c>
      <c r="D418" t="s">
        <v>2534</v>
      </c>
      <c r="E418" t="str" cm="1">
        <f t="array" ref="E418">IF(COUNTIF(A:A, "*" &amp; LEFT(D418, FIND(" ", D418 &amp; " ") - 1) &amp; "*") &gt; 0,INDEX(A:A,FuzzyVLookup(D418,A:A,0,,,1)),"Non-PDL")</f>
        <v>lurasidone</v>
      </c>
      <c r="F418" t="str">
        <f t="shared" si="12"/>
        <v>Non-Preferred</v>
      </c>
      <c r="G418" s="1" cm="1">
        <f t="array" ref="G418">FuzzyPercent(D418,E418,1)</f>
        <v>1</v>
      </c>
      <c r="H418" t="str">
        <f t="shared" si="13"/>
        <v/>
      </c>
    </row>
    <row r="419" spans="1:8" x14ac:dyDescent="0.2">
      <c r="A419" t="s">
        <v>830</v>
      </c>
      <c r="B419" t="s">
        <v>0</v>
      </c>
      <c r="D419" t="s">
        <v>2535</v>
      </c>
      <c r="E419" t="str" cm="1">
        <f t="array" ref="E419">IF(COUNTIF(A:A, "*" &amp; LEFT(D419, FIND(" ", D419 &amp; " ") - 1) &amp; "*") &gt; 0,INDEX(A:A,FuzzyVLookup(D419,A:A,0,,,1)),"Non-PDL")</f>
        <v>Non-PDL</v>
      </c>
      <c r="F419" t="str">
        <f t="shared" si="12"/>
        <v>Non-PDL</v>
      </c>
      <c r="G419" s="1" cm="1">
        <f t="array" ref="G419">FuzzyPercent(D419,E419,1)</f>
        <v>0</v>
      </c>
      <c r="H419" t="str">
        <f t="shared" si="13"/>
        <v/>
      </c>
    </row>
    <row r="420" spans="1:8" x14ac:dyDescent="0.2">
      <c r="A420" t="s">
        <v>832</v>
      </c>
      <c r="B420" t="s">
        <v>0</v>
      </c>
      <c r="D420" t="s">
        <v>2536</v>
      </c>
      <c r="E420" t="str" cm="1">
        <f t="array" ref="E420">IF(COUNTIF(A:A, "*" &amp; LEFT(D420, FIND(" ", D420 &amp; " ") - 1) &amp; "*") &gt; 0,INDEX(A:A,FuzzyVLookup(D420,A:A,0,,,1)),"Non-PDL")</f>
        <v>lenalidomide</v>
      </c>
      <c r="F420" t="str">
        <f t="shared" si="12"/>
        <v>Non-Preferred</v>
      </c>
      <c r="G420" s="1" cm="1">
        <f t="array" ref="G420">FuzzyPercent(D420,E420,1)</f>
        <v>0.42105263471603394</v>
      </c>
      <c r="H420" t="str">
        <f t="shared" si="13"/>
        <v/>
      </c>
    </row>
    <row r="421" spans="1:8" x14ac:dyDescent="0.2">
      <c r="A421" t="s">
        <v>834</v>
      </c>
      <c r="B421" t="s">
        <v>0</v>
      </c>
      <c r="D421" t="s">
        <v>2537</v>
      </c>
      <c r="E421" t="str" cm="1">
        <f t="array" ref="E421">IF(COUNTIF(A:A, "*" &amp; LEFT(D421, FIND(" ", D421 &amp; " ") - 1) &amp; "*") &gt; 0,INDEX(A:A,FuzzyVLookup(D421,A:A,0,,,1)),"Non-PDL")</f>
        <v>LYNPARZA (olaparib)</v>
      </c>
      <c r="F421" t="str">
        <f t="shared" si="12"/>
        <v>Non-Preferred</v>
      </c>
      <c r="G421" s="1" cm="1">
        <f t="array" ref="G421">FuzzyPercent(D421,E421,1)</f>
        <v>0.59259259700775146</v>
      </c>
      <c r="H421" t="str">
        <f t="shared" si="13"/>
        <v/>
      </c>
    </row>
    <row r="422" spans="1:8" x14ac:dyDescent="0.2">
      <c r="A422" t="s">
        <v>836</v>
      </c>
      <c r="B422" t="s">
        <v>0</v>
      </c>
      <c r="D422" t="s">
        <v>2538</v>
      </c>
      <c r="E422" t="str" cm="1">
        <f t="array" ref="E422">IF(COUNTIF(A:A, "*" &amp; LEFT(D422, FIND(" ", D422 &amp; " ") - 1) &amp; "*") &gt; 0,INDEX(A:A,FuzzyVLookup(D422,A:A,0,,,1)),"Non-PDL")</f>
        <v>paricalcitol</v>
      </c>
      <c r="F422" t="str">
        <f t="shared" si="12"/>
        <v>Preferred</v>
      </c>
      <c r="G422" s="1" cm="1">
        <f t="array" ref="G422">FuzzyPercent(D422,E422,1)</f>
        <v>0.4444444477558136</v>
      </c>
      <c r="H422" t="str">
        <f t="shared" si="13"/>
        <v/>
      </c>
    </row>
    <row r="423" spans="1:8" x14ac:dyDescent="0.2">
      <c r="A423" t="s">
        <v>838</v>
      </c>
      <c r="B423" t="s">
        <v>0</v>
      </c>
      <c r="D423" t="s">
        <v>2539</v>
      </c>
      <c r="E423" t="str" cm="1">
        <f t="array" ref="E423">IF(COUNTIF(A:A, "*" &amp; LEFT(D423, FIND(" ", D423 &amp; " ") - 1) &amp; "*") &gt; 0,INDEX(A:A,FuzzyVLookup(D423,A:A,0,,,1)),"Non-PDL")</f>
        <v>LYUMJEV (insulin lispro-aabc)</v>
      </c>
      <c r="F423" t="str">
        <f t="shared" si="12"/>
        <v>Non-Preferred</v>
      </c>
      <c r="G423" s="1" cm="1">
        <f t="array" ref="G423">FuzzyPercent(D423,E423,1)</f>
        <v>0.46341463923454285</v>
      </c>
      <c r="H423" t="str">
        <f t="shared" si="13"/>
        <v/>
      </c>
    </row>
    <row r="424" spans="1:8" x14ac:dyDescent="0.2">
      <c r="A424" t="s">
        <v>840</v>
      </c>
      <c r="B424" t="s">
        <v>0</v>
      </c>
      <c r="D424" t="s">
        <v>2540</v>
      </c>
      <c r="E424" t="str" cm="1">
        <f t="array" ref="E424">IF(COUNTIF(A:A, "*" &amp; LEFT(D424, FIND(" ", D424 &amp; " ") - 1) &amp; "*") &gt; 0,INDEX(A:A,FuzzyVLookup(D424,A:A,0,,,1)),"Non-PDL")</f>
        <v>LYUMJEV (insulin lispro-aabc)</v>
      </c>
      <c r="F424" t="str">
        <f t="shared" si="12"/>
        <v>Non-Preferred</v>
      </c>
      <c r="G424" s="1" cm="1">
        <f t="array" ref="G424">FuzzyPercent(D424,E424,1)</f>
        <v>0.39215686917304993</v>
      </c>
      <c r="H424" t="str">
        <f t="shared" si="13"/>
        <v>CHECK</v>
      </c>
    </row>
    <row r="425" spans="1:8" x14ac:dyDescent="0.2">
      <c r="A425" t="s">
        <v>842</v>
      </c>
      <c r="B425" t="s">
        <v>0</v>
      </c>
      <c r="D425" t="s">
        <v>2541</v>
      </c>
      <c r="E425" t="str" cm="1">
        <f t="array" ref="E425">IF(COUNTIF(A:A, "*" &amp; LEFT(D425, FIND(" ", D425 &amp; " ") - 1) &amp; "*") &gt; 0,INDEX(A:A,FuzzyVLookup(D425,A:A,0,,,1)),"Non-PDL")</f>
        <v>LYUMJEV (insulin lispro-aabc)</v>
      </c>
      <c r="F425" t="str">
        <f t="shared" si="12"/>
        <v>Non-Preferred</v>
      </c>
      <c r="G425" s="1" cm="1">
        <f t="array" ref="G425">FuzzyPercent(D425,E425,1)</f>
        <v>0.39215686917304993</v>
      </c>
      <c r="H425" t="str">
        <f t="shared" si="13"/>
        <v>CHECK</v>
      </c>
    </row>
    <row r="426" spans="1:8" x14ac:dyDescent="0.2">
      <c r="A426" t="s">
        <v>844</v>
      </c>
      <c r="B426" t="s">
        <v>0</v>
      </c>
      <c r="D426" t="s">
        <v>2542</v>
      </c>
      <c r="E426" t="str" cm="1">
        <f t="array" ref="E426">IF(COUNTIF(A:A, "*" &amp; LEFT(D426, FIND(" ", D426 &amp; " ") - 1) &amp; "*") &gt; 0,INDEX(A:A,FuzzyVLookup(D426,A:A,0,,,1)),"Non-PDL")</f>
        <v>Non-PDL</v>
      </c>
      <c r="F426" t="str">
        <f t="shared" si="12"/>
        <v>Non-PDL</v>
      </c>
      <c r="G426" s="1" cm="1">
        <f t="array" ref="G426">FuzzyPercent(D426,E426,1)</f>
        <v>0</v>
      </c>
      <c r="H426" t="str">
        <f t="shared" si="13"/>
        <v/>
      </c>
    </row>
    <row r="427" spans="1:8" x14ac:dyDescent="0.2">
      <c r="A427" t="s">
        <v>846</v>
      </c>
      <c r="B427" t="s">
        <v>0</v>
      </c>
      <c r="D427" t="s">
        <v>2543</v>
      </c>
      <c r="E427" t="str" cm="1">
        <f t="array" ref="E427">IF(COUNTIF(A:A, "*" &amp; LEFT(D427, FIND(" ", D427 &amp; " ") - 1) &amp; "*") &gt; 0,INDEX(A:A,FuzzyVLookup(D427,A:A,0,,,1)),"Non-PDL")</f>
        <v>paroxetine suspension, capsule</v>
      </c>
      <c r="F427" t="str">
        <f t="shared" si="12"/>
        <v>Non-Preferred</v>
      </c>
      <c r="G427" s="1" cm="1">
        <f t="array" ref="G427">FuzzyPercent(D427,E427,1)</f>
        <v>0.37288135290145874</v>
      </c>
      <c r="H427" t="str">
        <f t="shared" si="13"/>
        <v>CHECK</v>
      </c>
    </row>
    <row r="428" spans="1:8" x14ac:dyDescent="0.2">
      <c r="A428" t="s">
        <v>848</v>
      </c>
      <c r="B428" t="s">
        <v>0</v>
      </c>
      <c r="D428" t="s">
        <v>2544</v>
      </c>
      <c r="E428" t="str" cm="1">
        <f t="array" ref="E428">IF(COUNTIF(A:A, "*" &amp; LEFT(D428, FIND(" ", D428 &amp; " ") - 1) &amp; "*") &gt; 0,INDEX(A:A,FuzzyVLookup(D428,A:A,0,,,1)),"Non-PDL")</f>
        <v>MAXITROL (neomycin/polymyxin/dexamethasone)</v>
      </c>
      <c r="F428" t="str">
        <f t="shared" si="12"/>
        <v>Non-Preferred</v>
      </c>
      <c r="G428" s="1" cm="1">
        <f t="array" ref="G428">FuzzyPercent(D428,E428,1)</f>
        <v>0.39436620473861694</v>
      </c>
      <c r="H428" t="str">
        <f t="shared" si="13"/>
        <v>CHECK</v>
      </c>
    </row>
    <row r="429" spans="1:8" x14ac:dyDescent="0.2">
      <c r="A429" t="s">
        <v>850</v>
      </c>
      <c r="B429" t="s">
        <v>0</v>
      </c>
      <c r="D429" t="s">
        <v>2545</v>
      </c>
      <c r="E429" t="str" cm="1">
        <f t="array" ref="E429">IF(COUNTIF(A:A, "*" &amp; LEFT(D429, FIND(" ", D429 &amp; " ") - 1) &amp; "*") &gt; 0,INDEX(A:A,FuzzyVLookup(D429,A:A,0,,,1)),"Non-PDL")</f>
        <v>MAXITROL (neomycin/polymyxin/dexamethasone)</v>
      </c>
      <c r="F429" t="str">
        <f t="shared" si="12"/>
        <v>Non-Preferred</v>
      </c>
      <c r="G429" s="1" cm="1">
        <f t="array" ref="G429">FuzzyPercent(D429,E429,1)</f>
        <v>0.36986300349235535</v>
      </c>
      <c r="H429" t="str">
        <f t="shared" si="13"/>
        <v>CHECK</v>
      </c>
    </row>
    <row r="430" spans="1:8" x14ac:dyDescent="0.2">
      <c r="A430" t="s">
        <v>852</v>
      </c>
      <c r="B430" t="s">
        <v>0</v>
      </c>
      <c r="D430" t="s">
        <v>2546</v>
      </c>
      <c r="E430" t="str" cm="1">
        <f t="array" ref="E430">IF(COUNTIF(A:A, "*" &amp; LEFT(D430, FIND(" ", D430 &amp; " ") - 1) &amp; "*") &gt; 0,INDEX(A:A,FuzzyVLookup(D430,A:A,0,,,1)),"Non-PDL")</f>
        <v>memantine ER</v>
      </c>
      <c r="F430" t="str">
        <f t="shared" si="12"/>
        <v>Non-Preferred</v>
      </c>
      <c r="G430" s="1" cm="1">
        <f t="array" ref="G430">FuzzyPercent(D430,E430,1)</f>
        <v>0.47826087474822998</v>
      </c>
      <c r="H430" t="str">
        <f t="shared" si="13"/>
        <v/>
      </c>
    </row>
    <row r="431" spans="1:8" x14ac:dyDescent="0.2">
      <c r="A431" t="s">
        <v>854</v>
      </c>
      <c r="B431" t="s">
        <v>0</v>
      </c>
      <c r="D431" t="s">
        <v>2547</v>
      </c>
      <c r="E431" t="str" cm="1">
        <f t="array" ref="E431">IF(COUNTIF(A:A, "*" &amp; LEFT(D431, FIND(" ", D431 &amp; " ") - 1) &amp; "*") &gt; 0,INDEX(A:A,FuzzyVLookup(D431,A:A,0,,,1)),"Non-PDL")</f>
        <v>memantine ER</v>
      </c>
      <c r="F431" t="str">
        <f t="shared" si="12"/>
        <v>Non-Preferred</v>
      </c>
      <c r="G431" s="1" cm="1">
        <f t="array" ref="G431">FuzzyPercent(D431,E431,1)</f>
        <v>0.625</v>
      </c>
      <c r="H431" t="str">
        <f t="shared" si="13"/>
        <v/>
      </c>
    </row>
    <row r="432" spans="1:8" x14ac:dyDescent="0.2">
      <c r="A432" t="s">
        <v>856</v>
      </c>
      <c r="B432" t="s">
        <v>0</v>
      </c>
      <c r="D432" t="s">
        <v>2548</v>
      </c>
      <c r="E432" t="str" cm="1">
        <f t="array" ref="E432">IF(COUNTIF(A:A, "*" &amp; LEFT(D432, FIND(" ", D432 &amp; " ") - 1) &amp; "*") &gt; 0,INDEX(A:A,FuzzyVLookup(D432,A:A,0,,,1)),"Non-PDL")</f>
        <v>memantine ER</v>
      </c>
      <c r="F432" t="str">
        <f t="shared" si="12"/>
        <v>Non-Preferred</v>
      </c>
      <c r="G432" s="1" cm="1">
        <f t="array" ref="G432">FuzzyPercent(D432,E432,1)</f>
        <v>0.91666668653488159</v>
      </c>
      <c r="H432" t="str">
        <f t="shared" si="13"/>
        <v/>
      </c>
    </row>
    <row r="433" spans="1:8" x14ac:dyDescent="0.2">
      <c r="A433" t="s">
        <v>858</v>
      </c>
      <c r="B433" t="s">
        <v>0</v>
      </c>
      <c r="D433" t="s">
        <v>2549</v>
      </c>
      <c r="E433" t="str" cm="1">
        <f t="array" ref="E433">IF(COUNTIF(A:A, "*" &amp; LEFT(D433, FIND(" ", D433 &amp; " ") - 1) &amp; "*") &gt; 0,INDEX(A:A,FuzzyVLookup(D433,A:A,0,,,1)),"Non-PDL")</f>
        <v>Non-PDL</v>
      </c>
      <c r="F433" t="str">
        <f t="shared" si="12"/>
        <v>Non-PDL</v>
      </c>
      <c r="G433" s="1" cm="1">
        <f t="array" ref="G433">FuzzyPercent(D433,E433,1)</f>
        <v>0.125</v>
      </c>
      <c r="H433" t="str">
        <f t="shared" si="13"/>
        <v/>
      </c>
    </row>
    <row r="434" spans="1:8" x14ac:dyDescent="0.2">
      <c r="A434" t="s">
        <v>860</v>
      </c>
      <c r="B434" t="s">
        <v>0</v>
      </c>
      <c r="D434" t="s">
        <v>2550</v>
      </c>
      <c r="E434" t="str" cm="1">
        <f t="array" ref="E434">IF(COUNTIF(A:A, "*" &amp; LEFT(D434, FIND(" ", D434 &amp; " ") - 1) &amp; "*") &gt; 0,INDEX(A:A,FuzzyVLookup(D434,A:A,0,,,1)),"Non-PDL")</f>
        <v>metaxalone</v>
      </c>
      <c r="F434" t="str">
        <f t="shared" si="12"/>
        <v>Non-Preferred</v>
      </c>
      <c r="G434" s="1" cm="1">
        <f t="array" ref="G434">FuzzyPercent(D434,E434,1)</f>
        <v>1</v>
      </c>
      <c r="H434" t="str">
        <f t="shared" si="13"/>
        <v/>
      </c>
    </row>
    <row r="435" spans="1:8" x14ac:dyDescent="0.2">
      <c r="A435" t="s">
        <v>862</v>
      </c>
      <c r="B435" t="s">
        <v>0</v>
      </c>
      <c r="D435" t="s">
        <v>2551</v>
      </c>
      <c r="E435" t="str" cm="1">
        <f t="array" ref="E435">IF(COUNTIF(A:A, "*" &amp; LEFT(D435, FIND(" ", D435 &amp; " ") - 1) &amp; "*") &gt; 0,INDEX(A:A,FuzzyVLookup(D435,A:A,0,,,1)),"Non-PDL")</f>
        <v>metoprolol succinate</v>
      </c>
      <c r="F435" t="str">
        <f t="shared" si="12"/>
        <v>Preferred</v>
      </c>
      <c r="G435" s="1" cm="1">
        <f t="array" ref="G435">FuzzyPercent(D435,E435,1)</f>
        <v>0.66666668653488159</v>
      </c>
      <c r="H435" t="str">
        <f t="shared" si="13"/>
        <v/>
      </c>
    </row>
    <row r="436" spans="1:8" x14ac:dyDescent="0.2">
      <c r="A436" t="s">
        <v>864</v>
      </c>
      <c r="B436" t="s">
        <v>0</v>
      </c>
      <c r="D436" t="s">
        <v>2552</v>
      </c>
      <c r="E436" t="str" cm="1">
        <f t="array" ref="E436">IF(COUNTIF(A:A, "*" &amp; LEFT(D436, FIND(" ", D436 &amp; " ") - 1) &amp; "*") &gt; 0,INDEX(A:A,FuzzyVLookup(D436,A:A,0,,,1)),"Non-PDL")</f>
        <v>METROGEL (metronidazole)</v>
      </c>
      <c r="F436" t="str">
        <f t="shared" si="12"/>
        <v>Non-Preferred</v>
      </c>
      <c r="G436" s="1" cm="1">
        <f t="array" ref="G436">FuzzyPercent(D436,E436,1)</f>
        <v>0.47368422150611877</v>
      </c>
      <c r="H436" t="str">
        <f t="shared" si="13"/>
        <v/>
      </c>
    </row>
    <row r="437" spans="1:8" x14ac:dyDescent="0.2">
      <c r="A437" t="s">
        <v>866</v>
      </c>
      <c r="B437" t="s">
        <v>0</v>
      </c>
      <c r="D437" t="s">
        <v>2553</v>
      </c>
      <c r="E437" t="str" cm="1">
        <f t="array" ref="E437">IF(COUNTIF(A:A, "*" &amp; LEFT(D437, FIND(" ", D437 &amp; " ") - 1) &amp; "*") &gt; 0,INDEX(A:A,FuzzyVLookup(D437,A:A,0,,,1)),"Non-PDL")</f>
        <v>metronidazole tablet</v>
      </c>
      <c r="F437" t="str">
        <f t="shared" si="12"/>
        <v>Preferred</v>
      </c>
      <c r="G437" s="1" cm="1">
        <f t="array" ref="G437">FuzzyPercent(D437,E437,1)</f>
        <v>0.6086956262588501</v>
      </c>
      <c r="H437" t="str">
        <f t="shared" si="13"/>
        <v/>
      </c>
    </row>
    <row r="438" spans="1:8" x14ac:dyDescent="0.2">
      <c r="A438" t="s">
        <v>868</v>
      </c>
      <c r="B438" t="s">
        <v>0</v>
      </c>
      <c r="D438" t="s">
        <v>2554</v>
      </c>
      <c r="E438" t="str" cm="1">
        <f t="array" ref="E438">IF(COUNTIF(A:A, "*" &amp; LEFT(D438, FIND(" ", D438 &amp; " ") - 1) &amp; "*") &gt; 0,INDEX(A:A,FuzzyVLookup(D438,A:A,0,,,1)),"Non-PDL")</f>
        <v>FLEBOGAMMA</v>
      </c>
      <c r="F438" t="str">
        <f t="shared" si="12"/>
        <v>Preferred</v>
      </c>
      <c r="G438" s="1" cm="1">
        <f t="array" ref="G438">FuzzyPercent(D438,E438,1)</f>
        <v>0.40000000596046448</v>
      </c>
      <c r="H438" t="str">
        <f t="shared" si="13"/>
        <v/>
      </c>
    </row>
    <row r="439" spans="1:8" x14ac:dyDescent="0.2">
      <c r="A439" t="s">
        <v>870</v>
      </c>
      <c r="B439" t="s">
        <v>0</v>
      </c>
      <c r="D439" t="s">
        <v>2555</v>
      </c>
      <c r="E439" t="str" cm="1">
        <f t="array" ref="E439">IF(COUNTIF(A:A, "*" &amp; LEFT(D439, FIND(" ", D439 &amp; " ") - 1) &amp; "*") &gt; 0,INDEX(A:A,FuzzyVLookup(D439,A:A,0,,,1)),"Non-PDL")</f>
        <v>Non-PDL</v>
      </c>
      <c r="F439" t="str">
        <f t="shared" si="12"/>
        <v>Non-PDL</v>
      </c>
      <c r="G439" s="1" cm="1">
        <f t="array" ref="G439">FuzzyPercent(D439,E439,1)</f>
        <v>6.6666670143604279E-2</v>
      </c>
      <c r="H439" t="str">
        <f t="shared" si="13"/>
        <v/>
      </c>
    </row>
    <row r="440" spans="1:8" x14ac:dyDescent="0.2">
      <c r="A440" t="s">
        <v>872</v>
      </c>
      <c r="B440" t="s">
        <v>0</v>
      </c>
      <c r="D440" t="s">
        <v>2556</v>
      </c>
      <c r="E440" t="str" cm="1">
        <f t="array" ref="E440">IF(COUNTIF(A:A, "*" &amp; LEFT(D440, FIND(" ", D440 &amp; " ") - 1) &amp; "*") &gt; 0,INDEX(A:A,FuzzyVLookup(D440,A:A,0,,,1)),"Non-PDL")</f>
        <v>Non-PDL</v>
      </c>
      <c r="F440" t="str">
        <f t="shared" si="12"/>
        <v>Non-PDL</v>
      </c>
      <c r="G440" s="1" cm="1">
        <f t="array" ref="G440">FuzzyPercent(D440,E440,1)</f>
        <v>7.6923079788684845E-2</v>
      </c>
      <c r="H440" t="str">
        <f t="shared" si="13"/>
        <v/>
      </c>
    </row>
    <row r="441" spans="1:8" x14ac:dyDescent="0.2">
      <c r="A441" t="s">
        <v>874</v>
      </c>
      <c r="B441" t="s">
        <v>0</v>
      </c>
      <c r="D441" t="s">
        <v>255</v>
      </c>
      <c r="E441" t="str" cm="1">
        <f t="array" ref="E441">IF(COUNTIF(A:A, "*" &amp; LEFT(D441, FIND(" ", D441 &amp; " ") - 1) &amp; "*") &gt; 0,INDEX(A:A,FuzzyVLookup(D441,A:A,0,,,1)),"Non-PDL")</f>
        <v>Moexipril</v>
      </c>
      <c r="F441" t="str">
        <f t="shared" si="12"/>
        <v>Non-Preferred</v>
      </c>
      <c r="G441" s="1" cm="1">
        <f t="array" ref="G441">FuzzyPercent(D441,E441,1)</f>
        <v>1</v>
      </c>
      <c r="H441" t="str">
        <f t="shared" si="13"/>
        <v/>
      </c>
    </row>
    <row r="442" spans="1:8" x14ac:dyDescent="0.2">
      <c r="A442" t="s">
        <v>876</v>
      </c>
      <c r="B442" t="s">
        <v>0</v>
      </c>
      <c r="D442" t="s">
        <v>2557</v>
      </c>
      <c r="E442" t="str" cm="1">
        <f t="array" ref="E442">IF(COUNTIF(A:A, "*" &amp; LEFT(D442, FIND(" ", D442 &amp; " ") - 1) &amp; "*") &gt; 0,INDEX(A:A,FuzzyVLookup(D442,A:A,0,,,1)),"Non-PDL")</f>
        <v>MOUNJARO (tirzepatide)</v>
      </c>
      <c r="F442" t="str">
        <f t="shared" si="12"/>
        <v>Non-Preferred</v>
      </c>
      <c r="G442" s="1" cm="1">
        <f t="array" ref="G442">FuzzyPercent(D442,E442,1)</f>
        <v>0.53333336114883423</v>
      </c>
      <c r="H442" t="str">
        <f t="shared" si="13"/>
        <v/>
      </c>
    </row>
    <row r="443" spans="1:8" x14ac:dyDescent="0.2">
      <c r="A443" t="s">
        <v>878</v>
      </c>
      <c r="B443" t="s">
        <v>0</v>
      </c>
      <c r="D443" t="s">
        <v>2558</v>
      </c>
      <c r="E443" t="str" cm="1">
        <f t="array" ref="E443">IF(COUNTIF(A:A, "*" &amp; LEFT(D443, FIND(" ", D443 &amp; " ") - 1) &amp; "*") &gt; 0,INDEX(A:A,FuzzyVLookup(D443,A:A,0,,,1)),"Non-PDL")</f>
        <v>Non-PDL</v>
      </c>
      <c r="F443" t="str">
        <f t="shared" si="12"/>
        <v>Non-PDL</v>
      </c>
      <c r="G443" s="1" cm="1">
        <f t="array" ref="G443">FuzzyPercent(D443,E443,1)</f>
        <v>0.28571429848670959</v>
      </c>
      <c r="H443" t="str">
        <f t="shared" si="13"/>
        <v/>
      </c>
    </row>
    <row r="444" spans="1:8" x14ac:dyDescent="0.2">
      <c r="A444" t="s">
        <v>880</v>
      </c>
      <c r="B444" t="s">
        <v>0</v>
      </c>
      <c r="D444" t="s">
        <v>2559</v>
      </c>
      <c r="E444" t="str" cm="1">
        <f t="array" ref="E444">IF(COUNTIF(A:A, "*" &amp; LEFT(D444, FIND(" ", D444 &amp; " ") - 1) &amp; "*") &gt; 0,INDEX(A:A,FuzzyVLookup(D444,A:A,0,,,1)),"Non-PDL")</f>
        <v>fluoxetine capsule</v>
      </c>
      <c r="F444" t="str">
        <f t="shared" si="12"/>
        <v>Preferred</v>
      </c>
      <c r="G444" s="1" cm="1">
        <f t="array" ref="G444">FuzzyPercent(D444,E444,1)</f>
        <v>0.5</v>
      </c>
      <c r="H444" t="str">
        <f t="shared" si="13"/>
        <v/>
      </c>
    </row>
    <row r="445" spans="1:8" x14ac:dyDescent="0.2">
      <c r="A445" t="s">
        <v>882</v>
      </c>
      <c r="B445" t="s">
        <v>0</v>
      </c>
      <c r="D445" t="s">
        <v>2560</v>
      </c>
      <c r="E445" t="str" cm="1">
        <f t="array" ref="E445">IF(COUNTIF(A:A, "*" &amp; LEFT(D445, FIND(" ", D445 &amp; " ") - 1) &amp; "*") &gt; 0,INDEX(A:A,FuzzyVLookup(D445,A:A,0,,,1)),"Non-PDL")</f>
        <v>fluoxetine capsule</v>
      </c>
      <c r="F445" t="str">
        <f t="shared" si="12"/>
        <v>Preferred</v>
      </c>
      <c r="G445" s="1" cm="1">
        <f t="array" ref="G445">FuzzyPercent(D445,E445,1)</f>
        <v>0.40000000596046448</v>
      </c>
      <c r="H445" t="str">
        <f t="shared" si="13"/>
        <v/>
      </c>
    </row>
    <row r="446" spans="1:8" x14ac:dyDescent="0.2">
      <c r="A446" t="s">
        <v>884</v>
      </c>
      <c r="B446" t="s">
        <v>0</v>
      </c>
      <c r="D446" t="s">
        <v>2561</v>
      </c>
      <c r="E446" t="str" cm="1">
        <f t="array" ref="E446">IF(COUNTIF(A:A, "*" &amp; LEFT(D446, FIND(" ", D446 &amp; " ") - 1) &amp; "*") &gt; 0,INDEX(A:A,FuzzyVLookup(D446,A:A,0,,,1)),"Non-PDL")</f>
        <v>naloxone</v>
      </c>
      <c r="F446" t="str">
        <f t="shared" si="12"/>
        <v>Preferred</v>
      </c>
      <c r="G446" s="1" cm="1">
        <f t="array" ref="G446">FuzzyPercent(D446,E446,1)</f>
        <v>0.61538463830947876</v>
      </c>
      <c r="H446" t="str">
        <f t="shared" si="13"/>
        <v/>
      </c>
    </row>
    <row r="447" spans="1:8" x14ac:dyDescent="0.2">
      <c r="A447" t="s">
        <v>886</v>
      </c>
      <c r="B447" t="s">
        <v>0</v>
      </c>
      <c r="D447" t="s">
        <v>2562</v>
      </c>
      <c r="E447" t="str" cm="1">
        <f t="array" ref="E447">IF(COUNTIF(A:A, "*" &amp; LEFT(D447, FIND(" ", D447 &amp; " ") - 1) &amp; "*") &gt; 0,INDEX(A:A,FuzzyVLookup(D447,A:A,0,,,1)),"Non-PDL")</f>
        <v>NAMENDA (memantine)</v>
      </c>
      <c r="F447" t="str">
        <f t="shared" si="12"/>
        <v>Non-Preferred</v>
      </c>
      <c r="G447" s="1" cm="1">
        <f t="array" ref="G447">FuzzyPercent(D447,E447,1)</f>
        <v>0.53846156597137451</v>
      </c>
      <c r="H447" t="str">
        <f t="shared" si="13"/>
        <v/>
      </c>
    </row>
    <row r="448" spans="1:8" x14ac:dyDescent="0.2">
      <c r="A448" t="s">
        <v>888</v>
      </c>
      <c r="B448" t="s">
        <v>0</v>
      </c>
      <c r="D448" t="s">
        <v>2563</v>
      </c>
      <c r="E448" t="str" cm="1">
        <f t="array" ref="E448">IF(COUNTIF(A:A, "*" &amp; LEFT(D448, FIND(" ", D448 &amp; " ") - 1) &amp; "*") &gt; 0,INDEX(A:A,FuzzyVLookup(D448,A:A,0,,,1)),"Non-PDL")</f>
        <v>NAMENDA XR (memantine)</v>
      </c>
      <c r="F448" t="str">
        <f t="shared" si="12"/>
        <v>Non-Preferred</v>
      </c>
      <c r="G448" s="1" cm="1">
        <f t="array" ref="G448">FuzzyPercent(D448,E448,1)</f>
        <v>0.625</v>
      </c>
      <c r="H448" t="str">
        <f t="shared" si="13"/>
        <v/>
      </c>
    </row>
    <row r="449" spans="1:8" x14ac:dyDescent="0.2">
      <c r="A449" t="s">
        <v>890</v>
      </c>
      <c r="B449" t="s">
        <v>0</v>
      </c>
      <c r="D449" t="s">
        <v>2564</v>
      </c>
      <c r="E449" t="str" cm="1">
        <f t="array" ref="E449">IF(COUNTIF(A:A, "*" &amp; LEFT(D449, FIND(" ", D449 &amp; " ") - 1) &amp; "*") &gt; 0,INDEX(A:A,FuzzyVLookup(D449,A:A,0,,,1)),"Non-PDL")</f>
        <v>ramipril</v>
      </c>
      <c r="F449" t="str">
        <f t="shared" si="12"/>
        <v>Preferred</v>
      </c>
      <c r="G449" s="1" cm="1">
        <f t="array" ref="G449">FuzzyPercent(D449,E449,1)</f>
        <v>0.5</v>
      </c>
      <c r="H449" t="str">
        <f t="shared" si="13"/>
        <v/>
      </c>
    </row>
    <row r="450" spans="1:8" x14ac:dyDescent="0.2">
      <c r="A450" t="s">
        <v>892</v>
      </c>
      <c r="B450" t="s">
        <v>0</v>
      </c>
      <c r="D450" t="s">
        <v>2565</v>
      </c>
      <c r="E450" t="str" cm="1">
        <f t="array" ref="E450">IF(COUNTIF(A:A, "*" &amp; LEFT(D450, FIND(" ", D450 &amp; " ") - 1) &amp; "*") &gt; 0,INDEX(A:A,FuzzyVLookup(D450,A:A,0,,,1)),"Non-PDL")</f>
        <v>NARCAN (naloxone)</v>
      </c>
      <c r="F450" t="str">
        <f t="shared" si="12"/>
        <v>Preferred</v>
      </c>
      <c r="G450" s="1" cm="1">
        <f t="array" ref="G450">FuzzyPercent(D450,E450,1)</f>
        <v>0.52173912525177002</v>
      </c>
      <c r="H450" t="str">
        <f t="shared" si="13"/>
        <v/>
      </c>
    </row>
    <row r="451" spans="1:8" x14ac:dyDescent="0.2">
      <c r="A451" t="s">
        <v>894</v>
      </c>
      <c r="B451" t="s">
        <v>0</v>
      </c>
      <c r="D451" t="s">
        <v>2566</v>
      </c>
      <c r="E451" t="str" cm="1">
        <f t="array" ref="E451">IF(COUNTIF(A:A, "*" &amp; LEFT(D451, FIND(" ", D451 &amp; " ") - 1) &amp; "*") &gt; 0,INDEX(A:A,FuzzyVLookup(D451,A:A,0,,,1)),"Non-PDL")</f>
        <v>NATACYN (natamycin0</v>
      </c>
      <c r="F451" t="str">
        <f t="shared" ref="F451:F514" si="14">_xlfn.IFNA(_xlfn.XLOOKUP(E451,A:A,B:B),"Non-PDL")</f>
        <v>Non-Preferred</v>
      </c>
      <c r="G451" s="1" cm="1">
        <f t="array" ref="G451">FuzzyPercent(D451,E451,1)</f>
        <v>0.43902438879013062</v>
      </c>
      <c r="H451" t="str">
        <f t="shared" ref="H451:H514" si="15">IF(F451="Non-PDL","",IF(G451&lt;0.4,"CHECK",""))</f>
        <v/>
      </c>
    </row>
    <row r="452" spans="1:8" x14ac:dyDescent="0.2">
      <c r="A452" t="s">
        <v>896</v>
      </c>
      <c r="B452" t="s">
        <v>0</v>
      </c>
      <c r="D452" t="s">
        <v>2567</v>
      </c>
      <c r="E452" t="str" cm="1">
        <f t="array" ref="E452">IF(COUNTIF(A:A, "*" &amp; LEFT(D452, FIND(" ", D452 &amp; " ") - 1) &amp; "*") &gt; 0,INDEX(A:A,FuzzyVLookup(D452,A:A,0,,,1)),"Non-PDL")</f>
        <v>Non-PDL</v>
      </c>
      <c r="F452" t="str">
        <f t="shared" si="14"/>
        <v>Non-PDL</v>
      </c>
      <c r="G452" s="1" cm="1">
        <f t="array" ref="G452">FuzzyPercent(D452,E452,1)</f>
        <v>0.1428571492433548</v>
      </c>
      <c r="H452" t="str">
        <f t="shared" si="15"/>
        <v/>
      </c>
    </row>
    <row r="453" spans="1:8" x14ac:dyDescent="0.2">
      <c r="A453" t="s">
        <v>898</v>
      </c>
      <c r="B453" t="s">
        <v>0</v>
      </c>
      <c r="D453" t="s">
        <v>2568</v>
      </c>
      <c r="E453" t="str" cm="1">
        <f t="array" ref="E453">IF(COUNTIF(A:A, "*" &amp; LEFT(D453, FIND(" ", D453 &amp; " ") - 1) &amp; "*") &gt; 0,INDEX(A:A,FuzzyVLookup(D453,A:A,0,,,1)),"Non-PDL")</f>
        <v>NAYZILAM (midazolam)</v>
      </c>
      <c r="F453" t="str">
        <f t="shared" si="14"/>
        <v>Preferred</v>
      </c>
      <c r="G453" s="1" cm="1">
        <f t="array" ref="G453">FuzzyPercent(D453,E453,1)</f>
        <v>0.57142859697341919</v>
      </c>
      <c r="H453" t="str">
        <f t="shared" si="15"/>
        <v/>
      </c>
    </row>
    <row r="454" spans="1:8" x14ac:dyDescent="0.2">
      <c r="A454" t="s">
        <v>900</v>
      </c>
      <c r="B454" t="s">
        <v>0</v>
      </c>
      <c r="D454" t="s">
        <v>2569</v>
      </c>
      <c r="E454" t="str" cm="1">
        <f t="array" ref="E454">IF(COUNTIF(A:A, "*" &amp; LEFT(D454, FIND(" ", D454 &amp; " ") - 1) &amp; "*") &gt; 0,INDEX(A:A,FuzzyVLookup(D454,A:A,0,,,1)),"Non-PDL")</f>
        <v>PROLASTIN C</v>
      </c>
      <c r="F454" t="str">
        <f t="shared" si="14"/>
        <v>Preferred</v>
      </c>
      <c r="G454" s="1" cm="1">
        <f t="array" ref="G454">FuzzyPercent(D454,E454,1)</f>
        <v>0.42105263471603394</v>
      </c>
      <c r="H454" t="str">
        <f t="shared" si="15"/>
        <v/>
      </c>
    </row>
    <row r="455" spans="1:8" x14ac:dyDescent="0.2">
      <c r="A455" t="s">
        <v>902</v>
      </c>
      <c r="B455" t="s">
        <v>0</v>
      </c>
      <c r="D455" t="s">
        <v>2570</v>
      </c>
      <c r="E455" t="str" cm="1">
        <f t="array" ref="E455">IF(COUNTIF(A:A, "*" &amp; LEFT(D455, FIND(" ", D455 &amp; " ") - 1) &amp; "*") &gt; 0,INDEX(A:A,FuzzyVLookup(D455,A:A,0,,,1)),"Non-PDL")</f>
        <v>insulin aspart</v>
      </c>
      <c r="F455" t="str">
        <f t="shared" si="14"/>
        <v>Preferred</v>
      </c>
      <c r="G455" s="1" cm="1">
        <f t="array" ref="G455">FuzzyPercent(D455,E455,1)</f>
        <v>0.4285714328289032</v>
      </c>
      <c r="H455" t="str">
        <f t="shared" si="15"/>
        <v/>
      </c>
    </row>
    <row r="456" spans="1:8" x14ac:dyDescent="0.2">
      <c r="A456" t="s">
        <v>904</v>
      </c>
      <c r="B456" t="s">
        <v>0</v>
      </c>
      <c r="D456" t="s">
        <v>2571</v>
      </c>
      <c r="E456" t="str" cm="1">
        <f t="array" ref="E456">IF(COUNTIF(A:A, "*" &amp; LEFT(D456, FIND(" ", D456 &amp; " ") - 1) &amp; "*") &gt; 0,INDEX(A:A,FuzzyVLookup(D456,A:A,0,,,1)),"Non-PDL")</f>
        <v>NEVANAC (nepafenac)</v>
      </c>
      <c r="F456" t="str">
        <f t="shared" si="14"/>
        <v>Non-Preferred</v>
      </c>
      <c r="G456" s="1" cm="1">
        <f t="array" ref="G456">FuzzyPercent(D456,E456,1)</f>
        <v>0.34482759237289429</v>
      </c>
      <c r="H456" t="str">
        <f t="shared" si="15"/>
        <v>CHECK</v>
      </c>
    </row>
    <row r="457" spans="1:8" x14ac:dyDescent="0.2">
      <c r="A457" t="s">
        <v>906</v>
      </c>
      <c r="B457" t="s">
        <v>0</v>
      </c>
      <c r="D457" t="s">
        <v>2572</v>
      </c>
      <c r="E457" t="str" cm="1">
        <f t="array" ref="E457">IF(COUNTIF(A:A, "*" &amp; LEFT(D457, FIND(" ", D457 &amp; " ") - 1) &amp; "*") &gt; 0,INDEX(A:A,FuzzyVLookup(D457,A:A,0,,,1)),"Non-PDL")</f>
        <v>NEXAVAR (sorafenib)</v>
      </c>
      <c r="F457" t="str">
        <f t="shared" si="14"/>
        <v>Preferred</v>
      </c>
      <c r="G457" s="1" cm="1">
        <f t="array" ref="G457">FuzzyPercent(D457,E457,1)</f>
        <v>0.53846156597137451</v>
      </c>
      <c r="H457" t="str">
        <f t="shared" si="15"/>
        <v/>
      </c>
    </row>
    <row r="458" spans="1:8" x14ac:dyDescent="0.2">
      <c r="A458" t="s">
        <v>908</v>
      </c>
      <c r="B458" t="s">
        <v>0</v>
      </c>
      <c r="D458" t="s">
        <v>2573</v>
      </c>
      <c r="E458" t="str" cm="1">
        <f t="array" ref="E458">IF(COUNTIF(A:A, "*" &amp; LEFT(D458, FIND(" ", D458 &amp; " ") - 1) &amp; "*") &gt; 0,INDEX(A:A,FuzzyVLookup(D458,A:A,0,,,1)),"Non-PDL")</f>
        <v>metronidazole capsule</v>
      </c>
      <c r="F458" t="str">
        <f t="shared" si="14"/>
        <v>Non-Preferred</v>
      </c>
      <c r="G458" s="1" cm="1">
        <f t="array" ref="G458">FuzzyPercent(D458,E458,1)</f>
        <v>0.39473685622215271</v>
      </c>
      <c r="H458" t="str">
        <f t="shared" si="15"/>
        <v>CHECK</v>
      </c>
    </row>
    <row r="459" spans="1:8" x14ac:dyDescent="0.2">
      <c r="A459" t="s">
        <v>910</v>
      </c>
      <c r="B459" t="s">
        <v>0</v>
      </c>
      <c r="D459" t="s">
        <v>2574</v>
      </c>
      <c r="E459" t="str" cm="1">
        <f t="array" ref="E459">IF(COUNTIF(A:A, "*" &amp; LEFT(D459, FIND(" ", D459 &amp; " ") - 1) &amp; "*") &gt; 0,INDEX(A:A,FuzzyVLookup(D459,A:A,0,,,1)),"Non-PDL")</f>
        <v>NEXIUM (esomeprazole) packet</v>
      </c>
      <c r="F459" t="str">
        <f t="shared" si="14"/>
        <v>Preferred</v>
      </c>
      <c r="G459" s="1" cm="1">
        <f t="array" ref="G459">FuzzyPercent(D459,E459,1)</f>
        <v>0.3055555522441864</v>
      </c>
      <c r="H459" t="str">
        <f t="shared" si="15"/>
        <v>CHECK</v>
      </c>
    </row>
    <row r="460" spans="1:8" x14ac:dyDescent="0.2">
      <c r="A460" t="s">
        <v>912</v>
      </c>
      <c r="B460" t="s">
        <v>0</v>
      </c>
      <c r="D460" t="s">
        <v>2575</v>
      </c>
      <c r="E460" t="str" cm="1">
        <f t="array" ref="E460">IF(COUNTIF(A:A, "*" &amp; LEFT(D460, FIND(" ", D460 &amp; " ") - 1) &amp; "*") &gt; 0,INDEX(A:A,FuzzyVLookup(D460,A:A,0,,,1)),"Non-PDL")</f>
        <v>NEXTSTELLIS (drospirenone/estetrol)</v>
      </c>
      <c r="F460" t="str">
        <f t="shared" si="14"/>
        <v>Preferred</v>
      </c>
      <c r="G460" s="1" cm="1">
        <f t="array" ref="G460">FuzzyPercent(D460,E460,1)</f>
        <v>0.47826087474822998</v>
      </c>
      <c r="H460" t="str">
        <f t="shared" si="15"/>
        <v/>
      </c>
    </row>
    <row r="461" spans="1:8" x14ac:dyDescent="0.2">
      <c r="A461" t="s">
        <v>914</v>
      </c>
      <c r="B461" t="s">
        <v>0</v>
      </c>
      <c r="D461" t="s">
        <v>2576</v>
      </c>
      <c r="E461" t="str" cm="1">
        <f t="array" ref="E461">IF(COUNTIF(A:A, "*" &amp; LEFT(D461, FIND(" ", D461 &amp; " ") - 1) &amp; "*") &gt; 0,INDEX(A:A,FuzzyVLookup(D461,A:A,0,,,1)),"Non-PDL")</f>
        <v>Non-PDL</v>
      </c>
      <c r="F461" t="str">
        <f t="shared" si="14"/>
        <v>Non-PDL</v>
      </c>
      <c r="G461" s="1" cm="1">
        <f t="array" ref="G461">FuzzyPercent(D461,E461,1)</f>
        <v>0.10000000149011612</v>
      </c>
      <c r="H461" t="str">
        <f t="shared" si="15"/>
        <v/>
      </c>
    </row>
    <row r="462" spans="1:8" x14ac:dyDescent="0.2">
      <c r="A462" t="s">
        <v>916</v>
      </c>
      <c r="B462" t="s">
        <v>0</v>
      </c>
      <c r="D462" t="s">
        <v>2577</v>
      </c>
      <c r="E462" t="str" cm="1">
        <f t="array" ref="E462">IF(COUNTIF(A:A, "*" &amp; LEFT(D462, FIND(" ", D462 &amp; " ") - 1) &amp; "*") &gt; 0,INDEX(A:A,FuzzyVLookup(D462,A:A,0,,,1)),"Non-PDL")</f>
        <v>NGENLA (somatrogon-ghla)</v>
      </c>
      <c r="F462" t="str">
        <f t="shared" si="14"/>
        <v>Non-Preferred</v>
      </c>
      <c r="G462" s="1" cm="1">
        <f t="array" ref="G462">FuzzyPercent(D462,E462,1)</f>
        <v>0.40000000596046448</v>
      </c>
      <c r="H462" t="str">
        <f t="shared" si="15"/>
        <v/>
      </c>
    </row>
    <row r="463" spans="1:8" x14ac:dyDescent="0.2">
      <c r="A463" t="s">
        <v>918</v>
      </c>
      <c r="B463" t="s">
        <v>0</v>
      </c>
      <c r="D463" t="s">
        <v>2578</v>
      </c>
      <c r="E463" t="str" cm="1">
        <f t="array" ref="E463">IF(COUNTIF(A:A, "*" &amp; LEFT(D463, FIND(" ", D463 &amp; " ") - 1) &amp; "*") &gt; 0,INDEX(A:A,FuzzyVLookup(D463,A:A,0,,,1)),"Non-PDL")</f>
        <v>Non-PDL</v>
      </c>
      <c r="F463" t="str">
        <f t="shared" si="14"/>
        <v>Non-PDL</v>
      </c>
      <c r="G463" s="1" cm="1">
        <f t="array" ref="G463">FuzzyPercent(D463,E463,1)</f>
        <v>0.2222222238779068</v>
      </c>
      <c r="H463" t="str">
        <f t="shared" si="15"/>
        <v/>
      </c>
    </row>
    <row r="464" spans="1:8" x14ac:dyDescent="0.2">
      <c r="A464" t="s">
        <v>920</v>
      </c>
      <c r="B464" t="s">
        <v>0</v>
      </c>
      <c r="D464" t="s">
        <v>2579</v>
      </c>
      <c r="E464" t="str" cm="1">
        <f t="array" ref="E464">IF(COUNTIF(A:A, "*" &amp; LEFT(D464, FIND(" ", D464 &amp; " ") - 1) &amp; "*") &gt; 0,INDEX(A:A,FuzzyVLookup(D464,A:A,0,,,1)),"Non-PDL")</f>
        <v>Non-PDL</v>
      </c>
      <c r="F464" t="str">
        <f t="shared" si="14"/>
        <v>Non-PDL</v>
      </c>
      <c r="G464" s="1" cm="1">
        <f t="array" ref="G464">FuzzyPercent(D464,E464,1)</f>
        <v>0.4285714328289032</v>
      </c>
      <c r="H464" t="str">
        <f t="shared" si="15"/>
        <v/>
      </c>
    </row>
    <row r="465" spans="1:8" x14ac:dyDescent="0.2">
      <c r="A465" t="s">
        <v>922</v>
      </c>
      <c r="B465" t="s">
        <v>0</v>
      </c>
      <c r="D465" t="s">
        <v>2580</v>
      </c>
      <c r="E465" t="str" cm="1">
        <f t="array" ref="E465">IF(COUNTIF(A:A, "*" &amp; LEFT(D465, FIND(" ", D465 &amp; " ") - 1) &amp; "*") &gt; 0,INDEX(A:A,FuzzyVLookup(D465,A:A,0,,,1)),"Non-PDL")</f>
        <v>NORDITROPIN FLEXPRO (somatropin)</v>
      </c>
      <c r="F465" t="str">
        <f t="shared" si="14"/>
        <v>Preferred</v>
      </c>
      <c r="G465" s="1" cm="1">
        <f t="array" ref="G465">FuzzyPercent(D465,E465,1)</f>
        <v>0.5116279125213623</v>
      </c>
      <c r="H465" t="str">
        <f t="shared" si="15"/>
        <v/>
      </c>
    </row>
    <row r="466" spans="1:8" x14ac:dyDescent="0.2">
      <c r="A466" t="s">
        <v>924</v>
      </c>
      <c r="B466" t="s">
        <v>0</v>
      </c>
      <c r="D466" t="s">
        <v>2581</v>
      </c>
      <c r="E466" t="str" cm="1">
        <f t="array" ref="E466">IF(COUNTIF(A:A, "*" &amp; LEFT(D466, FIND(" ", D466 &amp; " ") - 1) &amp; "*") &gt; 0,INDEX(A:A,FuzzyVLookup(D466,A:A,0,,,1)),"Non-PDL")</f>
        <v>NORGESIC FORTE (orphenadrine/aspirin/caffeine)</v>
      </c>
      <c r="F466" t="str">
        <f t="shared" si="14"/>
        <v>Non-Preferred</v>
      </c>
      <c r="G466" s="1" cm="1">
        <f t="array" ref="G466">FuzzyPercent(D466,E466,1)</f>
        <v>0.46666666865348816</v>
      </c>
      <c r="H466" t="str">
        <f t="shared" si="15"/>
        <v/>
      </c>
    </row>
    <row r="467" spans="1:8" x14ac:dyDescent="0.2">
      <c r="A467" t="s">
        <v>926</v>
      </c>
      <c r="B467" t="s">
        <v>0</v>
      </c>
      <c r="D467" t="s">
        <v>2582</v>
      </c>
      <c r="E467" t="str" cm="1">
        <f t="array" ref="E467">IF(COUNTIF(A:A, "*" &amp; LEFT(D467, FIND(" ", D467 &amp; " ") - 1) &amp; "*") &gt; 0,INDEX(A:A,FuzzyVLookup(D467,A:A,0,,,1)),"Non-PDL")</f>
        <v>NOVOEIGHT</v>
      </c>
      <c r="F467" t="str">
        <f t="shared" si="14"/>
        <v>Preferred</v>
      </c>
      <c r="G467" s="1" cm="1">
        <f t="array" ref="G467">FuzzyPercent(D467,E467,1)</f>
        <v>1</v>
      </c>
      <c r="H467" t="str">
        <f t="shared" si="15"/>
        <v/>
      </c>
    </row>
    <row r="468" spans="1:8" x14ac:dyDescent="0.2">
      <c r="A468" t="s">
        <v>928</v>
      </c>
      <c r="B468" t="s">
        <v>0</v>
      </c>
      <c r="D468" t="s">
        <v>2583</v>
      </c>
      <c r="E468" t="str" cm="1">
        <f t="array" ref="E468">IF(COUNTIF(A:A, "*" &amp; LEFT(D468, FIND(" ", D468 &amp; " ") - 1) &amp; "*") &gt; 0,INDEX(A:A,FuzzyVLookup(D468,A:A,0,,,1)),"Non-PDL")</f>
        <v>NOVOLIN 70/30 (insulin NPH/regular)</v>
      </c>
      <c r="F468" t="str">
        <f t="shared" si="14"/>
        <v>Non-Preferred</v>
      </c>
      <c r="G468" s="1" cm="1">
        <f t="array" ref="G468">FuzzyPercent(D468,E468,1)</f>
        <v>0.54166668653488159</v>
      </c>
      <c r="H468" t="str">
        <f t="shared" si="15"/>
        <v/>
      </c>
    </row>
    <row r="469" spans="1:8" x14ac:dyDescent="0.2">
      <c r="A469" t="s">
        <v>930</v>
      </c>
      <c r="B469" t="s">
        <v>0</v>
      </c>
      <c r="D469" t="s">
        <v>2584</v>
      </c>
      <c r="E469" t="str" cm="1">
        <f t="array" ref="E469">IF(COUNTIF(A:A, "*" &amp; LEFT(D469, FIND(" ", D469 &amp; " ") - 1) &amp; "*") &gt; 0,INDEX(A:A,FuzzyVLookup(D469,A:A,0,,,1)),"Non-PDL")</f>
        <v>NOVOLIN 70/30 (insulin NPH/regular)</v>
      </c>
      <c r="F469" t="str">
        <f t="shared" si="14"/>
        <v>Non-Preferred</v>
      </c>
      <c r="G469" s="1" cm="1">
        <f t="array" ref="G469">FuzzyPercent(D469,E469,1)</f>
        <v>0.5</v>
      </c>
      <c r="H469" t="str">
        <f t="shared" si="15"/>
        <v/>
      </c>
    </row>
    <row r="470" spans="1:8" x14ac:dyDescent="0.2">
      <c r="A470" t="s">
        <v>932</v>
      </c>
      <c r="B470" t="s">
        <v>0</v>
      </c>
      <c r="D470" t="s">
        <v>2585</v>
      </c>
      <c r="E470" t="str" cm="1">
        <f t="array" ref="E470">IF(COUNTIF(A:A, "*" &amp; LEFT(D470, FIND(" ", D470 &amp; " ") - 1) &amp; "*") &gt; 0,INDEX(A:A,FuzzyVLookup(D470,A:A,0,,,1)),"Non-PDL")</f>
        <v>NOVOEIGHT</v>
      </c>
      <c r="F470" t="str">
        <f t="shared" si="14"/>
        <v>Preferred</v>
      </c>
      <c r="G470" s="1" cm="1">
        <f t="array" ref="G470">FuzzyPercent(D470,E470,1)</f>
        <v>0.55555558204650879</v>
      </c>
      <c r="H470" t="str">
        <f t="shared" si="15"/>
        <v/>
      </c>
    </row>
    <row r="471" spans="1:8" x14ac:dyDescent="0.2">
      <c r="A471" t="s">
        <v>934</v>
      </c>
      <c r="B471" t="s">
        <v>0</v>
      </c>
      <c r="D471" t="s">
        <v>2586</v>
      </c>
      <c r="E471" t="str" cm="1">
        <f t="array" ref="E471">IF(COUNTIF(A:A, "*" &amp; LEFT(D471, FIND(" ", D471 &amp; " ") - 1) &amp; "*") &gt; 0,INDEX(A:A,FuzzyVLookup(D471,A:A,0,,,1)),"Non-PDL")</f>
        <v>NOVOEIGHT</v>
      </c>
      <c r="F471" t="str">
        <f t="shared" si="14"/>
        <v>Preferred</v>
      </c>
      <c r="G471" s="1" cm="1">
        <f t="array" ref="G471">FuzzyPercent(D471,E471,1)</f>
        <v>0.55555558204650879</v>
      </c>
      <c r="H471" t="str">
        <f t="shared" si="15"/>
        <v/>
      </c>
    </row>
    <row r="472" spans="1:8" x14ac:dyDescent="0.2">
      <c r="A472" t="s">
        <v>936</v>
      </c>
      <c r="B472" t="s">
        <v>0</v>
      </c>
      <c r="D472" t="s">
        <v>2587</v>
      </c>
      <c r="E472" t="str" cm="1">
        <f t="array" ref="E472">IF(COUNTIF(A:A, "*" &amp; LEFT(D472, FIND(" ", D472 &amp; " ") - 1) &amp; "*") &gt; 0,INDEX(A:A,FuzzyVLookup(D472,A:A,0,,,1)),"Non-PDL")</f>
        <v>NOVOEIGHT</v>
      </c>
      <c r="F472" t="str">
        <f t="shared" si="14"/>
        <v>Preferred</v>
      </c>
      <c r="G472" s="1" cm="1">
        <f t="array" ref="G472">FuzzyPercent(D472,E472,1)</f>
        <v>0.625</v>
      </c>
      <c r="H472" t="str">
        <f t="shared" si="15"/>
        <v/>
      </c>
    </row>
    <row r="473" spans="1:8" x14ac:dyDescent="0.2">
      <c r="A473" t="s">
        <v>938</v>
      </c>
      <c r="B473" t="s">
        <v>0</v>
      </c>
      <c r="D473" t="s">
        <v>2588</v>
      </c>
      <c r="E473" t="str" cm="1">
        <f t="array" ref="E473">IF(COUNTIF(A:A, "*" &amp; LEFT(D473, FIND(" ", D473 &amp; " ") - 1) &amp; "*") &gt; 0,INDEX(A:A,FuzzyVLookup(D473,A:A,0,,,1)),"Non-PDL")</f>
        <v>NOVOLOG (insulin aspart)</v>
      </c>
      <c r="F473" t="str">
        <f t="shared" si="14"/>
        <v>Non-Preferred</v>
      </c>
      <c r="G473" s="1" cm="1">
        <f t="array" ref="G473">FuzzyPercent(D473,E473,1)</f>
        <v>0.41463413834571838</v>
      </c>
      <c r="H473" t="str">
        <f t="shared" si="15"/>
        <v/>
      </c>
    </row>
    <row r="474" spans="1:8" x14ac:dyDescent="0.2">
      <c r="A474" t="s">
        <v>940</v>
      </c>
      <c r="B474" t="s">
        <v>0</v>
      </c>
      <c r="D474" t="s">
        <v>2589</v>
      </c>
      <c r="E474" t="str" cm="1">
        <f t="array" ref="E474">IF(COUNTIF(A:A, "*" &amp; LEFT(D474, FIND(" ", D474 &amp; " ") - 1) &amp; "*") &gt; 0,INDEX(A:A,FuzzyVLookup(D474,A:A,0,,,1)),"Non-PDL")</f>
        <v>NOVOLOG (insulin aspart)</v>
      </c>
      <c r="F474" t="str">
        <f t="shared" si="14"/>
        <v>Non-Preferred</v>
      </c>
      <c r="G474" s="1" cm="1">
        <f t="array" ref="G474">FuzzyPercent(D474,E474,1)</f>
        <v>0.43589743971824646</v>
      </c>
      <c r="H474" t="str">
        <f t="shared" si="15"/>
        <v/>
      </c>
    </row>
    <row r="475" spans="1:8" x14ac:dyDescent="0.2">
      <c r="A475" t="s">
        <v>942</v>
      </c>
      <c r="B475" t="s">
        <v>0</v>
      </c>
      <c r="D475" t="s">
        <v>2590</v>
      </c>
      <c r="E475" t="str" cm="1">
        <f t="array" ref="E475">IF(COUNTIF(A:A, "*" &amp; LEFT(D475, FIND(" ", D475 &amp; " ") - 1) &amp; "*") &gt; 0,INDEX(A:A,FuzzyVLookup(D475,A:A,0,,,1)),"Non-PDL")</f>
        <v>NOVOLIN 70/30 (insulin NPH/regular)</v>
      </c>
      <c r="F475" t="str">
        <f t="shared" si="14"/>
        <v>Non-Preferred</v>
      </c>
      <c r="G475" s="1" cm="1">
        <f t="array" ref="G475">FuzzyPercent(D475,E475,1)</f>
        <v>0.4583333432674408</v>
      </c>
      <c r="H475" t="str">
        <f t="shared" si="15"/>
        <v/>
      </c>
    </row>
    <row r="476" spans="1:8" x14ac:dyDescent="0.2">
      <c r="A476" t="s">
        <v>943</v>
      </c>
      <c r="B476" t="s">
        <v>0</v>
      </c>
      <c r="D476" t="s">
        <v>2591</v>
      </c>
      <c r="E476" t="str" cm="1">
        <f t="array" ref="E476">IF(COUNTIF(A:A, "*" &amp; LEFT(D476, FIND(" ", D476 &amp; " ") - 1) &amp; "*") &gt; 0,INDEX(A:A,FuzzyVLookup(D476,A:A,0,,,1)),"Non-PDL")</f>
        <v>NOVOLIN 70/30 (insulin NPH/regular)</v>
      </c>
      <c r="F476" t="str">
        <f t="shared" si="14"/>
        <v>Non-Preferred</v>
      </c>
      <c r="G476" s="1" cm="1">
        <f t="array" ref="G476">FuzzyPercent(D476,E476,1)</f>
        <v>0.4464285671710968</v>
      </c>
      <c r="H476" t="str">
        <f t="shared" si="15"/>
        <v/>
      </c>
    </row>
    <row r="477" spans="1:8" x14ac:dyDescent="0.2">
      <c r="A477" t="s">
        <v>945</v>
      </c>
      <c r="B477" t="s">
        <v>0</v>
      </c>
      <c r="D477" t="s">
        <v>2592</v>
      </c>
      <c r="E477" t="str" cm="1">
        <f t="array" ref="E477">IF(COUNTIF(A:A, "*" &amp; LEFT(D477, FIND(" ", D477 &amp; " ") - 1) &amp; "*") &gt; 0,INDEX(A:A,FuzzyVLookup(D477,A:A,0,,,1)),"Non-PDL")</f>
        <v>NOVOSEVEN RT (factor VII)</v>
      </c>
      <c r="F477" t="str">
        <f t="shared" si="14"/>
        <v>Non-Preferred</v>
      </c>
      <c r="G477" s="1" cm="1">
        <f t="array" ref="G477">FuzzyPercent(D477,E477,1)</f>
        <v>0.64864861965179443</v>
      </c>
      <c r="H477" t="str">
        <f t="shared" si="15"/>
        <v/>
      </c>
    </row>
    <row r="478" spans="1:8" x14ac:dyDescent="0.2">
      <c r="A478" t="s">
        <v>947</v>
      </c>
      <c r="B478" t="s">
        <v>0</v>
      </c>
      <c r="D478" t="s">
        <v>2593</v>
      </c>
      <c r="E478" t="str" cm="1">
        <f t="array" ref="E478">IF(COUNTIF(A:A, "*" &amp; LEFT(D478, FIND(" ", D478 &amp; " ") - 1) &amp; "*") &gt; 0,INDEX(A:A,FuzzyVLookup(D478,A:A,0,,,1)),"Non-PDL")</f>
        <v>azithromycin</v>
      </c>
      <c r="F478" t="str">
        <f t="shared" si="14"/>
        <v>Preferred</v>
      </c>
      <c r="G478" s="1" cm="1">
        <f t="array" ref="G478">FuzzyPercent(D478,E478,1)</f>
        <v>0.31818181276321411</v>
      </c>
      <c r="H478" t="str">
        <f t="shared" si="15"/>
        <v>CHECK</v>
      </c>
    </row>
    <row r="479" spans="1:8" x14ac:dyDescent="0.2">
      <c r="A479" t="s">
        <v>948</v>
      </c>
      <c r="B479" t="s">
        <v>0</v>
      </c>
      <c r="D479" t="s">
        <v>2594</v>
      </c>
      <c r="E479" t="str" cm="1">
        <f t="array" ref="E479">IF(COUNTIF(A:A, "*" &amp; LEFT(D479, FIND(" ", D479 &amp; " ") - 1) &amp; "*") &gt; 0,INDEX(A:A,FuzzyVLookup(D479,A:A,0,,,1)),"Non-PDL")</f>
        <v>ENSURE</v>
      </c>
      <c r="F479" t="str">
        <f t="shared" si="14"/>
        <v>Preferred</v>
      </c>
      <c r="G479" s="1" cm="1">
        <f t="array" ref="G479">FuzzyPercent(D479,E479,1)</f>
        <v>0.5</v>
      </c>
      <c r="H479" t="str">
        <f t="shared" si="15"/>
        <v/>
      </c>
    </row>
    <row r="480" spans="1:8" x14ac:dyDescent="0.2">
      <c r="A480" t="s">
        <v>950</v>
      </c>
      <c r="B480" t="s">
        <v>0</v>
      </c>
      <c r="D480" t="s">
        <v>2595</v>
      </c>
      <c r="E480" t="str" cm="1">
        <f t="array" ref="E480">IF(COUNTIF(A:A, "*" &amp; LEFT(D480, FIND(" ", D480 &amp; " ") - 1) &amp; "*") &gt; 0,INDEX(A:A,FuzzyVLookup(D480,A:A,0,,,1)),"Non-PDL")</f>
        <v>DUOCAL</v>
      </c>
      <c r="F480" t="str">
        <f t="shared" si="14"/>
        <v>Preferred</v>
      </c>
      <c r="G480" s="1" cm="1">
        <f t="array" ref="G480">FuzzyPercent(D480,E480,1)</f>
        <v>0.66666668653488159</v>
      </c>
      <c r="H480" t="str">
        <f t="shared" si="15"/>
        <v/>
      </c>
    </row>
    <row r="481" spans="1:8" x14ac:dyDescent="0.2">
      <c r="A481" t="s">
        <v>952</v>
      </c>
      <c r="B481" t="s">
        <v>0</v>
      </c>
      <c r="D481" t="s">
        <v>2596</v>
      </c>
      <c r="E481" t="str" cm="1">
        <f t="array" ref="E481">IF(COUNTIF(A:A, "*" &amp; LEFT(D481, FIND(" ", D481 &amp; " ") - 1) &amp; "*") &gt; 0,INDEX(A:A,FuzzyVLookup(D481,A:A,0,,,1)),"Non-PDL")</f>
        <v>NUPLAZID (pimavanserin)</v>
      </c>
      <c r="F481" t="str">
        <f t="shared" si="14"/>
        <v>Non-Preferred</v>
      </c>
      <c r="G481" s="1" cm="1">
        <f t="array" ref="G481">FuzzyPercent(D481,E481,1)</f>
        <v>0.5161290168762207</v>
      </c>
      <c r="H481" t="str">
        <f t="shared" si="15"/>
        <v/>
      </c>
    </row>
    <row r="482" spans="1:8" x14ac:dyDescent="0.2">
      <c r="A482" t="s">
        <v>954</v>
      </c>
      <c r="B482" t="s">
        <v>0</v>
      </c>
      <c r="D482" t="s">
        <v>2597</v>
      </c>
      <c r="E482" t="str" cm="1">
        <f t="array" ref="E482">IF(COUNTIF(A:A, "*" &amp; LEFT(D482, FIND(" ", D482 &amp; " ") - 1) &amp; "*") &gt; 0,INDEX(A:A,FuzzyVLookup(D482,A:A,0,,,1)),"Non-PDL")</f>
        <v>NURTEC ODT (rimegepant)</v>
      </c>
      <c r="F482" t="str">
        <f t="shared" si="14"/>
        <v>Preferred</v>
      </c>
      <c r="G482" s="1" cm="1">
        <f t="array" ref="G482">FuzzyPercent(D482,E482,1)</f>
        <v>0.60606062412261963</v>
      </c>
      <c r="H482" t="str">
        <f t="shared" si="15"/>
        <v/>
      </c>
    </row>
    <row r="483" spans="1:8" x14ac:dyDescent="0.2">
      <c r="A483" t="s">
        <v>956</v>
      </c>
      <c r="B483" t="s">
        <v>0</v>
      </c>
      <c r="D483" t="s">
        <v>2598</v>
      </c>
      <c r="E483" t="str" cm="1">
        <f t="array" ref="E483">IF(COUNTIF(A:A, "*" &amp; LEFT(D483, FIND(" ", D483 &amp; " ") - 1) &amp; "*") &gt; 0,INDEX(A:A,FuzzyVLookup(D483,A:A,0,,,1)),"Non-PDL")</f>
        <v>Non-PDL</v>
      </c>
      <c r="F483" t="str">
        <f t="shared" si="14"/>
        <v>Non-PDL</v>
      </c>
      <c r="G483" s="1" cm="1">
        <f t="array" ref="G483">FuzzyPercent(D483,E483,1)</f>
        <v>9.0909093618392944E-2</v>
      </c>
      <c r="H483" t="str">
        <f t="shared" si="15"/>
        <v/>
      </c>
    </row>
    <row r="484" spans="1:8" x14ac:dyDescent="0.2">
      <c r="A484" t="s">
        <v>958</v>
      </c>
      <c r="B484" t="s">
        <v>0</v>
      </c>
      <c r="D484" t="s">
        <v>2599</v>
      </c>
      <c r="E484" t="str" cm="1">
        <f t="array" ref="E484">IF(COUNTIF(A:A, "*" &amp; LEFT(D484, FIND(" ", D484 &amp; " ") - 1) &amp; "*") &gt; 0,INDEX(A:A,FuzzyVLookup(D484,A:A,0,,,1)),"Non-PDL")</f>
        <v>Non-PDL</v>
      </c>
      <c r="F484" t="str">
        <f t="shared" si="14"/>
        <v>Non-PDL</v>
      </c>
      <c r="G484" s="1" cm="1">
        <f t="array" ref="G484">FuzzyPercent(D484,E484,1)</f>
        <v>0.125</v>
      </c>
      <c r="H484" t="str">
        <f t="shared" si="15"/>
        <v/>
      </c>
    </row>
    <row r="485" spans="1:8" x14ac:dyDescent="0.2">
      <c r="A485" t="s">
        <v>960</v>
      </c>
      <c r="B485" t="s">
        <v>0</v>
      </c>
      <c r="D485" t="s">
        <v>2600</v>
      </c>
      <c r="E485" t="str" cm="1">
        <f t="array" ref="E485">IF(COUNTIF(A:A, "*" &amp; LEFT(D485, FIND(" ", D485 &amp; " ") - 1) &amp; "*") &gt; 0,INDEX(A:A,FuzzyVLookup(D485,A:A,0,,,1)),"Non-PDL")</f>
        <v>NUVESSA (metronidazole)</v>
      </c>
      <c r="F485" t="str">
        <f t="shared" si="14"/>
        <v>Preferred</v>
      </c>
      <c r="G485" s="1" cm="1">
        <f t="array" ref="G485">FuzzyPercent(D485,E485,1)</f>
        <v>0.46666666865348816</v>
      </c>
      <c r="H485" t="str">
        <f t="shared" si="15"/>
        <v/>
      </c>
    </row>
    <row r="486" spans="1:8" x14ac:dyDescent="0.2">
      <c r="A486" t="s">
        <v>962</v>
      </c>
      <c r="B486" t="s">
        <v>0</v>
      </c>
      <c r="D486" t="s">
        <v>2601</v>
      </c>
      <c r="E486" t="str" cm="1">
        <f t="array" ref="E486">IF(COUNTIF(A:A, "*" &amp; LEFT(D486, FIND(" ", D486 &amp; " ") - 1) &amp; "*") &gt; 0,INDEX(A:A,FuzzyVLookup(D486,A:A,0,,,1)),"Non-PDL")</f>
        <v>NUWIQ</v>
      </c>
      <c r="F486" t="str">
        <f t="shared" si="14"/>
        <v>Preferred</v>
      </c>
      <c r="G486" s="1" cm="1">
        <f t="array" ref="G486">FuzzyPercent(D486,E486,1)</f>
        <v>1</v>
      </c>
      <c r="H486" t="str">
        <f t="shared" si="15"/>
        <v/>
      </c>
    </row>
    <row r="487" spans="1:8" x14ac:dyDescent="0.2">
      <c r="A487" t="s">
        <v>964</v>
      </c>
      <c r="B487" t="s">
        <v>0</v>
      </c>
      <c r="D487" t="s">
        <v>2602</v>
      </c>
      <c r="E487" t="str" cm="1">
        <f t="array" ref="E487">IF(COUNTIF(A:A, "*" &amp; LEFT(D487, FIND(" ", D487 &amp; " ") - 1) &amp; "*") &gt; 0,INDEX(A:A,FuzzyVLookup(D487,A:A,0,,,1)),"Non-PDL")</f>
        <v>NYVEPRIA (pegfilgrastim-apgf)</v>
      </c>
      <c r="F487" t="str">
        <f t="shared" si="14"/>
        <v>Non-Preferred</v>
      </c>
      <c r="G487" s="1" cm="1">
        <f t="array" ref="G487">FuzzyPercent(D487,E487,1)</f>
        <v>0.43243244290351868</v>
      </c>
      <c r="H487" t="str">
        <f t="shared" si="15"/>
        <v/>
      </c>
    </row>
    <row r="488" spans="1:8" x14ac:dyDescent="0.2">
      <c r="A488" t="s">
        <v>966</v>
      </c>
      <c r="B488" t="s">
        <v>0</v>
      </c>
      <c r="D488" t="s">
        <v>2603</v>
      </c>
      <c r="E488" t="str" cm="1">
        <f t="array" ref="E488">IF(COUNTIF(A:A, "*" &amp; LEFT(D488, FIND(" ", D488 &amp; " ") - 1) &amp; "*") &gt; 0,INDEX(A:A,FuzzyVLookup(D488,A:A,0,,,1)),"Non-PDL")</f>
        <v>OCREVUS (ocrelizumab)</v>
      </c>
      <c r="F488" t="str">
        <f t="shared" si="14"/>
        <v>Non-Preferred</v>
      </c>
      <c r="G488" s="1" cm="1">
        <f t="array" ref="G488">FuzzyPercent(D488,E488,1)</f>
        <v>0.5</v>
      </c>
      <c r="H488" t="str">
        <f t="shared" si="15"/>
        <v/>
      </c>
    </row>
    <row r="489" spans="1:8" x14ac:dyDescent="0.2">
      <c r="A489" t="s">
        <v>968</v>
      </c>
      <c r="B489" t="s">
        <v>0</v>
      </c>
      <c r="D489" t="s">
        <v>2604</v>
      </c>
      <c r="E489" t="str" cm="1">
        <f t="array" ref="E489">IF(COUNTIF(A:A, "*" &amp; LEFT(D489, FIND(" ", D489 &amp; " ") - 1) &amp; "*") &gt; 0,INDEX(A:A,FuzzyVLookup(D489,A:A,0,,,1)),"Non-PDL")</f>
        <v>OCREVUS ZUNOVO (ocrelizumab-hyaluronidase)</v>
      </c>
      <c r="F489" t="str">
        <f t="shared" si="14"/>
        <v>Non-Preferred</v>
      </c>
      <c r="G489" s="1" cm="1">
        <f t="array" ref="G489">FuzzyPercent(D489,E489,1)</f>
        <v>0.47297295928001404</v>
      </c>
      <c r="H489" t="str">
        <f t="shared" si="15"/>
        <v/>
      </c>
    </row>
    <row r="490" spans="1:8" x14ac:dyDescent="0.2">
      <c r="A490" t="s">
        <v>970</v>
      </c>
      <c r="B490" t="s">
        <v>0</v>
      </c>
      <c r="D490" t="s">
        <v>2605</v>
      </c>
      <c r="E490" t="str" cm="1">
        <f t="array" ref="E490">IF(COUNTIF(A:A, "*" &amp; LEFT(D490, FIND(" ", D490 &amp; " ") - 1) &amp; "*") &gt; 0,INDEX(A:A,FuzzyVLookup(D490,A:A,0,,,1)),"Non-PDL")</f>
        <v>Non-PDL</v>
      </c>
      <c r="F490" t="str">
        <f t="shared" si="14"/>
        <v>Non-PDL</v>
      </c>
      <c r="G490" s="1" cm="1">
        <f t="array" ref="G490">FuzzyPercent(D490,E490,1)</f>
        <v>0.28571429848670959</v>
      </c>
      <c r="H490" t="str">
        <f t="shared" si="15"/>
        <v/>
      </c>
    </row>
    <row r="491" spans="1:8" x14ac:dyDescent="0.2">
      <c r="A491" t="s">
        <v>972</v>
      </c>
      <c r="B491" t="s">
        <v>0</v>
      </c>
      <c r="D491" t="s">
        <v>2606</v>
      </c>
      <c r="E491" t="str" cm="1">
        <f t="array" ref="E491">IF(COUNTIF(A:A, "*" &amp; LEFT(D491, FIND(" ", D491 &amp; " ") - 1) &amp; "*") &gt; 0,INDEX(A:A,FuzzyVLookup(D491,A:A,0,,,1)),"Non-PDL")</f>
        <v>codeine</v>
      </c>
      <c r="F491" t="str">
        <f t="shared" si="14"/>
        <v>Preferred</v>
      </c>
      <c r="G491" s="1" cm="1">
        <f t="array" ref="G491">FuzzyPercent(D491,E491,1)</f>
        <v>0.57142859697341919</v>
      </c>
      <c r="H491" t="str">
        <f t="shared" si="15"/>
        <v/>
      </c>
    </row>
    <row r="492" spans="1:8" x14ac:dyDescent="0.2">
      <c r="A492" t="s">
        <v>973</v>
      </c>
      <c r="B492" t="s">
        <v>0</v>
      </c>
      <c r="D492" t="s">
        <v>2607</v>
      </c>
      <c r="E492" t="str" cm="1">
        <f t="array" ref="E492">IF(COUNTIF(A:A, "*" &amp; LEFT(D492, FIND(" ", D492 &amp; " ") - 1) &amp; "*") &gt; 0,INDEX(A:A,FuzzyVLookup(D492,A:A,0,,,1)),"Non-PDL")</f>
        <v>Non-PDL</v>
      </c>
      <c r="F492" t="str">
        <f t="shared" si="14"/>
        <v>Non-PDL</v>
      </c>
      <c r="G492" s="1" cm="1">
        <f t="array" ref="G492">FuzzyPercent(D492,E492,1)</f>
        <v>9.0909093618392944E-2</v>
      </c>
      <c r="H492" t="str">
        <f t="shared" si="15"/>
        <v/>
      </c>
    </row>
    <row r="493" spans="1:8" x14ac:dyDescent="0.2">
      <c r="A493" t="s">
        <v>975</v>
      </c>
      <c r="B493" t="s">
        <v>0</v>
      </c>
      <c r="D493" t="s">
        <v>2608</v>
      </c>
      <c r="E493" t="str" cm="1">
        <f t="array" ref="E493">IF(COUNTIF(A:A, "*" &amp; LEFT(D493, FIND(" ", D493 &amp; " ") - 1) &amp; "*") &gt; 0,INDEX(A:A,FuzzyVLookup(D493,A:A,0,,,1)),"Non-PDL")</f>
        <v>OGSIVEO (nirogacestat)</v>
      </c>
      <c r="F493" t="str">
        <f t="shared" si="14"/>
        <v>Non-Preferred</v>
      </c>
      <c r="G493" s="1" cm="1">
        <f t="array" ref="G493">FuzzyPercent(D493,E493,1)</f>
        <v>0.48275861144065857</v>
      </c>
      <c r="H493" t="str">
        <f t="shared" si="15"/>
        <v/>
      </c>
    </row>
    <row r="494" spans="1:8" x14ac:dyDescent="0.2">
      <c r="A494" t="s">
        <v>977</v>
      </c>
      <c r="B494" t="s">
        <v>0</v>
      </c>
      <c r="D494" t="s">
        <v>2609</v>
      </c>
      <c r="E494" t="str" cm="1">
        <f t="array" ref="E494">IF(COUNTIF(A:A, "*" &amp; LEFT(D494, FIND(" ", D494 &amp; " ") - 1) &amp; "*") &gt; 0,INDEX(A:A,FuzzyVLookup(D494,A:A,0,,,1)),"Non-PDL")</f>
        <v>OJEMDA (tovorafenib)</v>
      </c>
      <c r="F494" t="str">
        <f t="shared" si="14"/>
        <v>Non-Preferred</v>
      </c>
      <c r="G494" s="1" cm="1">
        <f t="array" ref="G494">FuzzyPercent(D494,E494,1)</f>
        <v>0.46153846383094788</v>
      </c>
      <c r="H494" t="str">
        <f t="shared" si="15"/>
        <v/>
      </c>
    </row>
    <row r="495" spans="1:8" x14ac:dyDescent="0.2">
      <c r="A495" t="s">
        <v>979</v>
      </c>
      <c r="B495" t="s">
        <v>0</v>
      </c>
      <c r="D495" t="s">
        <v>2610</v>
      </c>
      <c r="E495" t="str" cm="1">
        <f t="array" ref="E495">IF(COUNTIF(A:A, "*" &amp; LEFT(D495, FIND(" ", D495 &amp; " ") - 1) &amp; "*") &gt; 0,INDEX(A:A,FuzzyVLookup(D495,A:A,0,,,1)),"Non-PDL")</f>
        <v>olanzapine</v>
      </c>
      <c r="F495" t="str">
        <f t="shared" si="14"/>
        <v>Preferred</v>
      </c>
      <c r="G495" s="1" cm="1">
        <f t="array" ref="G495">FuzzyPercent(D495,E495,1)</f>
        <v>0.71428573131561279</v>
      </c>
      <c r="H495" t="str">
        <f t="shared" si="15"/>
        <v/>
      </c>
    </row>
    <row r="496" spans="1:8" x14ac:dyDescent="0.2">
      <c r="A496" t="s">
        <v>981</v>
      </c>
      <c r="B496" t="s">
        <v>0</v>
      </c>
      <c r="D496" t="s">
        <v>2611</v>
      </c>
      <c r="E496" t="str" cm="1">
        <f t="array" ref="E496">IF(COUNTIF(A:A, "*" &amp; LEFT(D496, FIND(" ", D496 &amp; " ") - 1) &amp; "*") &gt; 0,INDEX(A:A,FuzzyVLookup(D496,A:A,0,,,1)),"Non-PDL")</f>
        <v>olanzapine/fluoxetine</v>
      </c>
      <c r="F496" t="str">
        <f t="shared" si="14"/>
        <v>Non-Preferred</v>
      </c>
      <c r="G496" s="1" cm="1">
        <f t="array" ref="G496">FuzzyPercent(D496,E496,1)</f>
        <v>0.60526317358016968</v>
      </c>
      <c r="H496" t="str">
        <f t="shared" si="15"/>
        <v/>
      </c>
    </row>
    <row r="497" spans="1:8" x14ac:dyDescent="0.2">
      <c r="A497" t="s">
        <v>983</v>
      </c>
      <c r="B497" t="s">
        <v>0</v>
      </c>
      <c r="D497" t="s">
        <v>2612</v>
      </c>
      <c r="E497" t="str" cm="1">
        <f t="array" ref="E497">IF(COUNTIF(A:A, "*" &amp; LEFT(D497, FIND(" ", D497 &amp; " ") - 1) &amp; "*") &gt; 0,INDEX(A:A,FuzzyVLookup(D497,A:A,0,,,1)),"Non-PDL")</f>
        <v>olanzapine</v>
      </c>
      <c r="F497" t="str">
        <f t="shared" si="14"/>
        <v>Preferred</v>
      </c>
      <c r="G497" s="1" cm="1">
        <f t="array" ref="G497">FuzzyPercent(D497,E497,1)</f>
        <v>0.66666668653488159</v>
      </c>
      <c r="H497" t="str">
        <f t="shared" si="15"/>
        <v/>
      </c>
    </row>
    <row r="498" spans="1:8" x14ac:dyDescent="0.2">
      <c r="A498" t="s">
        <v>985</v>
      </c>
      <c r="B498" t="s">
        <v>0</v>
      </c>
      <c r="D498" t="s">
        <v>2613</v>
      </c>
      <c r="E498" t="str" cm="1">
        <f t="array" ref="E498">IF(COUNTIF(A:A, "*" &amp; LEFT(D498, FIND(" ", D498 &amp; " ") - 1) &amp; "*") &gt; 0,INDEX(A:A,FuzzyVLookup(D498,A:A,0,,,1)),"Non-PDL")</f>
        <v>olanzapine/fluoxetine</v>
      </c>
      <c r="F498" t="str">
        <f t="shared" si="14"/>
        <v>Non-Preferred</v>
      </c>
      <c r="G498" s="1" cm="1">
        <f t="array" ref="G498">FuzzyPercent(D498,E498,1)</f>
        <v>0.43999999761581421</v>
      </c>
      <c r="H498" t="str">
        <f t="shared" si="15"/>
        <v/>
      </c>
    </row>
    <row r="499" spans="1:8" x14ac:dyDescent="0.2">
      <c r="A499" t="s">
        <v>987</v>
      </c>
      <c r="B499" t="s">
        <v>0</v>
      </c>
      <c r="D499" t="s">
        <v>2614</v>
      </c>
      <c r="E499" t="str" cm="1">
        <f t="array" ref="E499">IF(COUNTIF(A:A, "*" &amp; LEFT(D499, FIND(" ", D499 &amp; " ") - 1) &amp; "*") &gt; 0,INDEX(A:A,FuzzyVLookup(D499,A:A,0,,,1)),"Non-PDL")</f>
        <v>olmesartan</v>
      </c>
      <c r="F499" t="str">
        <f t="shared" si="14"/>
        <v>Preferred</v>
      </c>
      <c r="G499" s="1" cm="1">
        <f t="array" ref="G499">FuzzyPercent(D499,E499,1)</f>
        <v>1</v>
      </c>
      <c r="H499" t="str">
        <f t="shared" si="15"/>
        <v/>
      </c>
    </row>
    <row r="500" spans="1:8" x14ac:dyDescent="0.2">
      <c r="A500" t="s">
        <v>989</v>
      </c>
      <c r="B500" t="s">
        <v>0</v>
      </c>
      <c r="D500" t="s">
        <v>2615</v>
      </c>
      <c r="E500" t="str" cm="1">
        <f t="array" ref="E500">IF(COUNTIF(A:A, "*" &amp; LEFT(D500, FIND(" ", D500 &amp; " ") - 1) &amp; "*") &gt; 0,INDEX(A:A,FuzzyVLookup(D500,A:A,0,,,1)),"Non-PDL")</f>
        <v>alprazolam</v>
      </c>
      <c r="F500" t="str">
        <f t="shared" si="14"/>
        <v>Preferred</v>
      </c>
      <c r="G500" s="1" cm="1">
        <f t="array" ref="G500">FuzzyPercent(D500,E500,1)</f>
        <v>0.47058823704719543</v>
      </c>
      <c r="H500" t="str">
        <f t="shared" si="15"/>
        <v/>
      </c>
    </row>
    <row r="501" spans="1:8" x14ac:dyDescent="0.2">
      <c r="A501" t="s">
        <v>991</v>
      </c>
      <c r="B501" t="s">
        <v>0</v>
      </c>
      <c r="D501" t="s">
        <v>2616</v>
      </c>
      <c r="E501" t="str" cm="1">
        <f t="array" ref="E501">IF(COUNTIF(A:A, "*" &amp; LEFT(D501, FIND(" ", D501 &amp; " ") - 1) &amp; "*") &gt; 0,INDEX(A:A,FuzzyVLookup(D501,A:A,0,,,1)),"Non-PDL")</f>
        <v>OLUMIANT (baricitinib)</v>
      </c>
      <c r="F501" t="str">
        <f t="shared" si="14"/>
        <v>Preferred</v>
      </c>
      <c r="G501" s="1" cm="1">
        <f t="array" ref="G501">FuzzyPercent(D501,E501,1)</f>
        <v>0.53333336114883423</v>
      </c>
      <c r="H501" t="str">
        <f t="shared" si="15"/>
        <v/>
      </c>
    </row>
    <row r="502" spans="1:8" x14ac:dyDescent="0.2">
      <c r="A502" t="s">
        <v>993</v>
      </c>
      <c r="B502" t="s">
        <v>0</v>
      </c>
      <c r="D502" t="s">
        <v>2617</v>
      </c>
      <c r="E502" t="str" cm="1">
        <f t="array" ref="E502">IF(COUNTIF(A:A, "*" &amp; LEFT(D502, FIND(" ", D502 &amp; " ") - 1) &amp; "*") &gt; 0,INDEX(A:A,FuzzyVLookup(D502,A:A,0,,,1)),"Non-PDL")</f>
        <v>Non-PDL</v>
      </c>
      <c r="F502" t="str">
        <f t="shared" si="14"/>
        <v>Non-PDL</v>
      </c>
      <c r="G502" s="1" cm="1">
        <f t="array" ref="G502">FuzzyPercent(D502,E502,1)</f>
        <v>0.15384615957736969</v>
      </c>
      <c r="H502" t="str">
        <f t="shared" si="15"/>
        <v/>
      </c>
    </row>
    <row r="503" spans="1:8" x14ac:dyDescent="0.2">
      <c r="A503" t="s">
        <v>995</v>
      </c>
      <c r="B503" t="s">
        <v>0</v>
      </c>
      <c r="D503" t="s">
        <v>2618</v>
      </c>
      <c r="E503" t="str" cm="1">
        <f t="array" ref="E503">IF(COUNTIF(A:A, "*" &amp; LEFT(D503, FIND(" ", D503 &amp; " ") - 1) &amp; "*") &gt; 0,INDEX(A:A,FuzzyVLookup(D503,A:A,0,,,1)),"Non-PDL")</f>
        <v>sertraline capsule</v>
      </c>
      <c r="F503" t="str">
        <f t="shared" si="14"/>
        <v>Non-Preferred</v>
      </c>
      <c r="G503" s="1" cm="1">
        <f t="array" ref="G503">FuzzyPercent(D503,E503,1)</f>
        <v>0.6111111044883728</v>
      </c>
      <c r="H503" t="str">
        <f t="shared" si="15"/>
        <v/>
      </c>
    </row>
    <row r="504" spans="1:8" x14ac:dyDescent="0.2">
      <c r="A504" t="s">
        <v>997</v>
      </c>
      <c r="B504" t="s">
        <v>0</v>
      </c>
      <c r="D504" t="s">
        <v>2619</v>
      </c>
      <c r="E504" t="str" cm="1">
        <f t="array" ref="E504">IF(COUNTIF(A:A, "*" &amp; LEFT(D504, FIND(" ", D504 &amp; " ") - 1) &amp; "*") &gt; 0,INDEX(A:A,FuzzyVLookup(D504,A:A,0,,,1)),"Non-PDL")</f>
        <v>omeprazole</v>
      </c>
      <c r="F504" t="str">
        <f t="shared" si="14"/>
        <v>Preferred</v>
      </c>
      <c r="G504" s="1" cm="1">
        <f t="array" ref="G504">FuzzyPercent(D504,E504,1)</f>
        <v>0.58823531866073608</v>
      </c>
      <c r="H504" t="str">
        <f t="shared" si="15"/>
        <v/>
      </c>
    </row>
    <row r="505" spans="1:8" x14ac:dyDescent="0.2">
      <c r="A505" t="s">
        <v>999</v>
      </c>
      <c r="B505" t="s">
        <v>0</v>
      </c>
      <c r="D505" t="s">
        <v>2620</v>
      </c>
      <c r="E505" t="str" cm="1">
        <f t="array" ref="E505">IF(COUNTIF(A:A, "*" &amp; LEFT(D505, FIND(" ", D505 &amp; " ") - 1) &amp; "*") &gt; 0,INDEX(A:A,FuzzyVLookup(D505,A:A,0,,,1)),"Non-PDL")</f>
        <v>Non-PDL</v>
      </c>
      <c r="F505" t="str">
        <f t="shared" si="14"/>
        <v>Non-PDL</v>
      </c>
      <c r="G505" s="1" cm="1">
        <f t="array" ref="G505">FuzzyPercent(D505,E505,1)</f>
        <v>0.1428571492433548</v>
      </c>
      <c r="H505" t="str">
        <f t="shared" si="15"/>
        <v/>
      </c>
    </row>
    <row r="506" spans="1:8" x14ac:dyDescent="0.2">
      <c r="A506" t="s">
        <v>1001</v>
      </c>
      <c r="B506" t="s">
        <v>0</v>
      </c>
      <c r="D506" t="s">
        <v>2621</v>
      </c>
      <c r="E506" t="str" cm="1">
        <f t="array" ref="E506">IF(COUNTIF(A:A, "*" &amp; LEFT(D506, FIND(" ", D506 &amp; " ") - 1) &amp; "*") &gt; 0,INDEX(A:A,FuzzyVLookup(D506,A:A,0,,,1)),"Non-PDL")</f>
        <v>OMNITROPE (somatropin)</v>
      </c>
      <c r="F506" t="str">
        <f t="shared" si="14"/>
        <v>Non-Preferred</v>
      </c>
      <c r="G506" s="1" cm="1">
        <f t="array" ref="G506">FuzzyPercent(D506,E506,1)</f>
        <v>0.58064514398574829</v>
      </c>
      <c r="H506" t="str">
        <f t="shared" si="15"/>
        <v/>
      </c>
    </row>
    <row r="507" spans="1:8" x14ac:dyDescent="0.2">
      <c r="A507" t="s">
        <v>1003</v>
      </c>
      <c r="B507" t="s">
        <v>0</v>
      </c>
      <c r="D507" t="s">
        <v>2622</v>
      </c>
      <c r="E507" t="str" cm="1">
        <f t="array" ref="E507">IF(COUNTIF(A:A, "*" &amp; LEFT(D507, FIND(" ", D507 &amp; " ") - 1) &amp; "*") &gt; 0,INDEX(A:A,FuzzyVLookup(D507,A:A,0,,,1)),"Non-PDL")</f>
        <v>ciprofloxacin suspension</v>
      </c>
      <c r="F507" t="str">
        <f t="shared" si="14"/>
        <v>Non-Preferred</v>
      </c>
      <c r="G507" s="1" cm="1">
        <f t="array" ref="G507">FuzzyPercent(D507,E507,1)</f>
        <v>0.36363637447357178</v>
      </c>
      <c r="H507" t="str">
        <f t="shared" si="15"/>
        <v>CHECK</v>
      </c>
    </row>
    <row r="508" spans="1:8" x14ac:dyDescent="0.2">
      <c r="A508" t="s">
        <v>1005</v>
      </c>
      <c r="B508" t="s">
        <v>0</v>
      </c>
      <c r="D508" t="s">
        <v>2623</v>
      </c>
      <c r="E508" t="str" cm="1">
        <f t="array" ref="E508">IF(COUNTIF(A:A, "*" &amp; LEFT(D508, FIND(" ", D508 &amp; " ") - 1) &amp; "*") &gt; 0,INDEX(A:A,FuzzyVLookup(D508,A:A,0,,,1)),"Non-PDL")</f>
        <v>ONFI (clobazam)</v>
      </c>
      <c r="F508" t="str">
        <f t="shared" si="14"/>
        <v>Non-Preferred</v>
      </c>
      <c r="G508" s="1" cm="1">
        <f t="array" ref="G508">FuzzyPercent(D508,E508,1)</f>
        <v>0.46153846383094788</v>
      </c>
      <c r="H508" t="str">
        <f t="shared" si="15"/>
        <v/>
      </c>
    </row>
    <row r="509" spans="1:8" x14ac:dyDescent="0.2">
      <c r="A509" t="s">
        <v>1006</v>
      </c>
      <c r="B509" t="s">
        <v>0</v>
      </c>
      <c r="D509" t="s">
        <v>2624</v>
      </c>
      <c r="E509" t="str" cm="1">
        <f t="array" ref="E509">IF(COUNTIF(A:A, "*" &amp; LEFT(D509, FIND(" ", D509 &amp; " ") - 1) &amp; "*") &gt; 0,INDEX(A:A,FuzzyVLookup(D509,A:A,0,,,1)),"Non-PDL")</f>
        <v>Non-PDL</v>
      </c>
      <c r="F509" t="str">
        <f t="shared" si="14"/>
        <v>Non-PDL</v>
      </c>
      <c r="G509" s="1" cm="1">
        <f t="array" ref="G509">FuzzyPercent(D509,E509,1)</f>
        <v>0.23076923191547394</v>
      </c>
      <c r="H509" t="str">
        <f t="shared" si="15"/>
        <v/>
      </c>
    </row>
    <row r="510" spans="1:8" x14ac:dyDescent="0.2">
      <c r="A510" t="s">
        <v>1008</v>
      </c>
      <c r="B510" t="s">
        <v>0</v>
      </c>
      <c r="D510" t="s">
        <v>2625</v>
      </c>
      <c r="E510" t="str" cm="1">
        <f t="array" ref="E510">IF(COUNTIF(A:A, "*" &amp; LEFT(D510, FIND(" ", D510 &amp; " ") - 1) &amp; "*") &gt; 0,INDEX(A:A,FuzzyVLookup(D510,A:A,0,,,1)),"Non-PDL")</f>
        <v>Non-PDL</v>
      </c>
      <c r="F510" t="str">
        <f t="shared" si="14"/>
        <v>Non-PDL</v>
      </c>
      <c r="G510" s="1" cm="1">
        <f t="array" ref="G510">FuzzyPercent(D510,E510,1)</f>
        <v>7.3170728981494904E-2</v>
      </c>
      <c r="H510" t="str">
        <f t="shared" si="15"/>
        <v/>
      </c>
    </row>
    <row r="511" spans="1:8" x14ac:dyDescent="0.2">
      <c r="A511" t="s">
        <v>1010</v>
      </c>
      <c r="B511" t="s">
        <v>0</v>
      </c>
      <c r="D511" t="s">
        <v>2626</v>
      </c>
      <c r="E511" t="str" cm="1">
        <f t="array" ref="E511">IF(COUNTIF(A:A, "*" &amp; LEFT(D511, FIND(" ", D511 &amp; " ") - 1) &amp; "*") &gt; 0,INDEX(A:A,FuzzyVLookup(D511,A:A,0,,,1)),"Non-PDL")</f>
        <v>OPSUMIT (macitentan)</v>
      </c>
      <c r="F511" t="str">
        <f t="shared" si="14"/>
        <v>Non-Preferred</v>
      </c>
      <c r="G511" s="1" cm="1">
        <f t="array" ref="G511">FuzzyPercent(D511,E511,1)</f>
        <v>0.51851850748062134</v>
      </c>
      <c r="H511" t="str">
        <f t="shared" si="15"/>
        <v/>
      </c>
    </row>
    <row r="512" spans="1:8" x14ac:dyDescent="0.2">
      <c r="A512" t="s">
        <v>1012</v>
      </c>
      <c r="B512" t="s">
        <v>0</v>
      </c>
      <c r="D512" t="s">
        <v>2627</v>
      </c>
      <c r="E512" t="str" cm="1">
        <f t="array" ref="E512">IF(COUNTIF(A:A, "*" &amp; LEFT(D512, FIND(" ", D512 &amp; " ") - 1) &amp; "*") &gt; 0,INDEX(A:A,FuzzyVLookup(D512,A:A,0,,,1)),"Non-PDL")</f>
        <v>OPSYNVI (macitentan/tadalafil)</v>
      </c>
      <c r="F512" t="str">
        <f t="shared" si="14"/>
        <v>Non-Preferred</v>
      </c>
      <c r="G512" s="1" cm="1">
        <f t="array" ref="G512">FuzzyPercent(D512,E512,1)</f>
        <v>0.45454546809196472</v>
      </c>
      <c r="H512" t="str">
        <f t="shared" si="15"/>
        <v/>
      </c>
    </row>
    <row r="513" spans="1:8" x14ac:dyDescent="0.2">
      <c r="A513" t="s">
        <v>1014</v>
      </c>
      <c r="B513" t="s">
        <v>0</v>
      </c>
      <c r="D513" t="s">
        <v>2628</v>
      </c>
      <c r="E513" t="str" cm="1">
        <f t="array" ref="E513">IF(COUNTIF(A:A, "*" &amp; LEFT(D513, FIND(" ", D513 &amp; " ") - 1) &amp; "*") &gt; 0,INDEX(A:A,FuzzyVLookup(D513,A:A,0,,,1)),"Non-PDL")</f>
        <v>OPVEE (nalmefene)</v>
      </c>
      <c r="F513" t="str">
        <f t="shared" si="14"/>
        <v>Preferred</v>
      </c>
      <c r="G513" s="1" cm="1">
        <f t="array" ref="G513">FuzzyPercent(D513,E513,1)</f>
        <v>1</v>
      </c>
      <c r="H513" t="str">
        <f t="shared" si="15"/>
        <v/>
      </c>
    </row>
    <row r="514" spans="1:8" x14ac:dyDescent="0.2">
      <c r="A514" t="s">
        <v>1016</v>
      </c>
      <c r="B514" t="s">
        <v>0</v>
      </c>
      <c r="D514" t="s">
        <v>2629</v>
      </c>
      <c r="E514" t="str" cm="1">
        <f t="array" ref="E514">IF(COUNTIF(A:A, "*" &amp; LEFT(D514, FIND(" ", D514 &amp; " ") - 1) &amp; "*") &gt; 0,INDEX(A:A,FuzzyVLookup(D514,A:A,0,,,1)),"Non-PDL")</f>
        <v>ORALAIR</v>
      </c>
      <c r="F514" t="str">
        <f t="shared" si="14"/>
        <v>Non-Preferred</v>
      </c>
      <c r="G514" s="1" cm="1">
        <f t="array" ref="G514">FuzzyPercent(D514,E514,1)</f>
        <v>1</v>
      </c>
      <c r="H514" t="str">
        <f t="shared" si="15"/>
        <v/>
      </c>
    </row>
    <row r="515" spans="1:8" x14ac:dyDescent="0.2">
      <c r="A515" t="s">
        <v>1018</v>
      </c>
      <c r="B515" t="s">
        <v>0</v>
      </c>
      <c r="D515" t="s">
        <v>2630</v>
      </c>
      <c r="E515" t="str" cm="1">
        <f t="array" ref="E515">IF(COUNTIF(A:A, "*" &amp; LEFT(D515, FIND(" ", D515 &amp; " ") - 1) &amp; "*") &gt; 0,INDEX(A:A,FuzzyVLookup(D515,A:A,0,,,1)),"Non-PDL")</f>
        <v>ORENCIA (abatacept)</v>
      </c>
      <c r="F515" t="str">
        <f t="shared" ref="F515:F578" si="16">_xlfn.IFNA(_xlfn.XLOOKUP(E515,A:A,B:B),"Non-PDL")</f>
        <v>Non-Preferred</v>
      </c>
      <c r="G515" s="1" cm="1">
        <f t="array" ref="G515">FuzzyPercent(D515,E515,1)</f>
        <v>0.58064514398574829</v>
      </c>
      <c r="H515" t="str">
        <f t="shared" ref="H515:H578" si="17">IF(F515="Non-PDL","",IF(G515&lt;0.4,"CHECK",""))</f>
        <v/>
      </c>
    </row>
    <row r="516" spans="1:8" x14ac:dyDescent="0.2">
      <c r="A516" t="s">
        <v>1020</v>
      </c>
      <c r="B516" t="s">
        <v>0</v>
      </c>
      <c r="D516" t="s">
        <v>2631</v>
      </c>
      <c r="E516" t="str" cm="1">
        <f t="array" ref="E516">IF(COUNTIF(A:A, "*" &amp; LEFT(D516, FIND(" ", D516 &amp; " ") - 1) &amp; "*") &gt; 0,INDEX(A:A,FuzzyVLookup(D516,A:A,0,,,1)),"Non-PDL")</f>
        <v>PRED MILD (prednisolone)</v>
      </c>
      <c r="F516" t="str">
        <f t="shared" si="16"/>
        <v>Preferred</v>
      </c>
      <c r="G516" s="1" cm="1">
        <f t="array" ref="G516">FuzzyPercent(D516,E516,1)</f>
        <v>0.40000000596046448</v>
      </c>
      <c r="H516" t="str">
        <f t="shared" si="17"/>
        <v/>
      </c>
    </row>
    <row r="517" spans="1:8" x14ac:dyDescent="0.2">
      <c r="A517" t="s">
        <v>1022</v>
      </c>
      <c r="B517" t="s">
        <v>0</v>
      </c>
      <c r="D517" t="s">
        <v>2632</v>
      </c>
      <c r="E517" t="str" cm="1">
        <f t="array" ref="E517">IF(COUNTIF(A:A, "*" &amp; LEFT(D517, FIND(" ", D517 &amp; " ") - 1) &amp; "*") &gt; 0,INDEX(A:A,FuzzyVLookup(D517,A:A,0,,,1)),"Non-PDL")</f>
        <v>ORENITRAM ER (treprostinil)</v>
      </c>
      <c r="F517" t="str">
        <f t="shared" si="16"/>
        <v>Non-Preferred</v>
      </c>
      <c r="G517" s="1" cm="1">
        <f t="array" ref="G517">FuzzyPercent(D517,E517,1)</f>
        <v>0.61538463830947876</v>
      </c>
      <c r="H517" t="str">
        <f t="shared" si="17"/>
        <v/>
      </c>
    </row>
    <row r="518" spans="1:8" x14ac:dyDescent="0.2">
      <c r="A518" t="s">
        <v>1024</v>
      </c>
      <c r="B518" t="s">
        <v>0</v>
      </c>
      <c r="D518" t="s">
        <v>2633</v>
      </c>
      <c r="E518" t="str" cm="1">
        <f t="array" ref="E518">IF(COUNTIF(A:A, "*" &amp; LEFT(D518, FIND(" ", D518 &amp; " ") - 1) &amp; "*") &gt; 0,INDEX(A:A,FuzzyVLookup(D518,A:A,0,,,1)),"Non-PDL")</f>
        <v>Non-PDL</v>
      </c>
      <c r="F518" t="str">
        <f t="shared" si="16"/>
        <v>Non-PDL</v>
      </c>
      <c r="G518" s="1" cm="1">
        <f t="array" ref="G518">FuzzyPercent(D518,E518,1)</f>
        <v>0.1428571492433548</v>
      </c>
      <c r="H518" t="str">
        <f t="shared" si="17"/>
        <v/>
      </c>
    </row>
    <row r="519" spans="1:8" x14ac:dyDescent="0.2">
      <c r="A519" t="s">
        <v>1026</v>
      </c>
      <c r="B519" t="s">
        <v>0</v>
      </c>
      <c r="D519" t="s">
        <v>2634</v>
      </c>
      <c r="E519" t="str" cm="1">
        <f t="array" ref="E519">IF(COUNTIF(A:A, "*" &amp; LEFT(D519, FIND(" ", D519 &amp; " ") - 1) &amp; "*") &gt; 0,INDEX(A:A,FuzzyVLookup(D519,A:A,0,,,1)),"Non-PDL")</f>
        <v>Non-PDL</v>
      </c>
      <c r="F519" t="str">
        <f t="shared" si="16"/>
        <v>Non-PDL</v>
      </c>
      <c r="G519" s="1" cm="1">
        <f t="array" ref="G519">FuzzyPercent(D519,E519,1)</f>
        <v>0.25</v>
      </c>
      <c r="H519" t="str">
        <f t="shared" si="17"/>
        <v/>
      </c>
    </row>
    <row r="520" spans="1:8" x14ac:dyDescent="0.2">
      <c r="A520" t="s">
        <v>1028</v>
      </c>
      <c r="B520" t="s">
        <v>0</v>
      </c>
      <c r="D520" t="s">
        <v>2635</v>
      </c>
      <c r="E520" t="str" cm="1">
        <f t="array" ref="E520">IF(COUNTIF(A:A, "*" &amp; LEFT(D520, FIND(" ", D520 &amp; " ") - 1) &amp; "*") &gt; 0,INDEX(A:A,FuzzyVLookup(D520,A:A,0,,,1)),"Non-PDL")</f>
        <v>ORLADEYO (berotralstat)</v>
      </c>
      <c r="F520" t="str">
        <f t="shared" si="16"/>
        <v>Non-Preferred</v>
      </c>
      <c r="G520" s="1" cm="1">
        <f t="array" ref="G520">FuzzyPercent(D520,E520,1)</f>
        <v>0.5161290168762207</v>
      </c>
      <c r="H520" t="str">
        <f t="shared" si="17"/>
        <v/>
      </c>
    </row>
    <row r="521" spans="1:8" x14ac:dyDescent="0.2">
      <c r="A521" t="s">
        <v>1030</v>
      </c>
      <c r="B521" t="s">
        <v>0</v>
      </c>
      <c r="D521" t="s">
        <v>2636</v>
      </c>
      <c r="E521" t="str" cm="1">
        <f t="array" ref="E521">IF(COUNTIF(A:A, "*" &amp; LEFT(D521, FIND(" ", D521 &amp; " ") - 1) &amp; "*") &gt; 0,INDEX(A:A,FuzzyVLookup(D521,A:A,0,,,1)),"Non-PDL")</f>
        <v>orphenadrine</v>
      </c>
      <c r="F521" t="str">
        <f t="shared" si="16"/>
        <v>Non-Preferred</v>
      </c>
      <c r="G521" s="1" cm="1">
        <f t="array" ref="G521">FuzzyPercent(D521,E521,1)</f>
        <v>0.80000001192092896</v>
      </c>
      <c r="H521" t="str">
        <f t="shared" si="17"/>
        <v/>
      </c>
    </row>
    <row r="522" spans="1:8" x14ac:dyDescent="0.2">
      <c r="A522" t="s">
        <v>1032</v>
      </c>
      <c r="B522" t="s">
        <v>0</v>
      </c>
      <c r="D522" t="s">
        <v>2637</v>
      </c>
      <c r="E522" t="str" cm="1">
        <f t="array" ref="E522">IF(COUNTIF(A:A, "*" &amp; LEFT(D522, FIND(" ", D522 &amp; " ") - 1) &amp; "*") &gt; 0,INDEX(A:A,FuzzyVLookup(D522,A:A,0,,,1)),"Non-PDL")</f>
        <v>bosentan</v>
      </c>
      <c r="F522" t="str">
        <f t="shared" si="16"/>
        <v>Preferred</v>
      </c>
      <c r="G522" s="1" cm="1">
        <f t="array" ref="G522">FuzzyPercent(D522,E522,1)</f>
        <v>0.45454546809196472</v>
      </c>
      <c r="H522" t="str">
        <f t="shared" si="17"/>
        <v/>
      </c>
    </row>
    <row r="523" spans="1:8" x14ac:dyDescent="0.2">
      <c r="A523" t="s">
        <v>1034</v>
      </c>
      <c r="B523" t="s">
        <v>0</v>
      </c>
      <c r="D523" t="s">
        <v>2638</v>
      </c>
      <c r="E523" t="str" cm="1">
        <f t="array" ref="E523">IF(COUNTIF(A:A, "*" &amp; LEFT(D523, FIND(" ", D523 &amp; " ") - 1) &amp; "*") &gt; 0,INDEX(A:A,FuzzyVLookup(D523,A:A,0,,,1)),"Non-PDL")</f>
        <v>KOATE</v>
      </c>
      <c r="F523" t="str">
        <f t="shared" si="16"/>
        <v>Preferred</v>
      </c>
      <c r="G523" s="1" cm="1">
        <f t="array" ref="G523">FuzzyPercent(D523,E523,1)</f>
        <v>0.5</v>
      </c>
      <c r="H523" t="str">
        <f t="shared" si="17"/>
        <v/>
      </c>
    </row>
    <row r="524" spans="1:8" x14ac:dyDescent="0.2">
      <c r="A524" t="s">
        <v>1036</v>
      </c>
      <c r="B524" t="s">
        <v>0</v>
      </c>
      <c r="D524" t="s">
        <v>2639</v>
      </c>
      <c r="E524" t="str" cm="1">
        <f t="array" ref="E524">IF(COUNTIF(A:A, "*" &amp; LEFT(D524, FIND(" ", D524 &amp; " ") - 1) &amp; "*") &gt; 0,INDEX(A:A,FuzzyVLookup(D524,A:A,0,,,1)),"Non-PDL")</f>
        <v>Non-PDL</v>
      </c>
      <c r="F524" t="str">
        <f t="shared" si="16"/>
        <v>Non-PDL</v>
      </c>
      <c r="G524" s="1" cm="1">
        <f t="array" ref="G524">FuzzyPercent(D524,E524,1)</f>
        <v>0.1428571492433548</v>
      </c>
      <c r="H524" t="str">
        <f t="shared" si="17"/>
        <v/>
      </c>
    </row>
    <row r="525" spans="1:8" x14ac:dyDescent="0.2">
      <c r="A525" t="s">
        <v>1038</v>
      </c>
      <c r="B525" t="s">
        <v>0</v>
      </c>
      <c r="D525" t="s">
        <v>2640</v>
      </c>
      <c r="E525" t="str" cm="1">
        <f t="array" ref="E525">IF(COUNTIF(A:A, "*" &amp; LEFT(D525, FIND(" ", D525 &amp; " ") - 1) &amp; "*") &gt; 0,INDEX(A:A,FuzzyVLookup(D525,A:A,0,,,1)),"Non-PDL")</f>
        <v>OZEMPIC (semaglutide)</v>
      </c>
      <c r="F525" t="str">
        <f t="shared" si="16"/>
        <v>Non-Preferred</v>
      </c>
      <c r="G525" s="1" cm="1">
        <f t="array" ref="G525">FuzzyPercent(D525,E525,1)</f>
        <v>0.5</v>
      </c>
      <c r="H525" t="str">
        <f t="shared" si="17"/>
        <v/>
      </c>
    </row>
    <row r="526" spans="1:8" x14ac:dyDescent="0.2">
      <c r="A526" t="s">
        <v>1040</v>
      </c>
      <c r="B526" t="s">
        <v>0</v>
      </c>
      <c r="D526" t="s">
        <v>2641</v>
      </c>
      <c r="E526" t="str" cm="1">
        <f t="array" ref="E526">IF(COUNTIF(A:A, "*" &amp; LEFT(D526, FIND(" ", D526 &amp; " ") - 1) &amp; "*") &gt; 0,INDEX(A:A,FuzzyVLookup(D526,A:A,0,,,1)),"Non-PDL")</f>
        <v>Non-PDL</v>
      </c>
      <c r="F526" t="str">
        <f t="shared" si="16"/>
        <v>Non-PDL</v>
      </c>
      <c r="G526" s="1" cm="1">
        <f t="array" ref="G526">FuzzyPercent(D526,E526,1)</f>
        <v>0.15384615957736969</v>
      </c>
      <c r="H526" t="str">
        <f t="shared" si="17"/>
        <v/>
      </c>
    </row>
    <row r="527" spans="1:8" x14ac:dyDescent="0.2">
      <c r="A527" t="s">
        <v>1042</v>
      </c>
      <c r="B527" t="s">
        <v>0</v>
      </c>
      <c r="D527" t="s">
        <v>2642</v>
      </c>
      <c r="E527" t="str" cm="1">
        <f t="array" ref="E527">IF(COUNTIF(A:A, "*" &amp; LEFT(D527, FIND(" ", D527 &amp; " ") - 1) &amp; "*") &gt; 0,INDEX(A:A,FuzzyVLookup(D527,A:A,0,,,1)),"Non-PDL")</f>
        <v>Non-PDL</v>
      </c>
      <c r="F527" t="str">
        <f t="shared" si="16"/>
        <v>Non-PDL</v>
      </c>
      <c r="G527" s="1" cm="1">
        <f t="array" ref="G527">FuzzyPercent(D527,E527,1)</f>
        <v>0.28571429848670959</v>
      </c>
      <c r="H527" t="str">
        <f t="shared" si="17"/>
        <v/>
      </c>
    </row>
    <row r="528" spans="1:8" x14ac:dyDescent="0.2">
      <c r="A528" t="s">
        <v>1044</v>
      </c>
      <c r="B528" t="s">
        <v>0</v>
      </c>
      <c r="D528" t="s">
        <v>2643</v>
      </c>
      <c r="E528" t="str" cm="1">
        <f t="array" ref="E528">IF(COUNTIF(A:A, "*" &amp; LEFT(D528, FIND(" ", D528 &amp; " ") - 1) &amp; "*") &gt; 0,INDEX(A:A,FuzzyVLookup(D528,A:A,0,,,1)),"Non-PDL")</f>
        <v>paliperidone ER</v>
      </c>
      <c r="F528" t="str">
        <f t="shared" si="16"/>
        <v>Non-Preferred</v>
      </c>
      <c r="G528" s="1" cm="1">
        <f t="array" ref="G528">FuzzyPercent(D528,E528,1)</f>
        <v>1</v>
      </c>
      <c r="H528" t="str">
        <f t="shared" si="17"/>
        <v/>
      </c>
    </row>
    <row r="529" spans="1:8" x14ac:dyDescent="0.2">
      <c r="A529" t="s">
        <v>1046</v>
      </c>
      <c r="B529" t="s">
        <v>0</v>
      </c>
      <c r="D529" t="s">
        <v>2644</v>
      </c>
      <c r="E529" t="str" cm="1">
        <f t="array" ref="E529">IF(COUNTIF(A:A, "*" &amp; LEFT(D529, FIND(" ", D529 &amp; " ") - 1) &amp; "*") &gt; 0,INDEX(A:A,FuzzyVLookup(D529,A:A,0,,,1)),"Non-PDL")</f>
        <v>lansoprazole/amoxicillin/clarithromycin</v>
      </c>
      <c r="F529" t="str">
        <f t="shared" si="16"/>
        <v>Non-Preferred</v>
      </c>
      <c r="G529" s="1" cm="1">
        <f t="array" ref="G529">FuzzyPercent(D529,E529,1)</f>
        <v>0.3095238208770752</v>
      </c>
      <c r="H529" t="str">
        <f t="shared" si="17"/>
        <v>CHECK</v>
      </c>
    </row>
    <row r="530" spans="1:8" x14ac:dyDescent="0.2">
      <c r="A530" t="s">
        <v>1048</v>
      </c>
      <c r="B530" t="s">
        <v>0</v>
      </c>
      <c r="D530" t="s">
        <v>2645</v>
      </c>
      <c r="E530" t="str" cm="1">
        <f t="array" ref="E530">IF(COUNTIF(A:A, "*" &amp; LEFT(D530, FIND(" ", D530 &amp; " ") - 1) &amp; "*") &gt; 0,INDEX(A:A,FuzzyVLookup(D530,A:A,0,,,1)),"Non-PDL")</f>
        <v>pantoprazole</v>
      </c>
      <c r="F530" t="str">
        <f t="shared" si="16"/>
        <v>Preferred</v>
      </c>
      <c r="G530" s="1" cm="1">
        <f t="array" ref="G530">FuzzyPercent(D530,E530,1)</f>
        <v>0.63157892227172852</v>
      </c>
      <c r="H530" t="str">
        <f t="shared" si="17"/>
        <v/>
      </c>
    </row>
    <row r="531" spans="1:8" x14ac:dyDescent="0.2">
      <c r="A531" t="s">
        <v>1050</v>
      </c>
      <c r="B531" t="s">
        <v>0</v>
      </c>
      <c r="D531" t="s">
        <v>2646</v>
      </c>
      <c r="E531" t="str" cm="1">
        <f t="array" ref="E531">IF(COUNTIF(A:A, "*" &amp; LEFT(D531, FIND(" ", D531 &amp; " ") - 1) &amp; "*") &gt; 0,INDEX(A:A,FuzzyVLookup(D531,A:A,0,,,1)),"Non-PDL")</f>
        <v>Non-PDL</v>
      </c>
      <c r="F531" t="str">
        <f t="shared" si="16"/>
        <v>Non-PDL</v>
      </c>
      <c r="G531" s="1" cm="1">
        <f t="array" ref="G531">FuzzyPercent(D531,E531,1)</f>
        <v>2.7027027681469917E-2</v>
      </c>
      <c r="H531" t="str">
        <f t="shared" si="17"/>
        <v/>
      </c>
    </row>
    <row r="532" spans="1:8" x14ac:dyDescent="0.2">
      <c r="A532" t="s">
        <v>382</v>
      </c>
      <c r="B532" t="s">
        <v>0</v>
      </c>
      <c r="D532" t="s">
        <v>2647</v>
      </c>
      <c r="E532" t="str" cm="1">
        <f t="array" ref="E532">IF(COUNTIF(A:A, "*" &amp; LEFT(D532, FIND(" ", D532 &amp; " ") - 1) &amp; "*") &gt; 0,INDEX(A:A,FuzzyVLookup(D532,A:A,0,,,1)),"Non-PDL")</f>
        <v>Non-PDL</v>
      </c>
      <c r="F532" t="str">
        <f t="shared" si="16"/>
        <v>Non-PDL</v>
      </c>
      <c r="G532" s="1" cm="1">
        <f t="array" ref="G532">FuzzyPercent(D532,E532,1)</f>
        <v>3.5714287310838699E-2</v>
      </c>
      <c r="H532" t="str">
        <f t="shared" si="17"/>
        <v/>
      </c>
    </row>
    <row r="533" spans="1:8" x14ac:dyDescent="0.2">
      <c r="A533" t="s">
        <v>1053</v>
      </c>
      <c r="B533" t="s">
        <v>0</v>
      </c>
      <c r="D533" t="s">
        <v>257</v>
      </c>
      <c r="E533" t="str" cm="1">
        <f t="array" ref="E533">IF(COUNTIF(A:A, "*" &amp; LEFT(D533, FIND(" ", D533 &amp; " ") - 1) &amp; "*") &gt; 0,INDEX(A:A,FuzzyVLookup(D533,A:A,0,,,1)),"Non-PDL")</f>
        <v>Perindopril</v>
      </c>
      <c r="F533" t="str">
        <f t="shared" si="16"/>
        <v>Non-Preferred</v>
      </c>
      <c r="G533" s="1" cm="1">
        <f t="array" ref="G533">FuzzyPercent(D533,E533,1)</f>
        <v>1</v>
      </c>
      <c r="H533" t="str">
        <f t="shared" si="17"/>
        <v/>
      </c>
    </row>
    <row r="534" spans="1:8" x14ac:dyDescent="0.2">
      <c r="A534" t="s">
        <v>1055</v>
      </c>
      <c r="B534" t="s">
        <v>0</v>
      </c>
      <c r="D534" t="s">
        <v>2648</v>
      </c>
      <c r="E534" t="str" cm="1">
        <f t="array" ref="E534">IF(COUNTIF(A:A, "*" &amp; LEFT(D534, FIND(" ", D534 &amp; " ") - 1) &amp; "*") &gt; 0,INDEX(A:A,FuzzyVLookup(D534,A:A,0,,,1)),"Non-PDL")</f>
        <v>PERSERIS (risperidone)</v>
      </c>
      <c r="F534" t="str">
        <f t="shared" si="16"/>
        <v>Preferred</v>
      </c>
      <c r="G534" s="1" cm="1">
        <f t="array" ref="G534">FuzzyPercent(D534,E534,1)</f>
        <v>0.53333336114883423</v>
      </c>
      <c r="H534" t="str">
        <f t="shared" si="17"/>
        <v/>
      </c>
    </row>
    <row r="535" spans="1:8" x14ac:dyDescent="0.2">
      <c r="A535" t="s">
        <v>1057</v>
      </c>
      <c r="B535" t="s">
        <v>0</v>
      </c>
      <c r="D535" t="s">
        <v>2649</v>
      </c>
      <c r="E535" t="str" cm="1">
        <f t="array" ref="E535">IF(COUNTIF(A:A, "*" &amp; LEFT(D535, FIND(" ", D535 &amp; " ") - 1) &amp; "*") &gt; 0,INDEX(A:A,FuzzyVLookup(D535,A:A,0,,,1)),"Non-PDL")</f>
        <v>phenytoin</v>
      </c>
      <c r="F535" t="str">
        <f t="shared" si="16"/>
        <v>Preferred</v>
      </c>
      <c r="G535" s="1" cm="1">
        <f t="array" ref="G535">FuzzyPercent(D535,E535,1)</f>
        <v>0.4444444477558136</v>
      </c>
      <c r="H535" t="str">
        <f t="shared" si="17"/>
        <v/>
      </c>
    </row>
    <row r="536" spans="1:8" x14ac:dyDescent="0.2">
      <c r="A536" t="s">
        <v>1059</v>
      </c>
      <c r="B536" t="s">
        <v>0</v>
      </c>
      <c r="D536" t="s">
        <v>2650</v>
      </c>
      <c r="E536" t="str" cm="1">
        <f t="array" ref="E536">IF(COUNTIF(A:A, "*" &amp; LEFT(D536, FIND(" ", D536 &amp; " ") - 1) &amp; "*") &gt; 0,INDEX(A:A,FuzzyVLookup(D536,A:A,0,,,1)),"Non-PDL")</f>
        <v>phenytoin</v>
      </c>
      <c r="F536" t="str">
        <f t="shared" si="16"/>
        <v>Preferred</v>
      </c>
      <c r="G536" s="1" cm="1">
        <f t="array" ref="G536">FuzzyPercent(D536,E536,1)</f>
        <v>0.46666666865348816</v>
      </c>
      <c r="H536" t="str">
        <f t="shared" si="17"/>
        <v/>
      </c>
    </row>
    <row r="537" spans="1:8" x14ac:dyDescent="0.2">
      <c r="A537" t="s">
        <v>1061</v>
      </c>
      <c r="B537" t="s">
        <v>0</v>
      </c>
      <c r="D537" t="s">
        <v>2651</v>
      </c>
      <c r="E537" t="str" cm="1">
        <f t="array" ref="E537">IF(COUNTIF(A:A, "*" &amp; LEFT(D537, FIND(" ", D537 &amp; " ") - 1) &amp; "*") &gt; 0,INDEX(A:A,FuzzyVLookup(D537,A:A,0,,,1)),"Non-PDL")</f>
        <v>Non-PDL</v>
      </c>
      <c r="F537" t="str">
        <f t="shared" si="16"/>
        <v>Non-PDL</v>
      </c>
      <c r="G537" s="1" cm="1">
        <f t="array" ref="G537">FuzzyPercent(D537,E537,1)</f>
        <v>0.15384615957736969</v>
      </c>
      <c r="H537" t="str">
        <f t="shared" si="17"/>
        <v/>
      </c>
    </row>
    <row r="538" spans="1:8" x14ac:dyDescent="0.2">
      <c r="A538" t="s">
        <v>1063</v>
      </c>
      <c r="B538" t="s">
        <v>0</v>
      </c>
      <c r="D538" t="s">
        <v>2652</v>
      </c>
      <c r="E538" t="str" cm="1">
        <f t="array" ref="E538">IF(COUNTIF(A:A, "*" &amp; LEFT(D538, FIND(" ", D538 &amp; " ") - 1) &amp; "*") &gt; 0,INDEX(A:A,FuzzyVLookup(D538,A:A,0,,,1)),"Non-PDL")</f>
        <v>Non-PDL</v>
      </c>
      <c r="F538" t="str">
        <f t="shared" si="16"/>
        <v>Non-PDL</v>
      </c>
      <c r="G538" s="1" cm="1">
        <f t="array" ref="G538">FuzzyPercent(D538,E538,1)</f>
        <v>0.2222222238779068</v>
      </c>
      <c r="H538" t="str">
        <f t="shared" si="17"/>
        <v/>
      </c>
    </row>
    <row r="539" spans="1:8" x14ac:dyDescent="0.2">
      <c r="A539" t="s">
        <v>610</v>
      </c>
      <c r="B539" t="s">
        <v>0</v>
      </c>
      <c r="D539" t="s">
        <v>2653</v>
      </c>
      <c r="E539" t="str" cm="1">
        <f t="array" ref="E539">IF(COUNTIF(A:A, "*" &amp; LEFT(D539, FIND(" ", D539 &amp; " ") - 1) &amp; "*") &gt; 0,INDEX(A:A,FuzzyVLookup(D539,A:A,0,,,1)),"Non-PDL")</f>
        <v>pravastatin</v>
      </c>
      <c r="F539" t="str">
        <f t="shared" si="16"/>
        <v>Preferred</v>
      </c>
      <c r="G539" s="1" cm="1">
        <f t="array" ref="G539">FuzzyPercent(D539,E539,1)</f>
        <v>0.5</v>
      </c>
      <c r="H539" t="str">
        <f t="shared" si="17"/>
        <v/>
      </c>
    </row>
    <row r="540" spans="1:8" x14ac:dyDescent="0.2">
      <c r="A540" t="s">
        <v>1066</v>
      </c>
      <c r="B540" t="s">
        <v>0</v>
      </c>
      <c r="D540" t="s">
        <v>2654</v>
      </c>
      <c r="E540" t="str" cm="1">
        <f t="array" ref="E540">IF(COUNTIF(A:A, "*" &amp; LEFT(D540, FIND(" ", D540 &amp; " ") - 1) &amp; "*") &gt; 0,INDEX(A:A,FuzzyVLookup(D540,A:A,0,,,1)),"Non-PDL")</f>
        <v>PRADAXA (dabigatran) capsule</v>
      </c>
      <c r="F540" t="str">
        <f t="shared" si="16"/>
        <v>Preferred</v>
      </c>
      <c r="G540" s="1" cm="1">
        <f t="array" ref="G540">FuzzyPercent(D540,E540,1)</f>
        <v>0.4285714328289032</v>
      </c>
      <c r="H540" t="str">
        <f t="shared" si="17"/>
        <v/>
      </c>
    </row>
    <row r="541" spans="1:8" x14ac:dyDescent="0.2">
      <c r="A541" t="s">
        <v>1068</v>
      </c>
      <c r="B541" t="s">
        <v>0</v>
      </c>
      <c r="D541" t="s">
        <v>2655</v>
      </c>
      <c r="E541" t="str" cm="1">
        <f t="array" ref="E541">IF(COUNTIF(A:A, "*" &amp; LEFT(D541, FIND(" ", D541 &amp; " ") - 1) &amp; "*") &gt; 0,INDEX(A:A,FuzzyVLookup(D541,A:A,0,,,1)),"Non-PDL")</f>
        <v>PRALUENT (alirocumab)</v>
      </c>
      <c r="F541" t="str">
        <f t="shared" si="16"/>
        <v>Preferred</v>
      </c>
      <c r="G541" s="1" cm="1">
        <f t="array" ref="G541">FuzzyPercent(D541,E541,1)</f>
        <v>0.5517241358757019</v>
      </c>
      <c r="H541" t="str">
        <f t="shared" si="17"/>
        <v/>
      </c>
    </row>
    <row r="542" spans="1:8" x14ac:dyDescent="0.2">
      <c r="A542" t="s">
        <v>1070</v>
      </c>
      <c r="B542" t="s">
        <v>0</v>
      </c>
      <c r="D542" t="s">
        <v>2656</v>
      </c>
      <c r="E542" t="str" cm="1">
        <f t="array" ref="E542">IF(COUNTIF(A:A, "*" &amp; LEFT(D542, FIND(" ", D542 &amp; " ") - 1) &amp; "*") &gt; 0,INDEX(A:A,FuzzyVLookup(D542,A:A,0,,,1)),"Non-PDL")</f>
        <v>PRED MILD (prednisolone)</v>
      </c>
      <c r="F542" t="str">
        <f t="shared" si="16"/>
        <v>Preferred</v>
      </c>
      <c r="G542" s="1" cm="1">
        <f t="array" ref="G542">FuzzyPercent(D542,E542,1)</f>
        <v>0.31707316637039185</v>
      </c>
      <c r="H542" t="str">
        <f t="shared" si="17"/>
        <v>CHECK</v>
      </c>
    </row>
    <row r="543" spans="1:8" x14ac:dyDescent="0.2">
      <c r="A543" t="s">
        <v>1072</v>
      </c>
      <c r="B543" t="s">
        <v>0</v>
      </c>
      <c r="D543" t="s">
        <v>2657</v>
      </c>
      <c r="E543" t="str" cm="1">
        <f t="array" ref="E543">IF(COUNTIF(A:A, "*" &amp; LEFT(D543, FIND(" ", D543 &amp; " ") - 1) &amp; "*") &gt; 0,INDEX(A:A,FuzzyVLookup(D543,A:A,0,,,1)),"Non-PDL")</f>
        <v>PREVACID (lansoprazole)</v>
      </c>
      <c r="F543" t="str">
        <f t="shared" si="16"/>
        <v>Non-Preferred</v>
      </c>
      <c r="G543" s="1" cm="1">
        <f t="array" ref="G543">FuzzyPercent(D543,E543,1)</f>
        <v>0.56410259008407593</v>
      </c>
      <c r="H543" t="str">
        <f t="shared" si="17"/>
        <v/>
      </c>
    </row>
    <row r="544" spans="1:8" x14ac:dyDescent="0.2">
      <c r="A544" t="s">
        <v>1074</v>
      </c>
      <c r="B544" t="s">
        <v>0</v>
      </c>
      <c r="D544" t="s">
        <v>2658</v>
      </c>
      <c r="E544" t="str" cm="1">
        <f t="array" ref="E544">IF(COUNTIF(A:A, "*" &amp; LEFT(D544, FIND(" ", D544 &amp; " ") - 1) &amp; "*") &gt; 0,INDEX(A:A,FuzzyVLookup(D544,A:A,0,,,1)),"Non-PDL")</f>
        <v>PREVACID (lansoprazole)</v>
      </c>
      <c r="F544" t="str">
        <f t="shared" si="16"/>
        <v>Non-Preferred</v>
      </c>
      <c r="G544" s="1" cm="1">
        <f t="array" ref="G544">FuzzyPercent(D544,E544,1)</f>
        <v>0.53846156597137451</v>
      </c>
      <c r="H544" t="str">
        <f t="shared" si="17"/>
        <v/>
      </c>
    </row>
    <row r="545" spans="1:8" x14ac:dyDescent="0.2">
      <c r="A545" t="s">
        <v>1076</v>
      </c>
      <c r="B545" t="s">
        <v>0</v>
      </c>
      <c r="D545" t="s">
        <v>2659</v>
      </c>
      <c r="E545" t="str" cm="1">
        <f t="array" ref="E545">IF(COUNTIF(A:A, "*" &amp; LEFT(D545, FIND(" ", D545 &amp; " ") - 1) &amp; "*") &gt; 0,INDEX(A:A,FuzzyVLookup(D545,A:A,0,,,1)),"Non-PDL")</f>
        <v>Non-PDL</v>
      </c>
      <c r="F545" t="str">
        <f t="shared" si="16"/>
        <v>Non-PDL</v>
      </c>
      <c r="G545" s="1" cm="1">
        <f t="array" ref="G545">FuzzyPercent(D545,E545,1)</f>
        <v>0.1428571492433548</v>
      </c>
      <c r="H545" t="str">
        <f t="shared" si="17"/>
        <v/>
      </c>
    </row>
    <row r="546" spans="1:8" x14ac:dyDescent="0.2">
      <c r="A546" t="s">
        <v>1078</v>
      </c>
      <c r="B546" t="s">
        <v>0</v>
      </c>
      <c r="D546" t="s">
        <v>2660</v>
      </c>
      <c r="E546" t="str" cm="1">
        <f t="array" ref="E546">IF(COUNTIF(A:A, "*" &amp; LEFT(D546, FIND(" ", D546 &amp; " ") - 1) &amp; "*") &gt; 0,INDEX(A:A,FuzzyVLookup(D546,A:A,0,,,1)),"Non-PDL")</f>
        <v>PRILOSEC (omeprazole) packet</v>
      </c>
      <c r="F546" t="str">
        <f t="shared" si="16"/>
        <v>Non-Preferred</v>
      </c>
      <c r="G546" s="1" cm="1">
        <f t="array" ref="G546">FuzzyPercent(D546,E546,1)</f>
        <v>0.42553192377090454</v>
      </c>
      <c r="H546" t="str">
        <f t="shared" si="17"/>
        <v/>
      </c>
    </row>
    <row r="547" spans="1:8" x14ac:dyDescent="0.2">
      <c r="A547" t="s">
        <v>1080</v>
      </c>
      <c r="B547" t="s">
        <v>0</v>
      </c>
      <c r="D547" t="s">
        <v>2661</v>
      </c>
      <c r="E547" t="str" cm="1">
        <f t="array" ref="E547">IF(COUNTIF(A:A, "*" &amp; LEFT(D547, FIND(" ", D547 &amp; " ") - 1) &amp; "*") &gt; 0,INDEX(A:A,FuzzyVLookup(D547,A:A,0,,,1)),"Non-PDL")</f>
        <v>PRILOSEC (omeprazole) packet</v>
      </c>
      <c r="F547" t="str">
        <f t="shared" si="16"/>
        <v>Non-Preferred</v>
      </c>
      <c r="G547" s="1" cm="1">
        <f t="array" ref="G547">FuzzyPercent(D547,E547,1)</f>
        <v>0.34210526943206787</v>
      </c>
      <c r="H547" t="str">
        <f t="shared" si="17"/>
        <v>CHECK</v>
      </c>
    </row>
    <row r="548" spans="1:8" x14ac:dyDescent="0.2">
      <c r="A548" t="s">
        <v>1082</v>
      </c>
      <c r="B548" t="s">
        <v>0</v>
      </c>
      <c r="D548" t="s">
        <v>2662</v>
      </c>
      <c r="E548" t="str" cm="1">
        <f t="array" ref="E548">IF(COUNTIF(A:A, "*" &amp; LEFT(D548, FIND(" ", D548 &amp; " ") - 1) &amp; "*") &gt; 0,INDEX(A:A,FuzzyVLookup(D548,A:A,0,,,1)),"Non-PDL")</f>
        <v>PROAIR DIGIHALER (albuterol)</v>
      </c>
      <c r="F548" t="str">
        <f t="shared" si="16"/>
        <v>Non-Preferred</v>
      </c>
      <c r="G548" s="1" cm="1">
        <f t="array" ref="G548">FuzzyPercent(D548,E548,1)</f>
        <v>0.72727274894714355</v>
      </c>
      <c r="H548" t="str">
        <f t="shared" si="17"/>
        <v/>
      </c>
    </row>
    <row r="549" spans="1:8" x14ac:dyDescent="0.2">
      <c r="A549" t="s">
        <v>1084</v>
      </c>
      <c r="B549" t="s">
        <v>0</v>
      </c>
      <c r="D549" t="s">
        <v>2663</v>
      </c>
      <c r="E549" t="str" cm="1">
        <f t="array" ref="E549">IF(COUNTIF(A:A, "*" &amp; LEFT(D549, FIND(" ", D549 &amp; " ") - 1) &amp; "*") &gt; 0,INDEX(A:A,FuzzyVLookup(D549,A:A,0,,,1)),"Non-PDL")</f>
        <v>PROCARDIA XL</v>
      </c>
      <c r="F549" t="str">
        <f t="shared" si="16"/>
        <v>Non-Preferred</v>
      </c>
      <c r="G549" s="1" cm="1">
        <f t="array" ref="G549">FuzzyPercent(D549,E549,1)</f>
        <v>0.5</v>
      </c>
      <c r="H549" t="str">
        <f t="shared" si="17"/>
        <v/>
      </c>
    </row>
    <row r="550" spans="1:8" x14ac:dyDescent="0.2">
      <c r="A550" t="s">
        <v>1086</v>
      </c>
      <c r="B550" t="s">
        <v>0</v>
      </c>
      <c r="D550" t="s">
        <v>2664</v>
      </c>
      <c r="E550" t="str" cm="1">
        <f t="array" ref="E550">IF(COUNTIF(A:A, "*" &amp; LEFT(D550, FIND(" ", D550 &amp; " ") - 1) &amp; "*") &gt; 0,INDEX(A:A,FuzzyVLookup(D550,A:A,0,,,1)),"Non-PDL")</f>
        <v>PROAIR DIGIHALER (albuterol)</v>
      </c>
      <c r="F550" t="str">
        <f t="shared" si="16"/>
        <v>Non-Preferred</v>
      </c>
      <c r="G550" s="1" cm="1">
        <f t="array" ref="G550">FuzzyPercent(D550,E550,1)</f>
        <v>0.37777778506278992</v>
      </c>
      <c r="H550" t="str">
        <f t="shared" si="17"/>
        <v>CHECK</v>
      </c>
    </row>
    <row r="551" spans="1:8" x14ac:dyDescent="0.2">
      <c r="A551" t="s">
        <v>1088</v>
      </c>
      <c r="B551" t="s">
        <v>0</v>
      </c>
      <c r="D551" t="s">
        <v>2665</v>
      </c>
      <c r="E551" t="str" cm="1">
        <f t="array" ref="E551">IF(COUNTIF(A:A, "*" &amp; LEFT(D551, FIND(" ", D551 &amp; " ") - 1) &amp; "*") &gt; 0,INDEX(A:A,FuzzyVLookup(D551,A:A,0,,,1)),"Non-PDL")</f>
        <v>vancomycin oral solution</v>
      </c>
      <c r="F551" t="str">
        <f t="shared" si="16"/>
        <v>Preferred</v>
      </c>
      <c r="G551" s="1" cm="1">
        <f t="array" ref="G551">FuzzyPercent(D551,E551,1)</f>
        <v>0.5</v>
      </c>
      <c r="H551" t="str">
        <f t="shared" si="17"/>
        <v/>
      </c>
    </row>
    <row r="552" spans="1:8" x14ac:dyDescent="0.2">
      <c r="A552" t="s">
        <v>1089</v>
      </c>
      <c r="B552" t="s">
        <v>0</v>
      </c>
      <c r="D552" t="s">
        <v>2666</v>
      </c>
      <c r="E552" t="str" cm="1">
        <f t="array" ref="E552">IF(COUNTIF(A:A, "*" &amp; LEFT(D552, FIND(" ", D552 &amp; " ") - 1) &amp; "*") &gt; 0,INDEX(A:A,FuzzyVLookup(D552,A:A,0,,,1)),"Non-PDL")</f>
        <v>valsartan tablet</v>
      </c>
      <c r="F552" t="str">
        <f t="shared" si="16"/>
        <v>Preferred</v>
      </c>
      <c r="G552" s="1" cm="1">
        <f t="array" ref="G552">FuzzyPercent(D552,E552,1)</f>
        <v>0.48387095332145691</v>
      </c>
      <c r="H552" t="str">
        <f t="shared" si="17"/>
        <v/>
      </c>
    </row>
    <row r="553" spans="1:8" x14ac:dyDescent="0.2">
      <c r="A553" t="s">
        <v>1091</v>
      </c>
      <c r="B553" t="s">
        <v>0</v>
      </c>
      <c r="D553" t="s">
        <v>2667</v>
      </c>
      <c r="E553" t="str" cm="1">
        <f t="array" ref="E553">IF(COUNTIF(A:A, "*" &amp; LEFT(D553, FIND(" ", D553 &amp; " ") - 1) &amp; "*") &gt; 0,INDEX(A:A,FuzzyVLookup(D553,A:A,0,,,1)),"Non-PDL")</f>
        <v>PROTONIX (pantoprazole)</v>
      </c>
      <c r="F553" t="str">
        <f t="shared" si="16"/>
        <v>Non-Preferred</v>
      </c>
      <c r="G553" s="1" cm="1">
        <f t="array" ref="G553">FuzzyPercent(D553,E553,1)</f>
        <v>0.35294118523597717</v>
      </c>
      <c r="H553" t="str">
        <f t="shared" si="17"/>
        <v>CHECK</v>
      </c>
    </row>
    <row r="554" spans="1:8" x14ac:dyDescent="0.2">
      <c r="A554" t="s">
        <v>1093</v>
      </c>
      <c r="B554" t="s">
        <v>0</v>
      </c>
      <c r="D554" t="s">
        <v>2668</v>
      </c>
      <c r="E554" t="str" cm="1">
        <f t="array" ref="E554">IF(COUNTIF(A:A, "*" &amp; LEFT(D554, FIND(" ", D554 &amp; " ") - 1) &amp; "*") &gt; 0,INDEX(A:A,FuzzyVLookup(D554,A:A,0,,,1)),"Non-PDL")</f>
        <v>PROTONIX (pantoprazole)</v>
      </c>
      <c r="F554" t="str">
        <f t="shared" si="16"/>
        <v>Non-Preferred</v>
      </c>
      <c r="G554" s="1" cm="1">
        <f t="array" ref="G554">FuzzyPercent(D554,E554,1)</f>
        <v>0.58536583185195923</v>
      </c>
      <c r="H554" t="str">
        <f t="shared" si="17"/>
        <v/>
      </c>
    </row>
    <row r="555" spans="1:8" x14ac:dyDescent="0.2">
      <c r="A555" t="s">
        <v>1095</v>
      </c>
      <c r="B555" t="s">
        <v>0</v>
      </c>
      <c r="D555" t="s">
        <v>2669</v>
      </c>
      <c r="E555" t="str" cm="1">
        <f t="array" ref="E555">IF(COUNTIF(A:A, "*" &amp; LEFT(D555, FIND(" ", D555 &amp; " ") - 1) &amp; "*") &gt; 0,INDEX(A:A,FuzzyVLookup(D555,A:A,0,,,1)),"Non-PDL")</f>
        <v>Non-PDL</v>
      </c>
      <c r="F555" t="str">
        <f t="shared" si="16"/>
        <v>Non-PDL</v>
      </c>
      <c r="G555" s="1" cm="1">
        <f t="array" ref="G555">FuzzyPercent(D555,E555,1)</f>
        <v>0</v>
      </c>
      <c r="H555" t="str">
        <f t="shared" si="17"/>
        <v/>
      </c>
    </row>
    <row r="556" spans="1:8" x14ac:dyDescent="0.2">
      <c r="A556" t="s">
        <v>1097</v>
      </c>
      <c r="B556" t="s">
        <v>0</v>
      </c>
      <c r="D556" t="s">
        <v>2670</v>
      </c>
      <c r="E556" t="str" cm="1">
        <f t="array" ref="E556">IF(COUNTIF(A:A, "*" &amp; LEFT(D556, FIND(" ", D556 &amp; " ") - 1) &amp; "*") &gt; 0,INDEX(A:A,FuzzyVLookup(D556,A:A,0,,,1)),"Non-PDL")</f>
        <v>PULMICORT FLEXHALER (budesonide)</v>
      </c>
      <c r="F556" t="str">
        <f t="shared" si="16"/>
        <v>Preferred</v>
      </c>
      <c r="G556" s="1" cm="1">
        <f t="array" ref="G556">FuzzyPercent(D556,E556,1)</f>
        <v>0.7450980544090271</v>
      </c>
      <c r="H556" t="str">
        <f t="shared" si="17"/>
        <v/>
      </c>
    </row>
    <row r="557" spans="1:8" x14ac:dyDescent="0.2">
      <c r="A557" t="s">
        <v>1099</v>
      </c>
      <c r="B557" t="s">
        <v>0</v>
      </c>
      <c r="D557" t="s">
        <v>2671</v>
      </c>
      <c r="E557" t="str" cm="1">
        <f t="array" ref="E557">IF(COUNTIF(A:A, "*" &amp; LEFT(D557, FIND(" ", D557 &amp; " ") - 1) &amp; "*") &gt; 0,INDEX(A:A,FuzzyVLookup(D557,A:A,0,,,1)),"Non-PDL")</f>
        <v>PULMICORT FLEXHALER (budesonide)</v>
      </c>
      <c r="F557" t="str">
        <f t="shared" si="16"/>
        <v>Preferred</v>
      </c>
      <c r="G557" s="1" cm="1">
        <f t="array" ref="G557">FuzzyPercent(D557,E557,1)</f>
        <v>0.45454546809196472</v>
      </c>
      <c r="H557" t="str">
        <f t="shared" si="17"/>
        <v/>
      </c>
    </row>
    <row r="558" spans="1:8" x14ac:dyDescent="0.2">
      <c r="A558" t="s">
        <v>1101</v>
      </c>
      <c r="B558" t="s">
        <v>0</v>
      </c>
      <c r="D558" t="s">
        <v>2672</v>
      </c>
      <c r="E558" t="str" cm="1">
        <f t="array" ref="E558">IF(COUNTIF(A:A, "*" &amp; LEFT(D558, FIND(" ", D558 &amp; " ") - 1) &amp; "*") &gt; 0,INDEX(A:A,FuzzyVLookup(D558,A:A,0,,,1)),"Non-PDL")</f>
        <v>PULMICORT FLEXHALER (budesonide)</v>
      </c>
      <c r="F558" t="str">
        <f t="shared" si="16"/>
        <v>Preferred</v>
      </c>
      <c r="G558" s="1" cm="1">
        <f t="array" ref="G558">FuzzyPercent(D558,E558,1)</f>
        <v>0.41379311680793762</v>
      </c>
      <c r="H558" t="str">
        <f t="shared" si="17"/>
        <v/>
      </c>
    </row>
    <row r="559" spans="1:8" x14ac:dyDescent="0.2">
      <c r="A559" t="s">
        <v>1103</v>
      </c>
      <c r="B559" t="s">
        <v>0</v>
      </c>
      <c r="D559" t="s">
        <v>2673</v>
      </c>
      <c r="E559" t="str" cm="1">
        <f t="array" ref="E559">IF(COUNTIF(A:A, "*" &amp; LEFT(D559, FIND(" ", D559 &amp; " ") - 1) &amp; "*") &gt; 0,INDEX(A:A,FuzzyVLookup(D559,A:A,0,,,1)),"Non-PDL")</f>
        <v>PULMICORT FLEXHALER (budesonide)</v>
      </c>
      <c r="F559" t="str">
        <f t="shared" si="16"/>
        <v>Preferred</v>
      </c>
      <c r="G559" s="1" cm="1">
        <f t="array" ref="G559">FuzzyPercent(D559,E559,1)</f>
        <v>0.43859648704528809</v>
      </c>
      <c r="H559" t="str">
        <f t="shared" si="17"/>
        <v/>
      </c>
    </row>
    <row r="560" spans="1:8" x14ac:dyDescent="0.2">
      <c r="A560" t="s">
        <v>1105</v>
      </c>
      <c r="B560" t="s">
        <v>0</v>
      </c>
      <c r="D560" t="s">
        <v>2674</v>
      </c>
      <c r="E560" t="str" cm="1">
        <f t="array" ref="E560">IF(COUNTIF(A:A, "*" &amp; LEFT(D560, FIND(" ", D560 &amp; " ") - 1) &amp; "*") &gt; 0,INDEX(A:A,FuzzyVLookup(D560,A:A,0,,,1)),"Non-PDL")</f>
        <v>Non-PDL</v>
      </c>
      <c r="F560" t="str">
        <f t="shared" si="16"/>
        <v>Non-PDL</v>
      </c>
      <c r="G560" s="1" cm="1">
        <f t="array" ref="G560">FuzzyPercent(D560,E560,1)</f>
        <v>0</v>
      </c>
      <c r="H560" t="str">
        <f t="shared" si="17"/>
        <v/>
      </c>
    </row>
    <row r="561" spans="1:8" x14ac:dyDescent="0.2">
      <c r="A561" t="s">
        <v>1107</v>
      </c>
      <c r="B561" t="s">
        <v>0</v>
      </c>
      <c r="D561" t="s">
        <v>2675</v>
      </c>
      <c r="E561" t="str" cm="1">
        <f t="array" ref="E561">IF(COUNTIF(A:A, "*" &amp; LEFT(D561, FIND(" ", D561 &amp; " ") - 1) &amp; "*") &gt; 0,INDEX(A:A,FuzzyVLookup(D561,A:A,0,,,1)),"Non-PDL")</f>
        <v>Non-PDL</v>
      </c>
      <c r="F561" t="str">
        <f t="shared" si="16"/>
        <v>Non-PDL</v>
      </c>
      <c r="G561" s="1" cm="1">
        <f t="array" ref="G561">FuzzyPercent(D561,E561,1)</f>
        <v>0</v>
      </c>
      <c r="H561" t="str">
        <f t="shared" si="17"/>
        <v/>
      </c>
    </row>
    <row r="562" spans="1:8" x14ac:dyDescent="0.2">
      <c r="A562" t="s">
        <v>1109</v>
      </c>
      <c r="B562" t="s">
        <v>0</v>
      </c>
      <c r="D562" t="s">
        <v>2676</v>
      </c>
      <c r="E562" t="str" cm="1">
        <f t="array" ref="E562">IF(COUNTIF(A:A, "*" &amp; LEFT(D562, FIND(" ", D562 &amp; " ") - 1) &amp; "*") &gt; 0,INDEX(A:A,FuzzyVLookup(D562,A:A,0,,,1)),"Non-PDL")</f>
        <v>quetiapine</v>
      </c>
      <c r="F562" t="str">
        <f t="shared" si="16"/>
        <v>Preferred</v>
      </c>
      <c r="G562" s="1" cm="1">
        <f t="array" ref="G562">FuzzyPercent(D562,E562,1)</f>
        <v>1</v>
      </c>
      <c r="H562" t="str">
        <f t="shared" si="17"/>
        <v/>
      </c>
    </row>
    <row r="563" spans="1:8" x14ac:dyDescent="0.2">
      <c r="A563" t="s">
        <v>1111</v>
      </c>
      <c r="B563" t="s">
        <v>0</v>
      </c>
      <c r="D563" t="s">
        <v>2677</v>
      </c>
      <c r="E563" t="str" cm="1">
        <f t="array" ref="E563">IF(COUNTIF(A:A, "*" &amp; LEFT(D563, FIND(" ", D563 &amp; " ") - 1) &amp; "*") &gt; 0,INDEX(A:A,FuzzyVLookup(D563,A:A,0,,,1)),"Non-PDL")</f>
        <v>quetiapine ER</v>
      </c>
      <c r="F563" t="str">
        <f t="shared" si="16"/>
        <v>Preferred</v>
      </c>
      <c r="G563" s="1" cm="1">
        <f t="array" ref="G563">FuzzyPercent(D563,E563,1)</f>
        <v>1</v>
      </c>
      <c r="H563" t="str">
        <f t="shared" si="17"/>
        <v/>
      </c>
    </row>
    <row r="564" spans="1:8" x14ac:dyDescent="0.2">
      <c r="A564" t="s">
        <v>1113</v>
      </c>
      <c r="B564" t="s">
        <v>0</v>
      </c>
      <c r="D564" t="s">
        <v>2678</v>
      </c>
      <c r="E564" t="str" cm="1">
        <f t="array" ref="E564">IF(COUNTIF(A:A, "*" &amp; LEFT(D564, FIND(" ", D564 &amp; " ") - 1) &amp; "*") &gt; 0,INDEX(A:A,FuzzyVLookup(D564,A:A,0,,,1)),"Non-PDL")</f>
        <v>QUILLICHEW ER (methylphenidate)</v>
      </c>
      <c r="F564" t="str">
        <f t="shared" si="16"/>
        <v>Preferred</v>
      </c>
      <c r="G564" s="1" cm="1">
        <f t="array" ref="G564">FuzzyPercent(D564,E564,1)</f>
        <v>0.54545456171035767</v>
      </c>
      <c r="H564" t="str">
        <f t="shared" si="17"/>
        <v/>
      </c>
    </row>
    <row r="565" spans="1:8" x14ac:dyDescent="0.2">
      <c r="A565" t="s">
        <v>1115</v>
      </c>
      <c r="B565" t="s">
        <v>0</v>
      </c>
      <c r="D565" t="s">
        <v>2679</v>
      </c>
      <c r="E565" t="str" cm="1">
        <f t="array" ref="E565">IF(COUNTIF(A:A, "*" &amp; LEFT(D565, FIND(" ", D565 &amp; " ") - 1) &amp; "*") &gt; 0,INDEX(A:A,FuzzyVLookup(D565,A:A,0,,,1)),"Non-PDL")</f>
        <v>QUILLIVANT XR (methylphenidate)</v>
      </c>
      <c r="F565" t="str">
        <f t="shared" si="16"/>
        <v>Preferred</v>
      </c>
      <c r="G565" s="1" cm="1">
        <f t="array" ref="G565">FuzzyPercent(D565,E565,1)</f>
        <v>0.59090906381607056</v>
      </c>
      <c r="H565" t="str">
        <f t="shared" si="17"/>
        <v/>
      </c>
    </row>
    <row r="566" spans="1:8" x14ac:dyDescent="0.2">
      <c r="A566" t="s">
        <v>1117</v>
      </c>
      <c r="B566" t="s">
        <v>0</v>
      </c>
      <c r="D566" t="s">
        <v>2680</v>
      </c>
      <c r="E566" t="str" cm="1">
        <f t="array" ref="E566">IF(COUNTIF(A:A, "*" &amp; LEFT(D566, FIND(" ", D566 &amp; " ") - 1) &amp; "*") &gt; 0,INDEX(A:A,FuzzyVLookup(D566,A:A,0,,,1)),"Non-PDL")</f>
        <v>quinapril</v>
      </c>
      <c r="F566" t="str">
        <f t="shared" si="16"/>
        <v>Preferred</v>
      </c>
      <c r="G566" s="1" cm="1">
        <f t="array" ref="G566">FuzzyPercent(D566,E566,1)</f>
        <v>1</v>
      </c>
      <c r="H566" t="str">
        <f t="shared" si="17"/>
        <v/>
      </c>
    </row>
    <row r="567" spans="1:8" x14ac:dyDescent="0.2">
      <c r="A567" t="s">
        <v>1119</v>
      </c>
      <c r="B567" t="s">
        <v>0</v>
      </c>
      <c r="D567" t="s">
        <v>2681</v>
      </c>
      <c r="E567" t="str" cm="1">
        <f t="array" ref="E567">IF(COUNTIF(A:A, "*" &amp; LEFT(D567, FIND(" ", D567 &amp; " ") - 1) &amp; "*") &gt; 0,INDEX(A:A,FuzzyVLookup(D567,A:A,0,,,1)),"Non-PDL")</f>
        <v>QULIPTA (atogepant)</v>
      </c>
      <c r="F567" t="str">
        <f t="shared" si="16"/>
        <v>Preferred</v>
      </c>
      <c r="G567" s="1" cm="1">
        <f t="array" ref="G567">FuzzyPercent(D567,E567,1)</f>
        <v>0.53846156597137451</v>
      </c>
      <c r="H567" t="str">
        <f t="shared" si="17"/>
        <v/>
      </c>
    </row>
    <row r="568" spans="1:8" x14ac:dyDescent="0.2">
      <c r="A568" t="s">
        <v>1121</v>
      </c>
      <c r="B568" t="s">
        <v>0</v>
      </c>
      <c r="D568" t="s">
        <v>2682</v>
      </c>
      <c r="E568" t="str" cm="1">
        <f t="array" ref="E568">IF(COUNTIF(A:A, "*" &amp; LEFT(D568, FIND(" ", D568 &amp; " ") - 1) &amp; "*") &gt; 0,INDEX(A:A,FuzzyVLookup(D568,A:A,0,,,1)),"Non-PDL")</f>
        <v>Ivabradine</v>
      </c>
      <c r="F568" t="str">
        <f t="shared" si="16"/>
        <v>Preferred</v>
      </c>
      <c r="G568" s="1" cm="1">
        <f t="array" ref="G568">FuzzyPercent(D568,E568,1)</f>
        <v>0.3571428656578064</v>
      </c>
      <c r="H568" t="str">
        <f t="shared" si="17"/>
        <v>CHECK</v>
      </c>
    </row>
    <row r="569" spans="1:8" x14ac:dyDescent="0.2">
      <c r="A569" t="s">
        <v>1123</v>
      </c>
      <c r="B569" t="s">
        <v>0</v>
      </c>
      <c r="D569" t="s">
        <v>2683</v>
      </c>
      <c r="E569" t="str" cm="1">
        <f t="array" ref="E569">IF(COUNTIF(A:A, "*" &amp; LEFT(D569, FIND(" ", D569 &amp; " ") - 1) &amp; "*") &gt; 0,INDEX(A:A,FuzzyVLookup(D569,A:A,0,,,1)),"Non-PDL")</f>
        <v>DEPAKOTE SPRINKLE (divalproex)</v>
      </c>
      <c r="F569" t="str">
        <f t="shared" si="16"/>
        <v>Preferred</v>
      </c>
      <c r="G569" s="1" cm="1">
        <f t="array" ref="G569">FuzzyPercent(D569,E569,1)</f>
        <v>0.41379311680793762</v>
      </c>
      <c r="H569" t="str">
        <f t="shared" si="17"/>
        <v/>
      </c>
    </row>
    <row r="570" spans="1:8" x14ac:dyDescent="0.2">
      <c r="A570" t="s">
        <v>1125</v>
      </c>
      <c r="B570" t="s">
        <v>0</v>
      </c>
      <c r="D570" t="s">
        <v>2684</v>
      </c>
      <c r="E570" t="str" cm="1">
        <f t="array" ref="E570">IF(COUNTIF(A:A, "*" &amp; LEFT(D570, FIND(" ", D570 &amp; " ") - 1) &amp; "*") &gt; 0,INDEX(A:A,FuzzyVLookup(D570,A:A,0,,,1)),"Non-PDL")</f>
        <v>rabeprazole</v>
      </c>
      <c r="F570" t="str">
        <f t="shared" si="16"/>
        <v>Non-Preferred</v>
      </c>
      <c r="G570" s="1" cm="1">
        <f t="array" ref="G570">FuzzyPercent(D570,E570,1)</f>
        <v>0.6111111044883728</v>
      </c>
      <c r="H570" t="str">
        <f t="shared" si="17"/>
        <v/>
      </c>
    </row>
    <row r="571" spans="1:8" x14ac:dyDescent="0.2">
      <c r="A571" t="s">
        <v>1127</v>
      </c>
      <c r="B571" t="s">
        <v>0</v>
      </c>
      <c r="D571" t="s">
        <v>2685</v>
      </c>
      <c r="E571" t="str" cm="1">
        <f t="array" ref="E571">IF(COUNTIF(A:A, "*" &amp; LEFT(D571, FIND(" ", D571 &amp; " ") - 1) &amp; "*") &gt; 0,INDEX(A:A,FuzzyVLookup(D571,A:A,0,,,1)),"Non-PDL")</f>
        <v>RAGWITEK</v>
      </c>
      <c r="F571" t="str">
        <f t="shared" si="16"/>
        <v>Preferred</v>
      </c>
      <c r="G571" s="1" cm="1">
        <f t="array" ref="G571">FuzzyPercent(D571,E571,1)</f>
        <v>1</v>
      </c>
      <c r="H571" t="str">
        <f t="shared" si="17"/>
        <v/>
      </c>
    </row>
    <row r="572" spans="1:8" x14ac:dyDescent="0.2">
      <c r="A572" t="s">
        <v>1129</v>
      </c>
      <c r="B572" t="s">
        <v>0</v>
      </c>
      <c r="D572" t="s">
        <v>2686</v>
      </c>
      <c r="E572" t="str" cm="1">
        <f t="array" ref="E572">IF(COUNTIF(A:A, "*" &amp; LEFT(D572, FIND(" ", D572 &amp; " ") - 1) &amp; "*") &gt; 0,INDEX(A:A,FuzzyVLookup(D572,A:A,0,,,1)),"Non-PDL")</f>
        <v>ramipril</v>
      </c>
      <c r="F572" t="str">
        <f t="shared" si="16"/>
        <v>Preferred</v>
      </c>
      <c r="G572" s="1" cm="1">
        <f t="array" ref="G572">FuzzyPercent(D572,E572,1)</f>
        <v>1</v>
      </c>
      <c r="H572" t="str">
        <f t="shared" si="17"/>
        <v/>
      </c>
    </row>
    <row r="573" spans="1:8" x14ac:dyDescent="0.2">
      <c r="A573" t="s">
        <v>1131</v>
      </c>
      <c r="B573" t="s">
        <v>0</v>
      </c>
      <c r="D573" t="s">
        <v>2687</v>
      </c>
      <c r="E573" t="str" cm="1">
        <f t="array" ref="E573">IF(COUNTIF(A:A, "*" &amp; LEFT(D573, FIND(" ", D573 &amp; " ") - 1) &amp; "*") &gt; 0,INDEX(A:A,FuzzyVLookup(D573,A:A,0,,,1)),"Non-PDL")</f>
        <v>Non-PDL</v>
      </c>
      <c r="F573" t="str">
        <f t="shared" si="16"/>
        <v>Non-PDL</v>
      </c>
      <c r="G573" s="1" cm="1">
        <f t="array" ref="G573">FuzzyPercent(D573,E573,1)</f>
        <v>0.15384615957736969</v>
      </c>
      <c r="H573" t="str">
        <f t="shared" si="17"/>
        <v/>
      </c>
    </row>
    <row r="574" spans="1:8" x14ac:dyDescent="0.2">
      <c r="A574" t="s">
        <v>1133</v>
      </c>
      <c r="B574" t="s">
        <v>0</v>
      </c>
      <c r="D574" t="s">
        <v>2688</v>
      </c>
      <c r="E574" t="str" cm="1">
        <f t="array" ref="E574">IF(COUNTIF(A:A, "*" &amp; LEFT(D574, FIND(" ", D574 &amp; " ") - 1) &amp; "*") &gt; 0,INDEX(A:A,FuzzyVLookup(D574,A:A,0,,,1)),"Non-PDL")</f>
        <v>ramipril</v>
      </c>
      <c r="F574" t="str">
        <f t="shared" si="16"/>
        <v>Preferred</v>
      </c>
      <c r="G574" s="1" cm="1">
        <f t="array" ref="G574">FuzzyPercent(D574,E574,1)</f>
        <v>0.53333336114883423</v>
      </c>
      <c r="H574" t="str">
        <f t="shared" si="17"/>
        <v/>
      </c>
    </row>
    <row r="575" spans="1:8" x14ac:dyDescent="0.2">
      <c r="A575" t="s">
        <v>1135</v>
      </c>
      <c r="B575" t="s">
        <v>0</v>
      </c>
      <c r="D575" t="s">
        <v>2689</v>
      </c>
      <c r="E575" t="str" cm="1">
        <f t="array" ref="E575">IF(COUNTIF(A:A, "*" &amp; LEFT(D575, FIND(" ", D575 &amp; " ") - 1) &amp; "*") &gt; 0,INDEX(A:A,FuzzyVLookup(D575,A:A,0,,,1)),"Non-PDL")</f>
        <v>REBIF (interferon beta-1b)</v>
      </c>
      <c r="F575" t="str">
        <f t="shared" si="16"/>
        <v>Preferred</v>
      </c>
      <c r="G575" s="1" cm="1">
        <f t="array" ref="G575">FuzzyPercent(D575,E575,1)</f>
        <v>0.56818181276321411</v>
      </c>
      <c r="H575" t="str">
        <f t="shared" si="17"/>
        <v/>
      </c>
    </row>
    <row r="576" spans="1:8" x14ac:dyDescent="0.2">
      <c r="A576" t="s">
        <v>1137</v>
      </c>
      <c r="B576" t="s">
        <v>0</v>
      </c>
      <c r="D576" t="s">
        <v>2690</v>
      </c>
      <c r="E576" t="str" cm="1">
        <f t="array" ref="E576">IF(COUNTIF(A:A, "*" &amp; LEFT(D576, FIND(" ", D576 &amp; " ") - 1) &amp; "*") &gt; 0,INDEX(A:A,FuzzyVLookup(D576,A:A,0,,,1)),"Non-PDL")</f>
        <v>REBINYN</v>
      </c>
      <c r="F576" t="str">
        <f t="shared" si="16"/>
        <v>Non-Preferred</v>
      </c>
      <c r="G576" s="1" cm="1">
        <f t="array" ref="G576">FuzzyPercent(D576,E576,1)</f>
        <v>1</v>
      </c>
      <c r="H576" t="str">
        <f t="shared" si="17"/>
        <v/>
      </c>
    </row>
    <row r="577" spans="1:8" x14ac:dyDescent="0.2">
      <c r="A577" t="s">
        <v>1139</v>
      </c>
      <c r="B577" t="s">
        <v>0</v>
      </c>
      <c r="D577" t="s">
        <v>2691</v>
      </c>
      <c r="E577" t="str" cm="1">
        <f t="array" ref="E577">IF(COUNTIF(A:A, "*" &amp; LEFT(D577, FIND(" ", D577 &amp; " ") - 1) &amp; "*") &gt; 0,INDEX(A:A,FuzzyVLookup(D577,A:A,0,,,1)),"Non-PDL")</f>
        <v>Non-PDL</v>
      </c>
      <c r="F577" t="str">
        <f t="shared" si="16"/>
        <v>Non-PDL</v>
      </c>
      <c r="G577" s="1" cm="1">
        <f t="array" ref="G577">FuzzyPercent(D577,E577,1)</f>
        <v>3.0303031206130981E-2</v>
      </c>
      <c r="H577" t="str">
        <f t="shared" si="17"/>
        <v/>
      </c>
    </row>
    <row r="578" spans="1:8" x14ac:dyDescent="0.2">
      <c r="A578" t="s">
        <v>1141</v>
      </c>
      <c r="B578" t="s">
        <v>0</v>
      </c>
      <c r="D578" t="s">
        <v>2692</v>
      </c>
      <c r="E578" t="str" cm="1">
        <f t="array" ref="E578">IF(COUNTIF(A:A, "*" &amp; LEFT(D578, FIND(" ", D578 &amp; " ") - 1) &amp; "*") &gt; 0,INDEX(A:A,FuzzyVLookup(D578,A:A,0,,,1)),"Non-PDL")</f>
        <v>REBINYN</v>
      </c>
      <c r="F578" t="str">
        <f t="shared" si="16"/>
        <v>Non-Preferred</v>
      </c>
      <c r="G578" s="1" cm="1">
        <f t="array" ref="G578">FuzzyPercent(D578,E578,1)</f>
        <v>0.57142859697341919</v>
      </c>
      <c r="H578" t="str">
        <f t="shared" si="17"/>
        <v/>
      </c>
    </row>
    <row r="579" spans="1:8" x14ac:dyDescent="0.2">
      <c r="A579" t="s">
        <v>1143</v>
      </c>
      <c r="B579" t="s">
        <v>0</v>
      </c>
      <c r="D579" t="s">
        <v>2693</v>
      </c>
      <c r="E579" t="str" cm="1">
        <f t="array" ref="E579">IF(COUNTIF(A:A, "*" &amp; LEFT(D579, FIND(" ", D579 &amp; " ") - 1) &amp; "*") &gt; 0,INDEX(A:A,FuzzyVLookup(D579,A:A,0,,,1)),"Non-PDL")</f>
        <v>Non-PDL</v>
      </c>
      <c r="F579" t="str">
        <f t="shared" ref="F579:F642" si="18">_xlfn.IFNA(_xlfn.XLOOKUP(E579,A:A,B:B),"Non-PDL")</f>
        <v>Non-PDL</v>
      </c>
      <c r="G579" s="1" cm="1">
        <f t="array" ref="G579">FuzzyPercent(D579,E579,1)</f>
        <v>0</v>
      </c>
      <c r="H579" t="str">
        <f t="shared" ref="H579:H642" si="19">IF(F579="Non-PDL","",IF(G579&lt;0.4,"CHECK",""))</f>
        <v/>
      </c>
    </row>
    <row r="580" spans="1:8" x14ac:dyDescent="0.2">
      <c r="A580" t="s">
        <v>1145</v>
      </c>
      <c r="B580" t="s">
        <v>0</v>
      </c>
      <c r="D580" t="s">
        <v>2694</v>
      </c>
      <c r="E580" t="str" cm="1">
        <f t="array" ref="E580">IF(COUNTIF(A:A, "*" &amp; LEFT(D580, FIND(" ", D580 &amp; " ") - 1) &amp; "*") &gt; 0,INDEX(A:A,FuzzyVLookup(D580,A:A,0,,,1)),"Non-PDL")</f>
        <v>Non-PDL</v>
      </c>
      <c r="F580" t="str">
        <f t="shared" si="18"/>
        <v>Non-PDL</v>
      </c>
      <c r="G580" s="1" cm="1">
        <f t="array" ref="G580">FuzzyPercent(D580,E580,1)</f>
        <v>0.28571429848670959</v>
      </c>
      <c r="H580" t="str">
        <f t="shared" si="19"/>
        <v/>
      </c>
    </row>
    <row r="581" spans="1:8" x14ac:dyDescent="0.2">
      <c r="A581" t="s">
        <v>1147</v>
      </c>
      <c r="B581" t="s">
        <v>0</v>
      </c>
      <c r="D581" t="s">
        <v>2695</v>
      </c>
      <c r="E581" t="str" cm="1">
        <f t="array" ref="E581">IF(COUNTIF(A:A, "*" &amp; LEFT(D581, FIND(" ", D581 &amp; " ") - 1) &amp; "*") &gt; 0,INDEX(A:A,FuzzyVLookup(D581,A:A,0,,,1)),"Non-PDL")</f>
        <v>RENVELA (sevelamer)</v>
      </c>
      <c r="F581" t="str">
        <f t="shared" si="18"/>
        <v>Non-Preferred</v>
      </c>
      <c r="G581" s="1" cm="1">
        <f t="array" ref="G581">FuzzyPercent(D581,E581,1)</f>
        <v>0.53846156597137451</v>
      </c>
      <c r="H581" t="str">
        <f t="shared" si="19"/>
        <v/>
      </c>
    </row>
    <row r="582" spans="1:8" x14ac:dyDescent="0.2">
      <c r="A582" t="s">
        <v>1149</v>
      </c>
      <c r="B582" t="s">
        <v>0</v>
      </c>
      <c r="D582" t="s">
        <v>2696</v>
      </c>
      <c r="E582" t="str" cm="1">
        <f t="array" ref="E582">IF(COUNTIF(A:A, "*" &amp; LEFT(D582, FIND(" ", D582 &amp; " ") - 1) &amp; "*") &gt; 0,INDEX(A:A,FuzzyVLookup(D582,A:A,0,,,1)),"Non-PDL")</f>
        <v>Non-PDL</v>
      </c>
      <c r="F582" t="str">
        <f t="shared" si="18"/>
        <v>Non-PDL</v>
      </c>
      <c r="G582" s="1" cm="1">
        <f t="array" ref="G582">FuzzyPercent(D582,E582,1)</f>
        <v>0.1428571492433548</v>
      </c>
      <c r="H582" t="str">
        <f t="shared" si="19"/>
        <v/>
      </c>
    </row>
    <row r="583" spans="1:8" x14ac:dyDescent="0.2">
      <c r="A583" t="s">
        <v>1151</v>
      </c>
      <c r="B583" t="s">
        <v>0</v>
      </c>
      <c r="D583" t="s">
        <v>2697</v>
      </c>
      <c r="E583" t="str" cm="1">
        <f t="array" ref="E583">IF(COUNTIF(A:A, "*" &amp; LEFT(D583, FIND(" ", D583 &amp; " ") - 1) &amp; "*") &gt; 0,INDEX(A:A,FuzzyVLookup(D583,A:A,0,,,1)),"Non-PDL")</f>
        <v>nystatin</v>
      </c>
      <c r="F583" t="str">
        <f t="shared" si="18"/>
        <v>Preferred</v>
      </c>
      <c r="G583" s="1" cm="1">
        <f t="array" ref="G583">FuzzyPercent(D583,E583,1)</f>
        <v>0.5</v>
      </c>
      <c r="H583" t="str">
        <f t="shared" si="19"/>
        <v/>
      </c>
    </row>
    <row r="584" spans="1:8" x14ac:dyDescent="0.2">
      <c r="A584" t="s">
        <v>1153</v>
      </c>
      <c r="B584" t="s">
        <v>0</v>
      </c>
      <c r="D584" t="s">
        <v>2698</v>
      </c>
      <c r="E584" t="str" cm="1">
        <f t="array" ref="E584">IF(COUNTIF(A:A, "*" &amp; LEFT(D584, FIND(" ", D584 &amp; " ") - 1) &amp; "*") &gt; 0,INDEX(A:A,FuzzyVLookup(D584,A:A,0,,,1)),"Non-PDL")</f>
        <v>RETEVMO (selpercatinib)</v>
      </c>
      <c r="F584" t="str">
        <f t="shared" si="18"/>
        <v>Non-Preferred</v>
      </c>
      <c r="G584" s="1" cm="1">
        <f t="array" ref="G584">FuzzyPercent(D584,E584,1)</f>
        <v>0.46666666865348816</v>
      </c>
      <c r="H584" t="str">
        <f t="shared" si="19"/>
        <v/>
      </c>
    </row>
    <row r="585" spans="1:8" x14ac:dyDescent="0.2">
      <c r="A585" t="s">
        <v>1155</v>
      </c>
      <c r="B585" t="s">
        <v>0</v>
      </c>
      <c r="D585" t="s">
        <v>2699</v>
      </c>
      <c r="E585" t="str" cm="1">
        <f t="array" ref="E585">IF(COUNTIF(A:A, "*" &amp; LEFT(D585, FIND(" ", D585 &amp; " ") - 1) &amp; "*") &gt; 0,INDEX(A:A,FuzzyVLookup(D585,A:A,0,,,1)),"Non-PDL")</f>
        <v>REVATIO (sildenafil)</v>
      </c>
      <c r="F585" t="str">
        <f t="shared" si="18"/>
        <v>Non-Preferred</v>
      </c>
      <c r="G585" s="1" cm="1">
        <f t="array" ref="G585">FuzzyPercent(D585,E585,1)</f>
        <v>0.39130434393882751</v>
      </c>
      <c r="H585" t="str">
        <f t="shared" si="19"/>
        <v>CHECK</v>
      </c>
    </row>
    <row r="586" spans="1:8" x14ac:dyDescent="0.2">
      <c r="A586" t="s">
        <v>1157</v>
      </c>
      <c r="B586" t="s">
        <v>0</v>
      </c>
      <c r="D586" t="s">
        <v>2700</v>
      </c>
      <c r="E586" t="str" cm="1">
        <f t="array" ref="E586">IF(COUNTIF(A:A, "*" &amp; LEFT(D586, FIND(" ", D586 &amp; " ") - 1) &amp; "*") &gt; 0,INDEX(A:A,FuzzyVLookup(D586,A:A,0,,,1)),"Non-PDL")</f>
        <v>REVATIO (sildenafil)</v>
      </c>
      <c r="F586" t="str">
        <f t="shared" si="18"/>
        <v>Non-Preferred</v>
      </c>
      <c r="G586" s="1" cm="1">
        <f t="array" ref="G586">FuzzyPercent(D586,E586,1)</f>
        <v>0.55882352590560913</v>
      </c>
      <c r="H586" t="str">
        <f t="shared" si="19"/>
        <v/>
      </c>
    </row>
    <row r="587" spans="1:8" x14ac:dyDescent="0.2">
      <c r="A587" t="s">
        <v>1159</v>
      </c>
      <c r="B587" t="s">
        <v>0</v>
      </c>
      <c r="D587" t="s">
        <v>2701</v>
      </c>
      <c r="E587" t="str" cm="1">
        <f t="array" ref="E587">IF(COUNTIF(A:A, "*" &amp; LEFT(D587, FIND(" ", D587 &amp; " ") - 1) &amp; "*") &gt; 0,INDEX(A:A,FuzzyVLookup(D587,A:A,0,,,1)),"Non-PDL")</f>
        <v>REXULTI (brexpiprazole)</v>
      </c>
      <c r="F587" t="str">
        <f t="shared" si="18"/>
        <v>Non-Preferred</v>
      </c>
      <c r="G587" s="1" cm="1">
        <f t="array" ref="G587">FuzzyPercent(D587,E587,1)</f>
        <v>0.46666666865348816</v>
      </c>
      <c r="H587" t="str">
        <f t="shared" si="19"/>
        <v/>
      </c>
    </row>
    <row r="588" spans="1:8" x14ac:dyDescent="0.2">
      <c r="A588" t="s">
        <v>1161</v>
      </c>
      <c r="B588" t="s">
        <v>0</v>
      </c>
      <c r="D588" t="s">
        <v>2702</v>
      </c>
      <c r="E588" t="str" cm="1">
        <f t="array" ref="E588">IF(COUNTIF(A:A, "*" &amp; LEFT(D588, FIND(" ", D588 &amp; " ") - 1) &amp; "*") &gt; 0,INDEX(A:A,FuzzyVLookup(D588,A:A,0,,,1)),"Non-PDL")</f>
        <v>REYVOW (lasmiditan)</v>
      </c>
      <c r="F588" t="str">
        <f t="shared" si="18"/>
        <v>Non-Preferred</v>
      </c>
      <c r="G588" s="1" cm="1">
        <f t="array" ref="G588">FuzzyPercent(D588,E588,1)</f>
        <v>0.47999998927116394</v>
      </c>
      <c r="H588" t="str">
        <f t="shared" si="19"/>
        <v/>
      </c>
    </row>
    <row r="589" spans="1:8" x14ac:dyDescent="0.2">
      <c r="A589" t="s">
        <v>1163</v>
      </c>
      <c r="B589" t="s">
        <v>0</v>
      </c>
      <c r="D589" t="s">
        <v>2703</v>
      </c>
      <c r="E589" t="str" cm="1">
        <f t="array" ref="E589">IF(COUNTIF(A:A, "*" &amp; LEFT(D589, FIND(" ", D589 &amp; " ") - 1) &amp; "*") &gt; 0,INDEX(A:A,FuzzyVLookup(D589,A:A,0,,,1)),"Non-PDL")</f>
        <v>Non-PDL</v>
      </c>
      <c r="F589" t="str">
        <f t="shared" si="18"/>
        <v>Non-PDL</v>
      </c>
      <c r="G589" s="1" cm="1">
        <f t="array" ref="G589">FuzzyPercent(D589,E589,1)</f>
        <v>0.1111111119389534</v>
      </c>
      <c r="H589" t="str">
        <f t="shared" si="19"/>
        <v/>
      </c>
    </row>
    <row r="590" spans="1:8" x14ac:dyDescent="0.2">
      <c r="A590" t="s">
        <v>1165</v>
      </c>
      <c r="B590" t="s">
        <v>0</v>
      </c>
      <c r="D590" t="s">
        <v>2704</v>
      </c>
      <c r="E590" t="str" cm="1">
        <f t="array" ref="E590">IF(COUNTIF(A:A, "*" &amp; LEFT(D590, FIND(" ", D590 &amp; " ") - 1) &amp; "*") &gt; 0,INDEX(A:A,FuzzyVLookup(D590,A:A,0,,,1)),"Non-PDL")</f>
        <v>REZUROCK (belumosudil)</v>
      </c>
      <c r="F590" t="str">
        <f t="shared" si="18"/>
        <v>Non-Preferred</v>
      </c>
      <c r="G590" s="1" cm="1">
        <f t="array" ref="G590">FuzzyPercent(D590,E590,1)</f>
        <v>0.53333336114883423</v>
      </c>
      <c r="H590" t="str">
        <f t="shared" si="19"/>
        <v/>
      </c>
    </row>
    <row r="591" spans="1:8" x14ac:dyDescent="0.2">
      <c r="A591" t="s">
        <v>1167</v>
      </c>
      <c r="B591" t="s">
        <v>0</v>
      </c>
      <c r="D591" t="s">
        <v>2705</v>
      </c>
      <c r="E591" t="str" cm="1">
        <f t="array" ref="E591">IF(COUNTIF(A:A, "*" &amp; LEFT(D591, FIND(" ", D591 &amp; " ") - 1) &amp; "*") &gt; 0,INDEX(A:A,FuzzyVLookup(D591,A:A,0,,,1)),"Non-PDL")</f>
        <v>Non-PDL</v>
      </c>
      <c r="F591" t="str">
        <f t="shared" si="18"/>
        <v>Non-PDL</v>
      </c>
      <c r="G591" s="1" cm="1">
        <f t="array" ref="G591">FuzzyPercent(D591,E591,1)</f>
        <v>7.6923079788684845E-2</v>
      </c>
      <c r="H591" t="str">
        <f t="shared" si="19"/>
        <v/>
      </c>
    </row>
    <row r="592" spans="1:8" x14ac:dyDescent="0.2">
      <c r="A592" t="s">
        <v>1169</v>
      </c>
      <c r="B592" t="s">
        <v>0</v>
      </c>
      <c r="D592" t="s">
        <v>2706</v>
      </c>
      <c r="E592" t="str" cm="1">
        <f t="array" ref="E592">IF(COUNTIF(A:A, "*" &amp; LEFT(D592, FIND(" ", D592 &amp; " ") - 1) &amp; "*") &gt; 0,INDEX(A:A,FuzzyVLookup(D592,A:A,0,,,1)),"Non-PDL")</f>
        <v>ritonavir</v>
      </c>
      <c r="F592" t="str">
        <f t="shared" si="18"/>
        <v>Preferred</v>
      </c>
      <c r="G592" s="1" cm="1">
        <f t="array" ref="G592">FuzzyPercent(D592,E592,1)</f>
        <v>0.46666666865348816</v>
      </c>
      <c r="H592" t="str">
        <f t="shared" si="19"/>
        <v/>
      </c>
    </row>
    <row r="593" spans="1:8" x14ac:dyDescent="0.2">
      <c r="A593" t="s">
        <v>1171</v>
      </c>
      <c r="B593" t="s">
        <v>0</v>
      </c>
      <c r="D593" t="s">
        <v>2707</v>
      </c>
      <c r="E593" t="str" cm="1">
        <f t="array" ref="E593">IF(COUNTIF(A:A, "*" &amp; LEFT(D593, FIND(" ", D593 &amp; " ") - 1) &amp; "*") &gt; 0,INDEX(A:A,FuzzyVLookup(D593,A:A,0,,,1)),"Non-PDL")</f>
        <v>RISPERDAL (risperidone)</v>
      </c>
      <c r="F593" t="str">
        <f t="shared" si="18"/>
        <v>Non-Preferred</v>
      </c>
      <c r="G593" s="1" cm="1">
        <f t="array" ref="G593">FuzzyPercent(D593,E593,1)</f>
        <v>0.52173912525177002</v>
      </c>
      <c r="H593" t="str">
        <f t="shared" si="19"/>
        <v/>
      </c>
    </row>
    <row r="594" spans="1:8" x14ac:dyDescent="0.2">
      <c r="A594" t="s">
        <v>1173</v>
      </c>
      <c r="B594" t="s">
        <v>0</v>
      </c>
      <c r="D594" t="s">
        <v>2708</v>
      </c>
      <c r="E594" t="str" cm="1">
        <f t="array" ref="E594">IF(COUNTIF(A:A, "*" &amp; LEFT(D594, FIND(" ", D594 &amp; " ") - 1) &amp; "*") &gt; 0,INDEX(A:A,FuzzyVLookup(D594,A:A,0,,,1)),"Non-PDL")</f>
        <v>RISPERDAL (risperidone)</v>
      </c>
      <c r="F594" t="str">
        <f t="shared" si="18"/>
        <v>Non-Preferred</v>
      </c>
      <c r="G594" s="1" cm="1">
        <f t="array" ref="G594">FuzzyPercent(D594,E594,1)</f>
        <v>0.53846156597137451</v>
      </c>
      <c r="H594" t="str">
        <f t="shared" si="19"/>
        <v/>
      </c>
    </row>
    <row r="595" spans="1:8" x14ac:dyDescent="0.2">
      <c r="A595" t="s">
        <v>1175</v>
      </c>
      <c r="B595" t="s">
        <v>0</v>
      </c>
      <c r="D595" t="s">
        <v>2709</v>
      </c>
      <c r="E595" t="str" cm="1">
        <f t="array" ref="E595">IF(COUNTIF(A:A, "*" &amp; LEFT(D595, FIND(" ", D595 &amp; " ") - 1) &amp; "*") &gt; 0,INDEX(A:A,FuzzyVLookup(D595,A:A,0,,,1)),"Non-PDL")</f>
        <v>RISPERDAL (risperidone)</v>
      </c>
      <c r="F595" t="str">
        <f t="shared" si="18"/>
        <v>Non-Preferred</v>
      </c>
      <c r="G595" s="1" cm="1">
        <f t="array" ref="G595">FuzzyPercent(D595,E595,1)</f>
        <v>0.56410259008407593</v>
      </c>
      <c r="H595" t="str">
        <f t="shared" si="19"/>
        <v/>
      </c>
    </row>
    <row r="596" spans="1:8" x14ac:dyDescent="0.2">
      <c r="A596" t="s">
        <v>1177</v>
      </c>
      <c r="B596" t="s">
        <v>0</v>
      </c>
      <c r="D596" t="s">
        <v>2710</v>
      </c>
      <c r="E596" t="str" cm="1">
        <f t="array" ref="E596">IF(COUNTIF(A:A, "*" &amp; LEFT(D596, FIND(" ", D596 &amp; " ") - 1) &amp; "*") &gt; 0,INDEX(A:A,FuzzyVLookup(D596,A:A,0,,,1)),"Non-PDL")</f>
        <v>risperidone ER</v>
      </c>
      <c r="F596" t="str">
        <f t="shared" si="18"/>
        <v>Non-Preferred</v>
      </c>
      <c r="G596" s="1" cm="1">
        <f t="array" ref="G596">FuzzyPercent(D596,E596,1)</f>
        <v>0.80000001192092896</v>
      </c>
      <c r="H596" t="str">
        <f t="shared" si="19"/>
        <v/>
      </c>
    </row>
    <row r="597" spans="1:8" x14ac:dyDescent="0.2">
      <c r="A597" t="s">
        <v>1179</v>
      </c>
      <c r="B597" t="s">
        <v>0</v>
      </c>
      <c r="D597" t="s">
        <v>2711</v>
      </c>
      <c r="E597" t="str" cm="1">
        <f t="array" ref="E597">IF(COUNTIF(A:A, "*" &amp; LEFT(D597, FIND(" ", D597 &amp; " ") - 1) &amp; "*") &gt; 0,INDEX(A:A,FuzzyVLookup(D597,A:A,0,,,1)),"Non-PDL")</f>
        <v>risperidone ER</v>
      </c>
      <c r="F597" t="str">
        <f t="shared" si="18"/>
        <v>Non-Preferred</v>
      </c>
      <c r="G597" s="1" cm="1">
        <f t="array" ref="G597">FuzzyPercent(D597,E597,1)</f>
        <v>0.51999998092651367</v>
      </c>
      <c r="H597" t="str">
        <f t="shared" si="19"/>
        <v/>
      </c>
    </row>
    <row r="598" spans="1:8" x14ac:dyDescent="0.2">
      <c r="A598" t="s">
        <v>1181</v>
      </c>
      <c r="B598" t="s">
        <v>0</v>
      </c>
      <c r="D598" t="s">
        <v>2712</v>
      </c>
      <c r="E598" t="str" cm="1">
        <f t="array" ref="E598">IF(COUNTIF(A:A, "*" &amp; LEFT(D598, FIND(" ", D598 &amp; " ") - 1) &amp; "*") &gt; 0,INDEX(A:A,FuzzyVLookup(D598,A:A,0,,,1)),"Non-PDL")</f>
        <v>risperidone ER</v>
      </c>
      <c r="F598" t="str">
        <f t="shared" si="18"/>
        <v>Non-Preferred</v>
      </c>
      <c r="G598" s="1" cm="1">
        <f t="array" ref="G598">FuzzyPercent(D598,E598,1)</f>
        <v>0.66666668653488159</v>
      </c>
      <c r="H598" t="str">
        <f t="shared" si="19"/>
        <v/>
      </c>
    </row>
    <row r="599" spans="1:8" x14ac:dyDescent="0.2">
      <c r="A599" t="s">
        <v>1183</v>
      </c>
      <c r="B599" t="s">
        <v>0</v>
      </c>
      <c r="D599" t="s">
        <v>2713</v>
      </c>
      <c r="E599" t="str" cm="1">
        <f t="array" ref="E599">IF(COUNTIF(A:A, "*" &amp; LEFT(D599, FIND(" ", D599 &amp; " ") - 1) &amp; "*") &gt; 0,INDEX(A:A,FuzzyVLookup(D599,A:A,0,,,1)),"Non-PDL")</f>
        <v>Non-PDL</v>
      </c>
      <c r="F599" t="str">
        <f t="shared" si="18"/>
        <v>Non-PDL</v>
      </c>
      <c r="G599" s="1" cm="1">
        <f t="array" ref="G599">FuzzyPercent(D599,E599,1)</f>
        <v>0</v>
      </c>
      <c r="H599" t="str">
        <f t="shared" si="19"/>
        <v/>
      </c>
    </row>
    <row r="600" spans="1:8" x14ac:dyDescent="0.2">
      <c r="A600" t="s">
        <v>1185</v>
      </c>
      <c r="B600" t="s">
        <v>0</v>
      </c>
      <c r="D600" t="s">
        <v>2714</v>
      </c>
      <c r="E600" t="str" cm="1">
        <f t="array" ref="E600">IF(COUNTIF(A:A, "*" &amp; LEFT(D600, FIND(" ", D600 &amp; " ") - 1) &amp; "*") &gt; 0,INDEX(A:A,FuzzyVLookup(D600,A:A,0,,,1)),"Non-PDL")</f>
        <v>Non-PDL</v>
      </c>
      <c r="F600" t="str">
        <f t="shared" si="18"/>
        <v>Non-PDL</v>
      </c>
      <c r="G600" s="1" cm="1">
        <f t="array" ref="G600">FuzzyPercent(D600,E600,1)</f>
        <v>0</v>
      </c>
      <c r="H600" t="str">
        <f t="shared" si="19"/>
        <v/>
      </c>
    </row>
    <row r="601" spans="1:8" x14ac:dyDescent="0.2">
      <c r="A601" t="s">
        <v>1187</v>
      </c>
      <c r="B601" t="s">
        <v>0</v>
      </c>
      <c r="D601" t="s">
        <v>2715</v>
      </c>
      <c r="E601" t="str" cm="1">
        <f t="array" ref="E601">IF(COUNTIF(A:A, "*" &amp; LEFT(D601, FIND(" ", D601 &amp; " ") - 1) &amp; "*") &gt; 0,INDEX(A:A,FuzzyVLookup(D601,A:A,0,,,1)),"Non-PDL")</f>
        <v>rivastigmine</v>
      </c>
      <c r="F601" t="str">
        <f t="shared" si="18"/>
        <v>Preferred</v>
      </c>
      <c r="G601" s="1" cm="1">
        <f t="array" ref="G601">FuzzyPercent(D601,E601,1)</f>
        <v>0.60000002384185791</v>
      </c>
      <c r="H601" t="str">
        <f t="shared" si="19"/>
        <v/>
      </c>
    </row>
    <row r="602" spans="1:8" x14ac:dyDescent="0.2">
      <c r="A602" t="s">
        <v>1189</v>
      </c>
      <c r="B602" t="s">
        <v>0</v>
      </c>
      <c r="D602" t="s">
        <v>2716</v>
      </c>
      <c r="E602" t="str" cm="1">
        <f t="array" ref="E602">IF(COUNTIF(A:A, "*" &amp; LEFT(D602, FIND(" ", D602 &amp; " ") - 1) &amp; "*") &gt; 0,INDEX(A:A,FuzzyVLookup(D602,A:A,0,,,1)),"Non-PDL")</f>
        <v>rivastigmine</v>
      </c>
      <c r="F602" t="str">
        <f t="shared" si="18"/>
        <v>Preferred</v>
      </c>
      <c r="G602" s="1" cm="1">
        <f t="array" ref="G602">FuzzyPercent(D602,E602,1)</f>
        <v>0.66666668653488159</v>
      </c>
      <c r="H602" t="str">
        <f t="shared" si="19"/>
        <v/>
      </c>
    </row>
    <row r="603" spans="1:8" x14ac:dyDescent="0.2">
      <c r="A603" t="s">
        <v>1191</v>
      </c>
      <c r="B603" t="s">
        <v>0</v>
      </c>
      <c r="D603" t="s">
        <v>2717</v>
      </c>
      <c r="E603" t="str" cm="1">
        <f t="array" ref="E603">IF(COUNTIF(A:A, "*" &amp; LEFT(D603, FIND(" ", D603 &amp; " ") - 1) &amp; "*") &gt; 0,INDEX(A:A,FuzzyVLookup(D603,A:A,0,,,1)),"Non-PDL")</f>
        <v>rivastigmine</v>
      </c>
      <c r="F603" t="str">
        <f t="shared" si="18"/>
        <v>Preferred</v>
      </c>
      <c r="G603" s="1" cm="1">
        <f t="array" ref="G603">FuzzyPercent(D603,E603,1)</f>
        <v>0.46153846383094788</v>
      </c>
      <c r="H603" t="str">
        <f t="shared" si="19"/>
        <v/>
      </c>
    </row>
    <row r="604" spans="1:8" x14ac:dyDescent="0.2">
      <c r="A604" t="s">
        <v>1193</v>
      </c>
      <c r="B604" t="s">
        <v>0</v>
      </c>
      <c r="D604" t="s">
        <v>2718</v>
      </c>
      <c r="E604" t="str" cm="1">
        <f t="array" ref="E604">IF(COUNTIF(A:A, "*" &amp; LEFT(D604, FIND(" ", D604 &amp; " ") - 1) &amp; "*") &gt; 0,INDEX(A:A,FuzzyVLookup(D604,A:A,0,,,1)),"Non-PDL")</f>
        <v>Non-PDL</v>
      </c>
      <c r="F604" t="str">
        <f t="shared" si="18"/>
        <v>Non-PDL</v>
      </c>
      <c r="G604" s="1" cm="1">
        <f t="array" ref="G604">FuzzyPercent(D604,E604,1)</f>
        <v>0</v>
      </c>
      <c r="H604" t="str">
        <f t="shared" si="19"/>
        <v/>
      </c>
    </row>
    <row r="605" spans="1:8" x14ac:dyDescent="0.2">
      <c r="A605" t="s">
        <v>1195</v>
      </c>
      <c r="B605" t="s">
        <v>0</v>
      </c>
      <c r="D605" t="s">
        <v>2719</v>
      </c>
      <c r="E605" t="str" cm="1">
        <f t="array" ref="E605">IF(COUNTIF(A:A, "*" &amp; LEFT(D605, FIND(" ", D605 &amp; " ") - 1) &amp; "*") &gt; 0,INDEX(A:A,FuzzyVLookup(D605,A:A,0,,,1)),"Non-PDL")</f>
        <v>ROLVEDON (eflapegrastim-xnst)</v>
      </c>
      <c r="F605" t="str">
        <f t="shared" si="18"/>
        <v>Non-Preferred</v>
      </c>
      <c r="G605" s="1" cm="1">
        <f t="array" ref="G605">FuzzyPercent(D605,E605,1)</f>
        <v>0.43636363744735718</v>
      </c>
      <c r="H605" t="str">
        <f t="shared" si="19"/>
        <v/>
      </c>
    </row>
    <row r="606" spans="1:8" x14ac:dyDescent="0.2">
      <c r="A606" t="s">
        <v>1197</v>
      </c>
      <c r="B606" t="s">
        <v>0</v>
      </c>
      <c r="D606" t="s">
        <v>2720</v>
      </c>
      <c r="E606" t="str" cm="1">
        <f t="array" ref="E606">IF(COUNTIF(A:A, "*" &amp; LEFT(D606, FIND(" ", D606 &amp; " ") - 1) &amp; "*") &gt; 0,INDEX(A:A,FuzzyVLookup(D606,A:A,0,,,1)),"Non-PDL")</f>
        <v>ROZLYTREK (entrectinib)</v>
      </c>
      <c r="F606" t="str">
        <f t="shared" si="18"/>
        <v>Preferred</v>
      </c>
      <c r="G606" s="1" cm="1">
        <f t="array" ref="G606">FuzzyPercent(D606,E606,1)</f>
        <v>0.74193549156188965</v>
      </c>
      <c r="H606" t="str">
        <f t="shared" si="19"/>
        <v/>
      </c>
    </row>
    <row r="607" spans="1:8" x14ac:dyDescent="0.2">
      <c r="A607" t="s">
        <v>1199</v>
      </c>
      <c r="B607" t="s">
        <v>0</v>
      </c>
      <c r="D607" t="s">
        <v>2721</v>
      </c>
      <c r="E607" t="str" cm="1">
        <f t="array" ref="E607">IF(COUNTIF(A:A, "*" &amp; LEFT(D607, FIND(" ", D607 &amp; " ") - 1) &amp; "*") &gt; 0,INDEX(A:A,FuzzyVLookup(D607,A:A,0,,,1)),"Non-PDL")</f>
        <v>ROZLYTREK (entrectinib)</v>
      </c>
      <c r="F607" t="str">
        <f t="shared" si="18"/>
        <v>Preferred</v>
      </c>
      <c r="G607" s="1" cm="1">
        <f t="array" ref="G607">FuzzyPercent(D607,E607,1)</f>
        <v>0.62162160873413086</v>
      </c>
      <c r="H607" t="str">
        <f t="shared" si="19"/>
        <v/>
      </c>
    </row>
    <row r="608" spans="1:8" x14ac:dyDescent="0.2">
      <c r="A608" t="s">
        <v>1201</v>
      </c>
      <c r="B608" t="s">
        <v>0</v>
      </c>
      <c r="D608" t="s">
        <v>2722</v>
      </c>
      <c r="E608" t="str" cm="1">
        <f t="array" ref="E608">IF(COUNTIF(A:A, "*" &amp; LEFT(D608, FIND(" ", D608 &amp; " ") - 1) &amp; "*") &gt; 0,INDEX(A:A,FuzzyVLookup(D608,A:A,0,,,1)),"Non-PDL")</f>
        <v>RUBRACA (rucaparib)</v>
      </c>
      <c r="F608" t="str">
        <f t="shared" si="18"/>
        <v>Non-Preferred</v>
      </c>
      <c r="G608" s="1" cm="1">
        <f t="array" ref="G608">FuzzyPercent(D608,E608,1)</f>
        <v>0.53846156597137451</v>
      </c>
      <c r="H608" t="str">
        <f t="shared" si="19"/>
        <v/>
      </c>
    </row>
    <row r="609" spans="1:8" x14ac:dyDescent="0.2">
      <c r="A609" t="s">
        <v>1203</v>
      </c>
      <c r="B609" t="s">
        <v>0</v>
      </c>
      <c r="D609" t="s">
        <v>2723</v>
      </c>
      <c r="E609" t="str" cm="1">
        <f t="array" ref="E609">IF(COUNTIF(A:A, "*" &amp; LEFT(D609, FIND(" ", D609 &amp; " ") - 1) &amp; "*") &gt; 0,INDEX(A:A,FuzzyVLookup(D609,A:A,0,,,1)),"Non-PDL")</f>
        <v>RECOMBINATE</v>
      </c>
      <c r="F609" t="str">
        <f t="shared" si="18"/>
        <v>Preferred</v>
      </c>
      <c r="G609" s="1" cm="1">
        <f t="array" ref="G609">FuzzyPercent(D609,E609,1)</f>
        <v>0.42105263471603394</v>
      </c>
      <c r="H609" t="str">
        <f t="shared" si="19"/>
        <v/>
      </c>
    </row>
    <row r="610" spans="1:8" x14ac:dyDescent="0.2">
      <c r="A610" t="s">
        <v>1205</v>
      </c>
      <c r="B610" t="s">
        <v>0</v>
      </c>
      <c r="D610" t="s">
        <v>2724</v>
      </c>
      <c r="E610" t="str" cm="1">
        <f t="array" ref="E610">IF(COUNTIF(A:A, "*" &amp; LEFT(D610, FIND(" ", D610 &amp; " ") - 1) &amp; "*") &gt; 0,INDEX(A:A,FuzzyVLookup(D610,A:A,0,,,1)),"Non-PDL")</f>
        <v>Non-PDL</v>
      </c>
      <c r="F610" t="str">
        <f t="shared" si="18"/>
        <v>Non-PDL</v>
      </c>
      <c r="G610" s="1" cm="1">
        <f t="array" ref="G610">FuzzyPercent(D610,E610,1)</f>
        <v>0</v>
      </c>
      <c r="H610" t="str">
        <f t="shared" si="19"/>
        <v/>
      </c>
    </row>
    <row r="611" spans="1:8" x14ac:dyDescent="0.2">
      <c r="A611" t="s">
        <v>1207</v>
      </c>
      <c r="B611" t="s">
        <v>0</v>
      </c>
      <c r="D611" t="s">
        <v>2725</v>
      </c>
      <c r="E611" t="str" cm="1">
        <f t="array" ref="E611">IF(COUNTIF(A:A, "*" &amp; LEFT(D611, FIND(" ", D611 &amp; " ") - 1) &amp; "*") &gt; 0,INDEX(A:A,FuzzyVLookup(D611,A:A,0,,,1)),"Non-PDL")</f>
        <v>RYBELSUS (semaglutide)</v>
      </c>
      <c r="F611" t="str">
        <f t="shared" si="18"/>
        <v>Non-Preferred</v>
      </c>
      <c r="G611" s="1" cm="1">
        <f t="array" ref="G611">FuzzyPercent(D611,E611,1)</f>
        <v>0.53333336114883423</v>
      </c>
      <c r="H611" t="str">
        <f t="shared" si="19"/>
        <v/>
      </c>
    </row>
    <row r="612" spans="1:8" x14ac:dyDescent="0.2">
      <c r="A612" t="s">
        <v>170</v>
      </c>
      <c r="B612" t="s">
        <v>0</v>
      </c>
      <c r="D612" t="s">
        <v>2726</v>
      </c>
      <c r="E612" t="str" cm="1">
        <f t="array" ref="E612">IF(COUNTIF(A:A, "*" &amp; LEFT(D612, FIND(" ", D612 &amp; " ") - 1) &amp; "*") &gt; 0,INDEX(A:A,FuzzyVLookup(D612,A:A,0,,,1)),"Non-PDL")</f>
        <v>RYDAPT (midostaurin)</v>
      </c>
      <c r="F612" t="str">
        <f t="shared" si="18"/>
        <v>Non-Preferred</v>
      </c>
      <c r="G612" s="1" cm="1">
        <f t="array" ref="G612">FuzzyPercent(D612,E612,1)</f>
        <v>0.46153846383094788</v>
      </c>
      <c r="H612" t="str">
        <f t="shared" si="19"/>
        <v/>
      </c>
    </row>
    <row r="613" spans="1:8" x14ac:dyDescent="0.2">
      <c r="A613" t="s">
        <v>1210</v>
      </c>
      <c r="B613" t="s">
        <v>0</v>
      </c>
      <c r="D613" t="s">
        <v>2727</v>
      </c>
      <c r="E613" t="str" cm="1">
        <f t="array" ref="E613">IF(COUNTIF(A:A, "*" &amp; LEFT(D613, FIND(" ", D613 &amp; " ") - 1) &amp; "*") &gt; 0,INDEX(A:A,FuzzyVLookup(D613,A:A,0,,,1)),"Non-PDL")</f>
        <v>RYKINDO (risperidone)</v>
      </c>
      <c r="F613" t="str">
        <f t="shared" si="18"/>
        <v>Non-Preferred</v>
      </c>
      <c r="G613" s="1" cm="1">
        <f t="array" ref="G613">FuzzyPercent(D613,E613,1)</f>
        <v>0.5</v>
      </c>
      <c r="H613" t="str">
        <f t="shared" si="19"/>
        <v/>
      </c>
    </row>
    <row r="614" spans="1:8" x14ac:dyDescent="0.2">
      <c r="A614" t="s">
        <v>1212</v>
      </c>
      <c r="B614" t="s">
        <v>0</v>
      </c>
      <c r="D614" t="s">
        <v>2728</v>
      </c>
      <c r="E614" t="str" cm="1">
        <f t="array" ref="E614">IF(COUNTIF(A:A, "*" &amp; LEFT(D614, FIND(" ", D614 &amp; " ") - 1) &amp; "*") &gt; 0,INDEX(A:A,FuzzyVLookup(D614,A:A,0,,,1)),"Non-PDL")</f>
        <v>Non-PDL</v>
      </c>
      <c r="F614" t="str">
        <f t="shared" si="18"/>
        <v>Non-PDL</v>
      </c>
      <c r="G614" s="1" cm="1">
        <f t="array" ref="G614">FuzzyPercent(D614,E614,1)</f>
        <v>0</v>
      </c>
      <c r="H614" t="str">
        <f t="shared" si="19"/>
        <v/>
      </c>
    </row>
    <row r="615" spans="1:8" x14ac:dyDescent="0.2">
      <c r="A615" t="s">
        <v>1214</v>
      </c>
      <c r="B615" t="s">
        <v>0</v>
      </c>
      <c r="D615" t="s">
        <v>2729</v>
      </c>
      <c r="E615" t="str" cm="1">
        <f t="array" ref="E615">IF(COUNTIF(A:A, "*" &amp; LEFT(D615, FIND(" ", D615 &amp; " ") - 1) &amp; "*") &gt; 0,INDEX(A:A,FuzzyVLookup(D615,A:A,0,,,1)),"Non-PDL")</f>
        <v>Non-PDL</v>
      </c>
      <c r="F615" t="str">
        <f t="shared" si="18"/>
        <v>Non-PDL</v>
      </c>
      <c r="G615" s="1" cm="1">
        <f t="array" ref="G615">FuzzyPercent(D615,E615,1)</f>
        <v>0</v>
      </c>
      <c r="H615" t="str">
        <f t="shared" si="19"/>
        <v/>
      </c>
    </row>
    <row r="616" spans="1:8" x14ac:dyDescent="0.2">
      <c r="A616" t="s">
        <v>1216</v>
      </c>
      <c r="B616" t="s">
        <v>0</v>
      </c>
      <c r="D616" t="s">
        <v>2730</v>
      </c>
      <c r="E616" t="str" cm="1">
        <f t="array" ref="E616">IF(COUNTIF(A:A, "*" &amp; LEFT(D616, FIND(" ", D616 &amp; " ") - 1) &amp; "*") &gt; 0,INDEX(A:A,FuzzyVLookup(D616,A:A,0,,,1)),"Non-PDL")</f>
        <v>Non-PDL</v>
      </c>
      <c r="F616" t="str">
        <f t="shared" si="18"/>
        <v>Non-PDL</v>
      </c>
      <c r="G616" s="1" cm="1">
        <f t="array" ref="G616">FuzzyPercent(D616,E616,1)</f>
        <v>0</v>
      </c>
      <c r="H616" t="str">
        <f t="shared" si="19"/>
        <v/>
      </c>
    </row>
    <row r="617" spans="1:8" x14ac:dyDescent="0.2">
      <c r="A617" t="s">
        <v>1218</v>
      </c>
      <c r="B617" t="s">
        <v>0</v>
      </c>
      <c r="D617" t="s">
        <v>2731</v>
      </c>
      <c r="E617" t="str" cm="1">
        <f t="array" ref="E617">IF(COUNTIF(A:A, "*" &amp; LEFT(D617, FIND(" ", D617 &amp; " ") - 1) &amp; "*") &gt; 0,INDEX(A:A,FuzzyVLookup(D617,A:A,0,,,1)),"Non-PDL")</f>
        <v>sertraline tablet, solution</v>
      </c>
      <c r="F617" t="str">
        <f t="shared" si="18"/>
        <v>Preferred</v>
      </c>
      <c r="G617" s="1" cm="1">
        <f t="array" ref="G617">FuzzyPercent(D617,E617,1)</f>
        <v>0.32258063554763794</v>
      </c>
      <c r="H617" t="str">
        <f t="shared" si="19"/>
        <v>CHECK</v>
      </c>
    </row>
    <row r="618" spans="1:8" x14ac:dyDescent="0.2">
      <c r="A618" t="s">
        <v>1220</v>
      </c>
      <c r="B618" t="s">
        <v>0</v>
      </c>
      <c r="D618" t="s">
        <v>2732</v>
      </c>
      <c r="E618" t="str" cm="1">
        <f t="array" ref="E618">IF(COUNTIF(A:A, "*" &amp; LEFT(D618, FIND(" ", D618 &amp; " ") - 1) &amp; "*") &gt; 0,INDEX(A:A,FuzzyVLookup(D618,A:A,0,,,1)),"Non-PDL")</f>
        <v>SABRIL (vigabatrin)</v>
      </c>
      <c r="F618" t="str">
        <f t="shared" si="18"/>
        <v>Non-Preferred</v>
      </c>
      <c r="G618" s="1" cm="1">
        <f t="array" ref="G618">FuzzyPercent(D618,E618,1)</f>
        <v>0.5</v>
      </c>
      <c r="H618" t="str">
        <f t="shared" si="19"/>
        <v/>
      </c>
    </row>
    <row r="619" spans="1:8" x14ac:dyDescent="0.2">
      <c r="A619" t="s">
        <v>1222</v>
      </c>
      <c r="B619" t="s">
        <v>0</v>
      </c>
      <c r="D619" t="s">
        <v>2733</v>
      </c>
      <c r="E619" t="str" cm="1">
        <f t="array" ref="E619">IF(COUNTIF(A:A, "*" &amp; LEFT(D619, FIND(" ", D619 &amp; " ") - 1) &amp; "*") &gt; 0,INDEX(A:A,FuzzyVLookup(D619,A:A,0,,,1)),"Non-PDL")</f>
        <v>Non-PDL</v>
      </c>
      <c r="F619" t="str">
        <f t="shared" si="18"/>
        <v>Non-PDL</v>
      </c>
      <c r="G619" s="1" cm="1">
        <f t="array" ref="G619">FuzzyPercent(D619,E619,1)</f>
        <v>7.6923079788684845E-2</v>
      </c>
      <c r="H619" t="str">
        <f t="shared" si="19"/>
        <v/>
      </c>
    </row>
    <row r="620" spans="1:8" x14ac:dyDescent="0.2">
      <c r="A620" t="s">
        <v>1224</v>
      </c>
      <c r="B620" t="s">
        <v>0</v>
      </c>
      <c r="D620" t="s">
        <v>2734</v>
      </c>
      <c r="E620" t="str" cm="1">
        <f t="array" ref="E620">IF(COUNTIF(A:A, "*" &amp; LEFT(D620, FIND(" ", D620 &amp; " ") - 1) &amp; "*") &gt; 0,INDEX(A:A,FuzzyVLookup(D620,A:A,0,,,1)),"Non-PDL")</f>
        <v>Non-PDL</v>
      </c>
      <c r="F620" t="str">
        <f t="shared" si="18"/>
        <v>Non-PDL</v>
      </c>
      <c r="G620" s="1" cm="1">
        <f t="array" ref="G620">FuzzyPercent(D620,E620,1)</f>
        <v>0.125</v>
      </c>
      <c r="H620" t="str">
        <f t="shared" si="19"/>
        <v/>
      </c>
    </row>
    <row r="621" spans="1:8" x14ac:dyDescent="0.2">
      <c r="A621" t="s">
        <v>1226</v>
      </c>
      <c r="B621" t="s">
        <v>0</v>
      </c>
      <c r="D621" t="s">
        <v>2735</v>
      </c>
      <c r="E621" t="str" cm="1">
        <f t="array" ref="E621">IF(COUNTIF(A:A, "*" &amp; LEFT(D621, FIND(" ", D621 &amp; " ") - 1) &amp; "*") &gt; 0,INDEX(A:A,FuzzyVLookup(D621,A:A,0,,,1)),"Non-PDL")</f>
        <v>SAPHRIS (asenapine)</v>
      </c>
      <c r="F621" t="str">
        <f t="shared" si="18"/>
        <v>Non-Preferred</v>
      </c>
      <c r="G621" s="1" cm="1">
        <f t="array" ref="G621">FuzzyPercent(D621,E621,1)</f>
        <v>0.53846156597137451</v>
      </c>
      <c r="H621" t="str">
        <f t="shared" si="19"/>
        <v/>
      </c>
    </row>
    <row r="622" spans="1:8" x14ac:dyDescent="0.2">
      <c r="A622" t="s">
        <v>1228</v>
      </c>
      <c r="B622" t="s">
        <v>0</v>
      </c>
      <c r="D622" t="s">
        <v>2736</v>
      </c>
      <c r="E622" t="str" cm="1">
        <f t="array" ref="E622">IF(COUNTIF(A:A, "*" &amp; LEFT(D622, FIND(" ", D622 &amp; " ") - 1) &amp; "*") &gt; 0,INDEX(A:A,FuzzyVLookup(D622,A:A,0,,,1)),"Non-PDL")</f>
        <v>Non-PDL</v>
      </c>
      <c r="F622" t="str">
        <f t="shared" si="18"/>
        <v>Non-PDL</v>
      </c>
      <c r="G622" s="1" cm="1">
        <f t="array" ref="G622">FuzzyPercent(D622,E622,1)</f>
        <v>0.125</v>
      </c>
      <c r="H622" t="str">
        <f t="shared" si="19"/>
        <v/>
      </c>
    </row>
    <row r="623" spans="1:8" x14ac:dyDescent="0.2">
      <c r="A623" t="s">
        <v>1230</v>
      </c>
      <c r="B623" t="s">
        <v>0</v>
      </c>
      <c r="D623" t="s">
        <v>2737</v>
      </c>
      <c r="E623" t="str" cm="1">
        <f t="array" ref="E623">IF(COUNTIF(A:A, "*" &amp; LEFT(D623, FIND(" ", D623 &amp; " ") - 1) &amp; "*") &gt; 0,INDEX(A:A,FuzzyVLookup(D623,A:A,0,,,1)),"Non-PDL")</f>
        <v>Non-PDL</v>
      </c>
      <c r="F623" t="str">
        <f t="shared" si="18"/>
        <v>Non-PDL</v>
      </c>
      <c r="G623" s="1" cm="1">
        <f t="array" ref="G623">FuzzyPercent(D623,E623,1)</f>
        <v>0.1428571492433548</v>
      </c>
      <c r="H623" t="str">
        <f t="shared" si="19"/>
        <v/>
      </c>
    </row>
    <row r="624" spans="1:8" x14ac:dyDescent="0.2">
      <c r="A624" t="s">
        <v>1232</v>
      </c>
      <c r="B624" t="s">
        <v>0</v>
      </c>
      <c r="D624" t="s">
        <v>2738</v>
      </c>
      <c r="E624" t="str" cm="1">
        <f t="array" ref="E624">IF(COUNTIF(A:A, "*" &amp; LEFT(D624, FIND(" ", D624 &amp; " ") - 1) &amp; "*") &gt; 0,INDEX(A:A,FuzzyVLookup(D624,A:A,0,,,1)),"Non-PDL")</f>
        <v>SECUADO (asenapine)</v>
      </c>
      <c r="F624" t="str">
        <f t="shared" si="18"/>
        <v>Non-Preferred</v>
      </c>
      <c r="G624" s="1" cm="1">
        <f t="array" ref="G624">FuzzyPercent(D624,E624,1)</f>
        <v>0.53846156597137451</v>
      </c>
      <c r="H624" t="str">
        <f t="shared" si="19"/>
        <v/>
      </c>
    </row>
    <row r="625" spans="1:8" x14ac:dyDescent="0.2">
      <c r="A625" t="s">
        <v>1234</v>
      </c>
      <c r="B625" t="s">
        <v>0</v>
      </c>
      <c r="D625" t="s">
        <v>2739</v>
      </c>
      <c r="E625" t="str" cm="1">
        <f t="array" ref="E625">IF(COUNTIF(A:A, "*" &amp; LEFT(D625, FIND(" ", D625 &amp; " ") - 1) &amp; "*") &gt; 0,INDEX(A:A,FuzzyVLookup(D625,A:A,0,,,1)),"Non-PDL")</f>
        <v>SEGLUROMET (ertugliflozin/metformin)</v>
      </c>
      <c r="F625" t="str">
        <f t="shared" si="18"/>
        <v>Non-Preferred</v>
      </c>
      <c r="G625" s="1" cm="1">
        <f t="array" ref="G625">FuzzyPercent(D625,E625,1)</f>
        <v>0.43478259444236755</v>
      </c>
      <c r="H625" t="str">
        <f t="shared" si="19"/>
        <v/>
      </c>
    </row>
    <row r="626" spans="1:8" x14ac:dyDescent="0.2">
      <c r="A626" t="s">
        <v>1236</v>
      </c>
      <c r="B626" t="s">
        <v>0</v>
      </c>
      <c r="D626" t="s">
        <v>2740</v>
      </c>
      <c r="E626" t="str" cm="1">
        <f t="array" ref="E626">IF(COUNTIF(A:A, "*" &amp; LEFT(D626, FIND(" ", D626 &amp; " ") - 1) &amp; "*") &gt; 0,INDEX(A:A,FuzzyVLookup(D626,A:A,0,,,1)),"Non-PDL")</f>
        <v>Non-PDL</v>
      </c>
      <c r="F626" t="str">
        <f t="shared" si="18"/>
        <v>Non-PDL</v>
      </c>
      <c r="G626" s="1" cm="1">
        <f t="array" ref="G626">FuzzyPercent(D626,E626,1)</f>
        <v>0</v>
      </c>
      <c r="H626" t="str">
        <f t="shared" si="19"/>
        <v/>
      </c>
    </row>
    <row r="627" spans="1:8" x14ac:dyDescent="0.2">
      <c r="A627" t="s">
        <v>1238</v>
      </c>
      <c r="B627" t="s">
        <v>0</v>
      </c>
      <c r="D627" t="s">
        <v>2741</v>
      </c>
      <c r="E627" t="str" cm="1">
        <f t="array" ref="E627">IF(COUNTIF(A:A, "*" &amp; LEFT(D627, FIND(" ", D627 &amp; " ") - 1) &amp; "*") &gt; 0,INDEX(A:A,FuzzyVLookup(D627,A:A,0,,,1)),"Non-PDL")</f>
        <v>Non-PDL</v>
      </c>
      <c r="F627" t="str">
        <f t="shared" si="18"/>
        <v>Non-PDL</v>
      </c>
      <c r="G627" s="1" cm="1">
        <f t="array" ref="G627">FuzzyPercent(D627,E627,1)</f>
        <v>0</v>
      </c>
      <c r="H627" t="str">
        <f t="shared" si="19"/>
        <v/>
      </c>
    </row>
    <row r="628" spans="1:8" x14ac:dyDescent="0.2">
      <c r="A628" t="s">
        <v>1240</v>
      </c>
      <c r="B628" t="s">
        <v>0</v>
      </c>
      <c r="D628" t="s">
        <v>2742</v>
      </c>
      <c r="E628" t="str" cm="1">
        <f t="array" ref="E628">IF(COUNTIF(A:A, "*" &amp; LEFT(D628, FIND(" ", D628 &amp; " ") - 1) &amp; "*") &gt; 0,INDEX(A:A,FuzzyVLookup(D628,A:A,0,,,1)),"Non-PDL")</f>
        <v>COMPLETENATE</v>
      </c>
      <c r="F628" t="str">
        <f t="shared" si="18"/>
        <v>Preferred</v>
      </c>
      <c r="G628" s="1" cm="1">
        <f t="array" ref="G628">FuzzyPercent(D628,E628,1)</f>
        <v>0.3684210479259491</v>
      </c>
      <c r="H628" t="str">
        <f t="shared" si="19"/>
        <v>CHECK</v>
      </c>
    </row>
    <row r="629" spans="1:8" x14ac:dyDescent="0.2">
      <c r="A629" t="s">
        <v>1187</v>
      </c>
      <c r="B629" t="s">
        <v>0</v>
      </c>
      <c r="D629" t="s">
        <v>2743</v>
      </c>
      <c r="E629" t="str" cm="1">
        <f t="array" ref="E629">IF(COUNTIF(A:A, "*" &amp; LEFT(D629, FIND(" ", D629 &amp; " ") - 1) &amp; "*") &gt; 0,INDEX(A:A,FuzzyVLookup(D629,A:A,0,,,1)),"Non-PDL")</f>
        <v>SEROQUEL (quetiapine)</v>
      </c>
      <c r="F629" t="str">
        <f t="shared" si="18"/>
        <v>Non-Preferred</v>
      </c>
      <c r="G629" s="1" cm="1">
        <f t="array" ref="G629">FuzzyPercent(D629,E629,1)</f>
        <v>0.5517241358757019</v>
      </c>
      <c r="H629" t="str">
        <f t="shared" si="19"/>
        <v/>
      </c>
    </row>
    <row r="630" spans="1:8" x14ac:dyDescent="0.2">
      <c r="A630" t="s">
        <v>1243</v>
      </c>
      <c r="B630" t="s">
        <v>0</v>
      </c>
      <c r="D630" t="s">
        <v>2744</v>
      </c>
      <c r="E630" t="str" cm="1">
        <f t="array" ref="E630">IF(COUNTIF(A:A, "*" &amp; LEFT(D630, FIND(" ", D630 &amp; " ") - 1) &amp; "*") &gt; 0,INDEX(A:A,FuzzyVLookup(D630,A:A,0,,,1)),"Non-PDL")</f>
        <v>SEROQUEL XR (quetiapine)</v>
      </c>
      <c r="F630" t="str">
        <f t="shared" si="18"/>
        <v>Non-Preferred</v>
      </c>
      <c r="G630" s="1" cm="1">
        <f t="array" ref="G630">FuzzyPercent(D630,E630,1)</f>
        <v>0.62857145071029663</v>
      </c>
      <c r="H630" t="str">
        <f t="shared" si="19"/>
        <v/>
      </c>
    </row>
    <row r="631" spans="1:8" x14ac:dyDescent="0.2">
      <c r="A631" t="s">
        <v>1195</v>
      </c>
      <c r="B631" t="s">
        <v>0</v>
      </c>
      <c r="D631" t="s">
        <v>2745</v>
      </c>
      <c r="E631" t="str" cm="1">
        <f t="array" ref="E631">IF(COUNTIF(A:A, "*" &amp; LEFT(D631, FIND(" ", D631 &amp; " ") - 1) &amp; "*") &gt; 0,INDEX(A:A,FuzzyVLookup(D631,A:A,0,,,1)),"Non-PDL")</f>
        <v>sevelamer carbonate tablet</v>
      </c>
      <c r="F631" t="str">
        <f t="shared" si="18"/>
        <v>Preferred</v>
      </c>
      <c r="G631" s="1" cm="1">
        <f t="array" ref="G631">FuzzyPercent(D631,E631,1)</f>
        <v>0.96296298503875732</v>
      </c>
      <c r="H631" t="str">
        <f t="shared" si="19"/>
        <v/>
      </c>
    </row>
    <row r="632" spans="1:8" x14ac:dyDescent="0.2">
      <c r="A632" t="s">
        <v>1246</v>
      </c>
      <c r="B632" t="s">
        <v>0</v>
      </c>
      <c r="D632" t="s">
        <v>2746</v>
      </c>
      <c r="E632" t="str" cm="1">
        <f t="array" ref="E632">IF(COUNTIF(A:A, "*" &amp; LEFT(D632, FIND(" ", D632 &amp; " ") - 1) &amp; "*") &gt; 0,INDEX(A:A,FuzzyVLookup(D632,A:A,0,,,1)),"Non-PDL")</f>
        <v>telmisartan/hydrochlorothiazide</v>
      </c>
      <c r="F632" t="str">
        <f t="shared" si="18"/>
        <v>Preferred</v>
      </c>
      <c r="G632" s="1" cm="1">
        <f t="array" ref="G632">FuzzyPercent(D632,E632,1)</f>
        <v>0.48387095332145691</v>
      </c>
      <c r="H632" t="str">
        <f t="shared" si="19"/>
        <v/>
      </c>
    </row>
    <row r="633" spans="1:8" x14ac:dyDescent="0.2">
      <c r="A633" t="s">
        <v>1248</v>
      </c>
      <c r="B633" t="s">
        <v>0</v>
      </c>
      <c r="D633" t="s">
        <v>2747</v>
      </c>
      <c r="E633" t="str" cm="1">
        <f t="array" ref="E633">IF(COUNTIF(A:A, "*" &amp; LEFT(D633, FIND(" ", D633 &amp; " ") - 1) &amp; "*") &gt; 0,INDEX(A:A,FuzzyVLookup(D633,A:A,0,,,1)),"Non-PDL")</f>
        <v>SEVENFACT (factor VII)</v>
      </c>
      <c r="F633" t="str">
        <f t="shared" si="18"/>
        <v>Non-Preferred</v>
      </c>
      <c r="G633" s="1" cm="1">
        <f t="array" ref="G633">FuzzyPercent(D633,E633,1)</f>
        <v>0.58064514398574829</v>
      </c>
      <c r="H633" t="str">
        <f t="shared" si="19"/>
        <v/>
      </c>
    </row>
    <row r="634" spans="1:8" x14ac:dyDescent="0.2">
      <c r="A634" t="s">
        <v>1250</v>
      </c>
      <c r="B634" t="s">
        <v>0</v>
      </c>
      <c r="D634" t="s">
        <v>2748</v>
      </c>
      <c r="E634" t="str" cm="1">
        <f t="array" ref="E634">IF(COUNTIF(A:A, "*" &amp; LEFT(D634, FIND(" ", D634 &amp; " ") - 1) &amp; "*") &gt; 0,INDEX(A:A,FuzzyVLookup(D634,A:A,0,,,1)),"Non-PDL")</f>
        <v>GILENYA (fingolimod)</v>
      </c>
      <c r="F634" t="str">
        <f t="shared" si="18"/>
        <v>Non-Preferred</v>
      </c>
      <c r="G634" s="1" cm="1">
        <f t="array" ref="G634">FuzzyPercent(D634,E634,1)</f>
        <v>0.3333333432674408</v>
      </c>
      <c r="H634" t="str">
        <f t="shared" si="19"/>
        <v>CHECK</v>
      </c>
    </row>
    <row r="635" spans="1:8" x14ac:dyDescent="0.2">
      <c r="A635" t="s">
        <v>1252</v>
      </c>
      <c r="B635" t="s">
        <v>0</v>
      </c>
      <c r="D635" t="s">
        <v>2749</v>
      </c>
      <c r="E635" t="str" cm="1">
        <f t="array" ref="E635">IF(COUNTIF(A:A, "*" &amp; LEFT(D635, FIND(" ", D635 &amp; " ") - 1) &amp; "*") &gt; 0,INDEX(A:A,FuzzyVLookup(D635,A:A,0,,,1)),"Non-PDL")</f>
        <v>sulfacetamide sodium suspension</v>
      </c>
      <c r="F635" t="str">
        <f t="shared" si="18"/>
        <v>Non-Preferred</v>
      </c>
      <c r="G635" s="1" cm="1">
        <f t="array" ref="G635">FuzzyPercent(D635,E635,1)</f>
        <v>0.43859648704528809</v>
      </c>
      <c r="H635" t="str">
        <f t="shared" si="19"/>
        <v/>
      </c>
    </row>
    <row r="636" spans="1:8" x14ac:dyDescent="0.2">
      <c r="A636" t="s">
        <v>1254</v>
      </c>
      <c r="B636" t="s">
        <v>0</v>
      </c>
      <c r="D636" t="s">
        <v>2750</v>
      </c>
      <c r="E636" t="str" cm="1">
        <f t="array" ref="E636">IF(COUNTIF(A:A, "*" &amp; LEFT(D636, FIND(" ", D636 &amp; " ") - 1) &amp; "*") &gt; 0,INDEX(A:A,FuzzyVLookup(D636,A:A,0,,,1)),"Non-PDL")</f>
        <v>SIMLANDI (adalimumab-ryvk)</v>
      </c>
      <c r="F636" t="str">
        <f t="shared" si="18"/>
        <v>Non-Preferred</v>
      </c>
      <c r="G636" s="1" cm="1">
        <f t="array" ref="G636">FuzzyPercent(D636,E636,1)</f>
        <v>0.4375</v>
      </c>
      <c r="H636" t="str">
        <f t="shared" si="19"/>
        <v/>
      </c>
    </row>
    <row r="637" spans="1:8" x14ac:dyDescent="0.2">
      <c r="A637" t="s">
        <v>1256</v>
      </c>
      <c r="B637" t="s">
        <v>0</v>
      </c>
      <c r="D637" t="s">
        <v>2751</v>
      </c>
      <c r="E637" t="str" cm="1">
        <f t="array" ref="E637">IF(COUNTIF(A:A, "*" &amp; LEFT(D637, FIND(" ", D637 &amp; " ") - 1) &amp; "*") &gt; 0,INDEX(A:A,FuzzyVLookup(D637,A:A,0,,,1)),"Non-PDL")</f>
        <v>SIMPONI (golimumab)</v>
      </c>
      <c r="F637" t="str">
        <f t="shared" si="18"/>
        <v>Preferred</v>
      </c>
      <c r="G637" s="1" cm="1">
        <f t="array" ref="G637">FuzzyPercent(D637,E637,1)</f>
        <v>0.53846156597137451</v>
      </c>
      <c r="H637" t="str">
        <f t="shared" si="19"/>
        <v/>
      </c>
    </row>
    <row r="638" spans="1:8" x14ac:dyDescent="0.2">
      <c r="A638" t="s">
        <v>1258</v>
      </c>
      <c r="B638" t="s">
        <v>0</v>
      </c>
      <c r="D638" t="s">
        <v>2752</v>
      </c>
      <c r="E638" t="str" cm="1">
        <f t="array" ref="E638">IF(COUNTIF(A:A, "*" &amp; LEFT(D638, FIND(" ", D638 &amp; " ") - 1) &amp; "*") &gt; 0,INDEX(A:A,FuzzyVLookup(D638,A:A,0,,,1)),"Non-PDL")</f>
        <v>Non-PDL</v>
      </c>
      <c r="F638" t="str">
        <f t="shared" si="18"/>
        <v>Non-PDL</v>
      </c>
      <c r="G638" s="1" cm="1">
        <f t="array" ref="G638">FuzzyPercent(D638,E638,1)</f>
        <v>0.125</v>
      </c>
      <c r="H638" t="str">
        <f t="shared" si="19"/>
        <v/>
      </c>
    </row>
    <row r="639" spans="1:8" x14ac:dyDescent="0.2">
      <c r="A639" t="s">
        <v>1260</v>
      </c>
      <c r="B639" t="s">
        <v>0</v>
      </c>
      <c r="D639" t="s">
        <v>2753</v>
      </c>
      <c r="E639" t="str" cm="1">
        <f t="array" ref="E639">IF(COUNTIF(A:A, "*" &amp; LEFT(D639, FIND(" ", D639 &amp; " ") - 1) &amp; "*") &gt; 0,INDEX(A:A,FuzzyVLookup(D639,A:A,0,,,1)),"Non-PDL")</f>
        <v>Non-PDL</v>
      </c>
      <c r="F639" t="str">
        <f t="shared" si="18"/>
        <v>Non-PDL</v>
      </c>
      <c r="G639" s="1" cm="1">
        <f t="array" ref="G639">FuzzyPercent(D639,E639,1)</f>
        <v>0.1111111119389534</v>
      </c>
      <c r="H639" t="str">
        <f t="shared" si="19"/>
        <v/>
      </c>
    </row>
    <row r="640" spans="1:8" x14ac:dyDescent="0.2">
      <c r="A640" t="s">
        <v>1262</v>
      </c>
      <c r="B640" t="s">
        <v>0</v>
      </c>
      <c r="D640" t="s">
        <v>2754</v>
      </c>
      <c r="E640" t="str" cm="1">
        <f t="array" ref="E640">IF(COUNTIF(A:A, "*" &amp; LEFT(D640, FIND(" ", D640 &amp; " ") - 1) &amp; "*") &gt; 0,INDEX(A:A,FuzzyVLookup(D640,A:A,0,,,1)),"Non-PDL")</f>
        <v>Non-PDL</v>
      </c>
      <c r="F640" t="str">
        <f t="shared" si="18"/>
        <v>Non-PDL</v>
      </c>
      <c r="G640" s="1" cm="1">
        <f t="array" ref="G640">FuzzyPercent(D640,E640,1)</f>
        <v>8.3333335816860199E-2</v>
      </c>
      <c r="H640" t="str">
        <f t="shared" si="19"/>
        <v/>
      </c>
    </row>
    <row r="641" spans="1:8" x14ac:dyDescent="0.2">
      <c r="A641" t="s">
        <v>1264</v>
      </c>
      <c r="B641" t="s">
        <v>0</v>
      </c>
      <c r="D641" t="s">
        <v>2755</v>
      </c>
      <c r="E641" t="str" cm="1">
        <f t="array" ref="E641">IF(COUNTIF(A:A, "*" &amp; LEFT(D641, FIND(" ", D641 &amp; " ") - 1) &amp; "*") &gt; 0,INDEX(A:A,FuzzyVLookup(D641,A:A,0,,,1)),"Non-PDL")</f>
        <v>SKYRIZI (risankizumab-rzaa)</v>
      </c>
      <c r="F641" t="str">
        <f t="shared" si="18"/>
        <v>Non-Preferred</v>
      </c>
      <c r="G641" s="1" cm="1">
        <f t="array" ref="G641">FuzzyPercent(D641,E641,1)</f>
        <v>0.4117647111415863</v>
      </c>
      <c r="H641" t="str">
        <f t="shared" si="19"/>
        <v/>
      </c>
    </row>
    <row r="642" spans="1:8" x14ac:dyDescent="0.2">
      <c r="A642" t="s">
        <v>1266</v>
      </c>
      <c r="B642" t="s">
        <v>0</v>
      </c>
      <c r="D642" t="s">
        <v>2756</v>
      </c>
      <c r="E642" t="str" cm="1">
        <f t="array" ref="E642">IF(COUNTIF(A:A, "*" &amp; LEFT(D642, FIND(" ", D642 &amp; " ") - 1) &amp; "*") &gt; 0,INDEX(A:A,FuzzyVLookup(D642,A:A,0,,,1)),"Non-PDL")</f>
        <v>SKYTROFA (lonapegsomatropin-tcgd)</v>
      </c>
      <c r="F642" t="str">
        <f t="shared" si="18"/>
        <v>Preferred</v>
      </c>
      <c r="G642" s="1" cm="1">
        <f t="array" ref="G642">FuzzyPercent(D642,E642,1)</f>
        <v>0.39024388790130615</v>
      </c>
      <c r="H642" t="str">
        <f t="shared" si="19"/>
        <v>CHECK</v>
      </c>
    </row>
    <row r="643" spans="1:8" x14ac:dyDescent="0.2">
      <c r="A643" t="s">
        <v>1268</v>
      </c>
      <c r="B643" t="s">
        <v>0</v>
      </c>
      <c r="D643" t="s">
        <v>2757</v>
      </c>
      <c r="E643" t="str" cm="1">
        <f t="array" ref="E643">IF(COUNTIF(A:A, "*" &amp; LEFT(D643, FIND(" ", D643 &amp; " ") - 1) &amp; "*") &gt; 0,INDEX(A:A,FuzzyVLookup(D643,A:A,0,,,1)),"Non-PDL")</f>
        <v>Non-PDL</v>
      </c>
      <c r="F643" t="str">
        <f t="shared" ref="F643:F706" si="20">_xlfn.IFNA(_xlfn.XLOOKUP(E643,A:A,B:B),"Non-PDL")</f>
        <v>Non-PDL</v>
      </c>
      <c r="G643" s="1" cm="1">
        <f t="array" ref="G643">FuzzyPercent(D643,E643,1)</f>
        <v>0.1666666716337204</v>
      </c>
      <c r="H643" t="str">
        <f t="shared" ref="H643:H706" si="21">IF(F643="Non-PDL","",IF(G643&lt;0.4,"CHECK",""))</f>
        <v/>
      </c>
    </row>
    <row r="644" spans="1:8" x14ac:dyDescent="0.2">
      <c r="A644" t="s">
        <v>1270</v>
      </c>
      <c r="B644" t="s">
        <v>0</v>
      </c>
      <c r="D644" t="s">
        <v>2758</v>
      </c>
      <c r="E644" t="str" cm="1">
        <f t="array" ref="E644">IF(COUNTIF(A:A, "*" &amp; LEFT(D644, FIND(" ", D644 &amp; " ") - 1) &amp; "*") &gt; 0,INDEX(A:A,FuzzyVLookup(D644,A:A,0,,,1)),"Non-PDL")</f>
        <v>PROAIR DIGIHALER (albuterol)</v>
      </c>
      <c r="F644" t="str">
        <f t="shared" si="20"/>
        <v>Non-Preferred</v>
      </c>
      <c r="G644" s="1" cm="1">
        <f t="array" ref="G644">FuzzyPercent(D644,E644,1)</f>
        <v>0.3214285671710968</v>
      </c>
      <c r="H644" t="str">
        <f t="shared" si="21"/>
        <v>CHECK</v>
      </c>
    </row>
    <row r="645" spans="1:8" x14ac:dyDescent="0.2">
      <c r="A645" t="s">
        <v>1272</v>
      </c>
      <c r="B645" t="s">
        <v>0</v>
      </c>
      <c r="D645" t="s">
        <v>2759</v>
      </c>
      <c r="E645" t="str" cm="1">
        <f t="array" ref="E645">IF(COUNTIF(A:A, "*" &amp; LEFT(D645, FIND(" ", D645 &amp; " ") - 1) &amp; "*") &gt; 0,INDEX(A:A,FuzzyVLookup(D645,A:A,0,,,1)),"Non-PDL")</f>
        <v>sodium polystyrene sulfonate</v>
      </c>
      <c r="F645" t="str">
        <f t="shared" si="20"/>
        <v>Non-Preferred</v>
      </c>
      <c r="G645" s="1" cm="1">
        <f t="array" ref="G645">FuzzyPercent(D645,E645,1)</f>
        <v>0.3571428656578064</v>
      </c>
      <c r="H645" t="str">
        <f t="shared" si="21"/>
        <v>CHECK</v>
      </c>
    </row>
    <row r="646" spans="1:8" x14ac:dyDescent="0.2">
      <c r="A646" t="s">
        <v>1274</v>
      </c>
      <c r="B646" t="s">
        <v>0</v>
      </c>
      <c r="D646" t="s">
        <v>2760</v>
      </c>
      <c r="E646" t="str" cm="1">
        <f t="array" ref="E646">IF(COUNTIF(A:A, "*" &amp; LEFT(D646, FIND(" ", D646 &amp; " ") - 1) &amp; "*") &gt; 0,INDEX(A:A,FuzzyVLookup(D646,A:A,0,,,1)),"Non-PDL")</f>
        <v>sodium polystyrene sulfonate</v>
      </c>
      <c r="F646" t="str">
        <f t="shared" si="20"/>
        <v>Non-Preferred</v>
      </c>
      <c r="G646" s="1" cm="1">
        <f t="array" ref="G646">FuzzyPercent(D646,E646,1)</f>
        <v>1</v>
      </c>
      <c r="H646" t="str">
        <f t="shared" si="21"/>
        <v/>
      </c>
    </row>
    <row r="647" spans="1:8" x14ac:dyDescent="0.2">
      <c r="A647" t="s">
        <v>1276</v>
      </c>
      <c r="B647" t="s">
        <v>0</v>
      </c>
      <c r="D647" t="s">
        <v>2761</v>
      </c>
      <c r="E647" t="str" cm="1">
        <f t="array" ref="E647">IF(COUNTIF(A:A, "*" &amp; LEFT(D647, FIND(" ", D647 &amp; " ") - 1) &amp; "*") &gt; 0,INDEX(A:A,FuzzyVLookup(D647,A:A,0,,,1)),"Non-PDL")</f>
        <v>sofosbuvir/velpatasvir</v>
      </c>
      <c r="F647" t="str">
        <f t="shared" si="20"/>
        <v>Preferred</v>
      </c>
      <c r="G647" s="1" cm="1">
        <f t="array" ref="G647">FuzzyPercent(D647,E647,1)</f>
        <v>0.4583333432674408</v>
      </c>
      <c r="H647" t="str">
        <f t="shared" si="21"/>
        <v/>
      </c>
    </row>
    <row r="648" spans="1:8" x14ac:dyDescent="0.2">
      <c r="A648" t="s">
        <v>1278</v>
      </c>
      <c r="B648" t="s">
        <v>0</v>
      </c>
      <c r="D648" t="s">
        <v>2762</v>
      </c>
      <c r="E648" t="str" cm="1">
        <f t="array" ref="E648">IF(COUNTIF(A:A, "*" &amp; LEFT(D648, FIND(" ", D648 &amp; " ") - 1) &amp; "*") &gt; 0,INDEX(A:A,FuzzyVLookup(D648,A:A,0,,,1)),"Non-PDL")</f>
        <v>sotalol</v>
      </c>
      <c r="F648" t="str">
        <f t="shared" si="20"/>
        <v>Preferred</v>
      </c>
      <c r="G648" s="1" cm="1">
        <f t="array" ref="G648">FuzzyPercent(D648,E648,1)</f>
        <v>0.4285714328289032</v>
      </c>
      <c r="H648" t="str">
        <f t="shared" si="21"/>
        <v/>
      </c>
    </row>
    <row r="649" spans="1:8" x14ac:dyDescent="0.2">
      <c r="A649" t="s">
        <v>1280</v>
      </c>
      <c r="B649" t="s">
        <v>0</v>
      </c>
      <c r="D649" t="s">
        <v>2763</v>
      </c>
      <c r="E649" t="str" cm="1">
        <f t="array" ref="E649">IF(COUNTIF(A:A, "*" &amp; LEFT(D649, FIND(" ", D649 &amp; " ") - 1) &amp; "*") &gt; 0,INDEX(A:A,FuzzyVLookup(D649,A:A,0,,,1)),"Non-PDL")</f>
        <v>Non-PDL</v>
      </c>
      <c r="F649" t="str">
        <f t="shared" si="20"/>
        <v>Non-PDL</v>
      </c>
      <c r="G649" s="1" cm="1">
        <f t="array" ref="G649">FuzzyPercent(D649,E649,1)</f>
        <v>0.1428571492433548</v>
      </c>
      <c r="H649" t="str">
        <f t="shared" si="21"/>
        <v/>
      </c>
    </row>
    <row r="650" spans="1:8" x14ac:dyDescent="0.2">
      <c r="A650" t="s">
        <v>1282</v>
      </c>
      <c r="B650" t="s">
        <v>0</v>
      </c>
      <c r="D650" t="s">
        <v>2764</v>
      </c>
      <c r="E650" t="str" cm="1">
        <f t="array" ref="E650">IF(COUNTIF(A:A, "*" &amp; LEFT(D650, FIND(" ", D650 &amp; " ") - 1) &amp; "*") &gt; 0,INDEX(A:A,FuzzyVLookup(D650,A:A,0,,,1)),"Non-PDL")</f>
        <v>sulindac</v>
      </c>
      <c r="F650" t="str">
        <f t="shared" si="20"/>
        <v>Preferred</v>
      </c>
      <c r="G650" s="1" cm="1">
        <f t="array" ref="G650">FuzzyPercent(D650,E650,1)</f>
        <v>0.53333336114883423</v>
      </c>
      <c r="H650" t="str">
        <f t="shared" si="21"/>
        <v/>
      </c>
    </row>
    <row r="651" spans="1:8" x14ac:dyDescent="0.2">
      <c r="A651" t="s">
        <v>1284</v>
      </c>
      <c r="B651" t="s">
        <v>0</v>
      </c>
      <c r="D651" t="s">
        <v>2765</v>
      </c>
      <c r="E651" t="str" cm="1">
        <f t="array" ref="E651">IF(COUNTIF(A:A, "*" &amp; LEFT(D651, FIND(" ", D651 &amp; " ") - 1) &amp; "*") &gt; 0,INDEX(A:A,FuzzyVLookup(D651,A:A,0,,,1)),"Non-PDL")</f>
        <v>Non-PDL</v>
      </c>
      <c r="F651" t="str">
        <f t="shared" si="20"/>
        <v>Non-PDL</v>
      </c>
      <c r="G651" s="1" cm="1">
        <f t="array" ref="G651">FuzzyPercent(D651,E651,1)</f>
        <v>0.1428571492433548</v>
      </c>
      <c r="H651" t="str">
        <f t="shared" si="21"/>
        <v/>
      </c>
    </row>
    <row r="652" spans="1:8" x14ac:dyDescent="0.2">
      <c r="A652" t="s">
        <v>1286</v>
      </c>
      <c r="B652" t="s">
        <v>0</v>
      </c>
      <c r="D652" t="s">
        <v>2766</v>
      </c>
      <c r="E652" t="str" cm="1">
        <f t="array" ref="E652">IF(COUNTIF(A:A, "*" &amp; LEFT(D652, FIND(" ", D652 &amp; " ") - 1) &amp; "*") &gt; 0,INDEX(A:A,FuzzyVLookup(D652,A:A,0,,,1)),"Non-PDL")</f>
        <v>sotalol</v>
      </c>
      <c r="F652" t="str">
        <f t="shared" si="20"/>
        <v>Preferred</v>
      </c>
      <c r="G652" s="1" cm="1">
        <f t="array" ref="G652">FuzzyPercent(D652,E652,1)</f>
        <v>0.57142859697341919</v>
      </c>
      <c r="H652" t="str">
        <f t="shared" si="21"/>
        <v/>
      </c>
    </row>
    <row r="653" spans="1:8" x14ac:dyDescent="0.2">
      <c r="A653" t="s">
        <v>1288</v>
      </c>
      <c r="B653" t="s">
        <v>0</v>
      </c>
      <c r="D653" t="s">
        <v>2767</v>
      </c>
      <c r="E653" t="str" cm="1">
        <f t="array" ref="E653">IF(COUNTIF(A:A, "*" &amp; LEFT(D653, FIND(" ", D653 &amp; " ") - 1) &amp; "*") &gt; 0,INDEX(A:A,FuzzyVLookup(D653,A:A,0,,,1)),"Non-PDL")</f>
        <v>sotalol</v>
      </c>
      <c r="F653" t="str">
        <f t="shared" si="20"/>
        <v>Preferred</v>
      </c>
      <c r="G653" s="1" cm="1">
        <f t="array" ref="G653">FuzzyPercent(D653,E653,1)</f>
        <v>0.54545456171035767</v>
      </c>
      <c r="H653" t="str">
        <f t="shared" si="21"/>
        <v/>
      </c>
    </row>
    <row r="654" spans="1:8" x14ac:dyDescent="0.2">
      <c r="A654" t="s">
        <v>1068</v>
      </c>
      <c r="B654" t="s">
        <v>0</v>
      </c>
      <c r="D654" t="s">
        <v>2768</v>
      </c>
      <c r="E654" t="str" cm="1">
        <f t="array" ref="E654">IF(COUNTIF(A:A, "*" &amp; LEFT(D654, FIND(" ", D654 &amp; " ") - 1) &amp; "*") &gt; 0,INDEX(A:A,FuzzyVLookup(D654,A:A,0,,,1)),"Non-PDL")</f>
        <v>sorafenib</v>
      </c>
      <c r="F654" t="str">
        <f t="shared" si="20"/>
        <v>Non-Preferred</v>
      </c>
      <c r="G654" s="1" cm="1">
        <f t="array" ref="G654">FuzzyPercent(D654,E654,1)</f>
        <v>1</v>
      </c>
      <c r="H654" t="str">
        <f t="shared" si="21"/>
        <v/>
      </c>
    </row>
    <row r="655" spans="1:8" x14ac:dyDescent="0.2">
      <c r="A655" t="s">
        <v>1291</v>
      </c>
      <c r="B655" t="s">
        <v>0</v>
      </c>
      <c r="D655" t="s">
        <v>2769</v>
      </c>
      <c r="E655" t="str" cm="1">
        <f t="array" ref="E655">IF(COUNTIF(A:A, "*" &amp; LEFT(D655, FIND(" ", D655 &amp; " ") - 1) &amp; "*") &gt; 0,INDEX(A:A,FuzzyVLookup(D655,A:A,0,,,1)),"Non-PDL")</f>
        <v>SORINE (sotalol)</v>
      </c>
      <c r="F655" t="str">
        <f t="shared" si="20"/>
        <v>Preferred</v>
      </c>
      <c r="G655" s="1" cm="1">
        <f t="array" ref="G655">FuzzyPercent(D655,E655,1)</f>
        <v>0.54545456171035767</v>
      </c>
      <c r="H655" t="str">
        <f t="shared" si="21"/>
        <v/>
      </c>
    </row>
    <row r="656" spans="1:8" x14ac:dyDescent="0.2">
      <c r="A656" t="s">
        <v>1293</v>
      </c>
      <c r="B656" t="s">
        <v>0</v>
      </c>
      <c r="D656" t="s">
        <v>2770</v>
      </c>
      <c r="E656" t="str" cm="1">
        <f t="array" ref="E656">IF(COUNTIF(A:A, "*" &amp; LEFT(D656, FIND(" ", D656 &amp; " ") - 1) &amp; "*") &gt; 0,INDEX(A:A,FuzzyVLookup(D656,A:A,0,,,1)),"Non-PDL")</f>
        <v>SOTYKTU (deucravacitinib)</v>
      </c>
      <c r="F656" t="str">
        <f t="shared" si="20"/>
        <v>Non-Preferred</v>
      </c>
      <c r="G656" s="1" cm="1">
        <f t="array" ref="G656">FuzzyPercent(D656,E656,1)</f>
        <v>0.43589743971824646</v>
      </c>
      <c r="H656" t="str">
        <f t="shared" si="21"/>
        <v/>
      </c>
    </row>
    <row r="657" spans="1:8" x14ac:dyDescent="0.2">
      <c r="A657" t="s">
        <v>1295</v>
      </c>
      <c r="B657" t="s">
        <v>0</v>
      </c>
      <c r="D657" t="s">
        <v>2771</v>
      </c>
      <c r="E657" t="str" cm="1">
        <f t="array" ref="E657">IF(COUNTIF(A:A, "*" &amp; LEFT(D657, FIND(" ", D657 &amp; " ") - 1) &amp; "*") &gt; 0,INDEX(A:A,FuzzyVLookup(D657,A:A,0,,,1)),"Non-PDL")</f>
        <v>sotalol</v>
      </c>
      <c r="F657" t="str">
        <f t="shared" si="20"/>
        <v>Preferred</v>
      </c>
      <c r="G657" s="1" cm="1">
        <f t="array" ref="G657">FuzzyPercent(D657,E657,1)</f>
        <v>0.57142859697341919</v>
      </c>
      <c r="H657" t="str">
        <f t="shared" si="21"/>
        <v/>
      </c>
    </row>
    <row r="658" spans="1:8" x14ac:dyDescent="0.2">
      <c r="A658" t="s">
        <v>1297</v>
      </c>
      <c r="B658" t="s">
        <v>0</v>
      </c>
      <c r="D658" t="s">
        <v>2772</v>
      </c>
      <c r="E658" t="str" cm="1">
        <f t="array" ref="E658">IF(COUNTIF(A:A, "*" &amp; LEFT(D658, FIND(" ", D658 &amp; " ") - 1) &amp; "*") &gt; 0,INDEX(A:A,FuzzyVLookup(D658,A:A,0,,,1)),"Non-PDL")</f>
        <v>Non-PDL</v>
      </c>
      <c r="F658" t="str">
        <f t="shared" si="20"/>
        <v>Non-PDL</v>
      </c>
      <c r="G658" s="1" cm="1">
        <f t="array" ref="G658">FuzzyPercent(D658,E658,1)</f>
        <v>0.125</v>
      </c>
      <c r="H658" t="str">
        <f t="shared" si="21"/>
        <v/>
      </c>
    </row>
    <row r="659" spans="1:8" x14ac:dyDescent="0.2">
      <c r="A659" t="s">
        <v>1299</v>
      </c>
      <c r="B659" t="s">
        <v>0</v>
      </c>
      <c r="D659" t="s">
        <v>2773</v>
      </c>
      <c r="E659" t="str" cm="1">
        <f t="array" ref="E659">IF(COUNTIF(A:A, "*" &amp; LEFT(D659, FIND(" ", D659 &amp; " ") - 1) &amp; "*") &gt; 0,INDEX(A:A,FuzzyVLookup(D659,A:A,0,,,1)),"Non-PDL")</f>
        <v>SPIRIVA HANDIHALER (tiotropium)</v>
      </c>
      <c r="F659" t="str">
        <f t="shared" si="20"/>
        <v>Preferred</v>
      </c>
      <c r="G659" s="1" cm="1">
        <f t="array" ref="G659">FuzzyPercent(D659,E659,1)</f>
        <v>0.51724135875701904</v>
      </c>
      <c r="H659" t="str">
        <f t="shared" si="21"/>
        <v/>
      </c>
    </row>
    <row r="660" spans="1:8" x14ac:dyDescent="0.2">
      <c r="A660" t="s">
        <v>1301</v>
      </c>
      <c r="B660" t="s">
        <v>0</v>
      </c>
      <c r="D660" t="s">
        <v>2774</v>
      </c>
      <c r="E660" t="str" cm="1">
        <f t="array" ref="E660">IF(COUNTIF(A:A, "*" &amp; LEFT(D660, FIND(" ", D660 &amp; " ") - 1) &amp; "*") &gt; 0,INDEX(A:A,FuzzyVLookup(D660,A:A,0,,,1)),"Non-PDL")</f>
        <v>SPIRIVA RESPIMAT (tiotropium) DUR+</v>
      </c>
      <c r="F660" t="str">
        <f t="shared" si="20"/>
        <v>Non-Preferred</v>
      </c>
      <c r="G660" s="1" cm="1">
        <f t="array" ref="G660">FuzzyPercent(D660,E660,1)</f>
        <v>0.46153846383094788</v>
      </c>
      <c r="H660" t="str">
        <f t="shared" si="21"/>
        <v/>
      </c>
    </row>
    <row r="661" spans="1:8" x14ac:dyDescent="0.2">
      <c r="A661" t="s">
        <v>1303</v>
      </c>
      <c r="B661" t="s">
        <v>0</v>
      </c>
      <c r="D661" t="s">
        <v>2775</v>
      </c>
      <c r="E661" t="str" cm="1">
        <f t="array" ref="E661">IF(COUNTIF(A:A, "*" &amp; LEFT(D661, FIND(" ", D661 &amp; " ") - 1) &amp; "*") &gt; 0,INDEX(A:A,FuzzyVLookup(D661,A:A,0,,,1)),"Non-PDL")</f>
        <v>Non-PDL</v>
      </c>
      <c r="F661" t="str">
        <f t="shared" si="20"/>
        <v>Non-PDL</v>
      </c>
      <c r="G661" s="1" cm="1">
        <f t="array" ref="G661">FuzzyPercent(D661,E661,1)</f>
        <v>0.125</v>
      </c>
      <c r="H661" t="str">
        <f t="shared" si="21"/>
        <v/>
      </c>
    </row>
    <row r="662" spans="1:8" x14ac:dyDescent="0.2">
      <c r="A662" t="s">
        <v>1305</v>
      </c>
      <c r="B662" t="s">
        <v>0</v>
      </c>
      <c r="D662" t="s">
        <v>2776</v>
      </c>
      <c r="E662" t="str" cm="1">
        <f t="array" ref="E662">IF(COUNTIF(A:A, "*" &amp; LEFT(D662, FIND(" ", D662 &amp; " ") - 1) &amp; "*") &gt; 0,INDEX(A:A,FuzzyVLookup(D662,A:A,0,,,1)),"Non-PDL")</f>
        <v>baclofen suspension</v>
      </c>
      <c r="F662" t="str">
        <f t="shared" si="20"/>
        <v>Non-Preferred</v>
      </c>
      <c r="G662" s="1" cm="1">
        <f t="array" ref="G662">FuzzyPercent(D662,E662,1)</f>
        <v>0.63157892227172852</v>
      </c>
      <c r="H662" t="str">
        <f t="shared" si="21"/>
        <v/>
      </c>
    </row>
    <row r="663" spans="1:8" x14ac:dyDescent="0.2">
      <c r="A663" t="s">
        <v>1307</v>
      </c>
      <c r="B663" t="s">
        <v>0</v>
      </c>
      <c r="D663" t="s">
        <v>2777</v>
      </c>
      <c r="E663" t="str" cm="1">
        <f t="array" ref="E663">IF(COUNTIF(A:A, "*" &amp; LEFT(D663, FIND(" ", D663 &amp; " ") - 1) &amp; "*") &gt; 0,INDEX(A:A,FuzzyVLookup(D663,A:A,0,,,1)),"Non-PDL")</f>
        <v>Phenelzine</v>
      </c>
      <c r="F663" t="str">
        <f t="shared" si="20"/>
        <v>Non-Preferred</v>
      </c>
      <c r="G663" s="1" cm="1">
        <f t="array" ref="G663">FuzzyPercent(D663,E663,1)</f>
        <v>0.3684210479259491</v>
      </c>
      <c r="H663" t="str">
        <f t="shared" si="21"/>
        <v>CHECK</v>
      </c>
    </row>
    <row r="664" spans="1:8" x14ac:dyDescent="0.2">
      <c r="A664" t="s">
        <v>1309</v>
      </c>
      <c r="B664" t="s">
        <v>0</v>
      </c>
      <c r="D664" t="s">
        <v>2778</v>
      </c>
      <c r="E664" t="str" cm="1">
        <f t="array" ref="E664">IF(COUNTIF(A:A, "*" &amp; LEFT(D664, FIND(" ", D664 &amp; " ") - 1) &amp; "*") &gt; 0,INDEX(A:A,FuzzyVLookup(D664,A:A,0,,,1)),"Non-PDL")</f>
        <v>STEGLATRO (ertugliflozin)</v>
      </c>
      <c r="F664" t="str">
        <f t="shared" si="20"/>
        <v>Non-Preferred</v>
      </c>
      <c r="G664" s="1" cm="1">
        <f t="array" ref="G664">FuzzyPercent(D664,E664,1)</f>
        <v>0.52941179275512695</v>
      </c>
      <c r="H664" t="str">
        <f t="shared" si="21"/>
        <v/>
      </c>
    </row>
    <row r="665" spans="1:8" x14ac:dyDescent="0.2">
      <c r="A665" t="s">
        <v>1311</v>
      </c>
      <c r="B665" t="s">
        <v>0</v>
      </c>
      <c r="D665" t="s">
        <v>2779</v>
      </c>
      <c r="E665" t="str" cm="1">
        <f t="array" ref="E665">IF(COUNTIF(A:A, "*" &amp; LEFT(D665, FIND(" ", D665 &amp; " ") - 1) &amp; "*") &gt; 0,INDEX(A:A,FuzzyVLookup(D665,A:A,0,,,1)),"Non-PDL")</f>
        <v>STEGLUJAN (ertugliflozin/sitagliptin)</v>
      </c>
      <c r="F665" t="str">
        <f t="shared" si="20"/>
        <v>Non-Preferred</v>
      </c>
      <c r="G665" s="1" cm="1">
        <f t="array" ref="G665">FuzzyPercent(D665,E665,1)</f>
        <v>0.39130434393882751</v>
      </c>
      <c r="H665" t="str">
        <f t="shared" si="21"/>
        <v>CHECK</v>
      </c>
    </row>
    <row r="666" spans="1:8" x14ac:dyDescent="0.2">
      <c r="A666" t="s">
        <v>1313</v>
      </c>
      <c r="B666" t="s">
        <v>0</v>
      </c>
      <c r="D666" t="s">
        <v>2780</v>
      </c>
      <c r="E666" t="str" cm="1">
        <f t="array" ref="E666">IF(COUNTIF(A:A, "*" &amp; LEFT(D666, FIND(" ", D666 &amp; " ") - 1) &amp; "*") &gt; 0,INDEX(A:A,FuzzyVLookup(D666,A:A,0,,,1)),"Non-PDL")</f>
        <v>AFSTYLA</v>
      </c>
      <c r="F666" t="str">
        <f t="shared" si="20"/>
        <v>Preferred</v>
      </c>
      <c r="G666" s="1" cm="1">
        <f t="array" ref="G666">FuzzyPercent(D666,E666,1)</f>
        <v>0.57142859697341919</v>
      </c>
      <c r="H666" t="str">
        <f t="shared" si="21"/>
        <v/>
      </c>
    </row>
    <row r="667" spans="1:8" x14ac:dyDescent="0.2">
      <c r="A667" t="s">
        <v>1315</v>
      </c>
      <c r="B667" t="s">
        <v>0</v>
      </c>
      <c r="D667" t="s">
        <v>2781</v>
      </c>
      <c r="E667" t="str" cm="1">
        <f t="array" ref="E667">IF(COUNTIF(A:A, "*" &amp; LEFT(D667, FIND(" ", D667 &amp; " ") - 1) &amp; "*") &gt; 0,INDEX(A:A,FuzzyVLookup(D667,A:A,0,,,1)),"Non-PDL")</f>
        <v>STIMUFEND (pegfilgrastim-fpgk)</v>
      </c>
      <c r="F667" t="str">
        <f t="shared" si="20"/>
        <v>Non-Preferred</v>
      </c>
      <c r="G667" s="1" cm="1">
        <f t="array" ref="G667">FuzzyPercent(D667,E667,1)</f>
        <v>0.50877195596694946</v>
      </c>
      <c r="H667" t="str">
        <f t="shared" si="21"/>
        <v/>
      </c>
    </row>
    <row r="668" spans="1:8" x14ac:dyDescent="0.2">
      <c r="A668" t="s">
        <v>1317</v>
      </c>
      <c r="B668" t="s">
        <v>0</v>
      </c>
      <c r="D668" t="s">
        <v>2782</v>
      </c>
      <c r="E668" t="str" cm="1">
        <f t="array" ref="E668">IF(COUNTIF(A:A, "*" &amp; LEFT(D668, FIND(" ", D668 &amp; " ") - 1) &amp; "*") &gt; 0,INDEX(A:A,FuzzyVLookup(D668,A:A,0,,,1)),"Non-PDL")</f>
        <v>STIOLTO RESPIMAT (tiotropium/olodaterol)</v>
      </c>
      <c r="F668" t="str">
        <f t="shared" si="20"/>
        <v>Preferred</v>
      </c>
      <c r="G668" s="1" cm="1">
        <f t="array" ref="G668">FuzzyPercent(D668,E668,1)</f>
        <v>0.57142859697341919</v>
      </c>
      <c r="H668" t="str">
        <f t="shared" si="21"/>
        <v/>
      </c>
    </row>
    <row r="669" spans="1:8" x14ac:dyDescent="0.2">
      <c r="A669" t="s">
        <v>1319</v>
      </c>
      <c r="B669" t="s">
        <v>0</v>
      </c>
      <c r="D669" t="s">
        <v>2783</v>
      </c>
      <c r="E669" t="str" cm="1">
        <f t="array" ref="E669">IF(COUNTIF(A:A, "*" &amp; LEFT(D669, FIND(" ", D669 &amp; " ") - 1) &amp; "*") &gt; 0,INDEX(A:A,FuzzyVLookup(D669,A:A,0,,,1)),"Non-PDL")</f>
        <v>STIVARGA (regorafenib)</v>
      </c>
      <c r="F669" t="str">
        <f t="shared" si="20"/>
        <v>Preferred</v>
      </c>
      <c r="G669" s="1" cm="1">
        <f t="array" ref="G669">FuzzyPercent(D669,E669,1)</f>
        <v>0.53333336114883423</v>
      </c>
      <c r="H669" t="str">
        <f t="shared" si="21"/>
        <v/>
      </c>
    </row>
    <row r="670" spans="1:8" x14ac:dyDescent="0.2">
      <c r="A670" t="s">
        <v>1321</v>
      </c>
      <c r="B670" t="s">
        <v>0</v>
      </c>
      <c r="D670" t="s">
        <v>2784</v>
      </c>
      <c r="E670" t="str" cm="1">
        <f t="array" ref="E670">IF(COUNTIF(A:A, "*" &amp; LEFT(D670, FIND(" ", D670 &amp; " ") - 1) &amp; "*") &gt; 0,INDEX(A:A,FuzzyVLookup(D670,A:A,0,,,1)),"Non-PDL")</f>
        <v>sunitinib</v>
      </c>
      <c r="F670" t="str">
        <f t="shared" si="20"/>
        <v>Non-Preferred</v>
      </c>
      <c r="G670" s="1" cm="1">
        <f t="array" ref="G670">FuzzyPercent(D670,E670,1)</f>
        <v>0.4117647111415863</v>
      </c>
      <c r="H670" t="str">
        <f t="shared" si="21"/>
        <v/>
      </c>
    </row>
    <row r="671" spans="1:8" x14ac:dyDescent="0.2">
      <c r="A671" t="s">
        <v>1323</v>
      </c>
      <c r="B671" t="s">
        <v>0</v>
      </c>
      <c r="D671" t="s">
        <v>2785</v>
      </c>
      <c r="E671" t="str" cm="1">
        <f t="array" ref="E671">IF(COUNTIF(A:A, "*" &amp; LEFT(D671, FIND(" ", D671 &amp; " ") - 1) &amp; "*") &gt; 0,INDEX(A:A,FuzzyVLookup(D671,A:A,0,,,1)),"Non-PDL")</f>
        <v>STUART ONE</v>
      </c>
      <c r="F671" t="str">
        <f t="shared" si="20"/>
        <v>Preferred</v>
      </c>
      <c r="G671" s="1" cm="1">
        <f t="array" ref="G671">FuzzyPercent(D671,E671,1)</f>
        <v>0.71428573131561279</v>
      </c>
      <c r="H671" t="str">
        <f t="shared" si="21"/>
        <v/>
      </c>
    </row>
    <row r="672" spans="1:8" x14ac:dyDescent="0.2">
      <c r="A672" t="s">
        <v>1325</v>
      </c>
      <c r="B672" t="s">
        <v>0</v>
      </c>
      <c r="D672" t="s">
        <v>2786</v>
      </c>
      <c r="E672" t="str" cm="1">
        <f t="array" ref="E672">IF(COUNTIF(A:A, "*" &amp; LEFT(D672, FIND(" ", D672 &amp; " ") - 1) &amp; "*") &gt; 0,INDEX(A:A,FuzzyVLookup(D672,A:A,0,,,1)),"Non-PDL")</f>
        <v>SUBLOCADE (buprenorphine)</v>
      </c>
      <c r="F672" t="str">
        <f t="shared" si="20"/>
        <v>Non-Preferred</v>
      </c>
      <c r="G672" s="1" cm="1">
        <f t="array" ref="G672">FuzzyPercent(D672,E672,1)</f>
        <v>0.52941179275512695</v>
      </c>
      <c r="H672" t="str">
        <f t="shared" si="21"/>
        <v/>
      </c>
    </row>
    <row r="673" spans="1:8" x14ac:dyDescent="0.2">
      <c r="A673" t="s">
        <v>1327</v>
      </c>
      <c r="B673" t="s">
        <v>0</v>
      </c>
      <c r="D673" t="s">
        <v>2787</v>
      </c>
      <c r="E673" t="str" cm="1">
        <f t="array" ref="E673">IF(COUNTIF(A:A, "*" &amp; LEFT(D673, FIND(" ", D673 &amp; " ") - 1) &amp; "*") &gt; 0,INDEX(A:A,FuzzyVLookup(D673,A:A,0,,,1)),"Non-PDL")</f>
        <v>naloxone</v>
      </c>
      <c r="F673" t="str">
        <f t="shared" si="20"/>
        <v>Preferred</v>
      </c>
      <c r="G673" s="1" cm="1">
        <f t="array" ref="G673">FuzzyPercent(D673,E673,1)</f>
        <v>0.625</v>
      </c>
      <c r="H673" t="str">
        <f t="shared" si="21"/>
        <v/>
      </c>
    </row>
    <row r="674" spans="1:8" x14ac:dyDescent="0.2">
      <c r="A674" t="s">
        <v>1329</v>
      </c>
      <c r="B674" t="s">
        <v>0</v>
      </c>
      <c r="D674" t="s">
        <v>2788</v>
      </c>
      <c r="E674" t="str" cm="1">
        <f t="array" ref="E674">IF(COUNTIF(A:A, "*" &amp; LEFT(D674, FIND(" ", D674 &amp; " ") - 1) &amp; "*") &gt; 0,INDEX(A:A,FuzzyVLookup(D674,A:A,0,,,1)),"Non-PDL")</f>
        <v>sunitinib</v>
      </c>
      <c r="F674" t="str">
        <f t="shared" si="20"/>
        <v>Non-Preferred</v>
      </c>
      <c r="G674" s="1" cm="1">
        <f t="array" ref="G674">FuzzyPercent(D674,E674,1)</f>
        <v>0.53333336114883423</v>
      </c>
      <c r="H674" t="str">
        <f t="shared" si="21"/>
        <v/>
      </c>
    </row>
    <row r="675" spans="1:8" x14ac:dyDescent="0.2">
      <c r="A675" t="s">
        <v>1331</v>
      </c>
      <c r="B675" t="s">
        <v>0</v>
      </c>
      <c r="D675" t="s">
        <v>2789</v>
      </c>
      <c r="E675" t="str" cm="1">
        <f t="array" ref="E675">IF(COUNTIF(A:A, "*" &amp; LEFT(D675, FIND(" ", D675 &amp; " ") - 1) &amp; "*") &gt; 0,INDEX(A:A,FuzzyVLookup(D675,A:A,0,,,1)),"Non-PDL")</f>
        <v>Non-PDL</v>
      </c>
      <c r="F675" t="str">
        <f t="shared" si="20"/>
        <v>Non-PDL</v>
      </c>
      <c r="G675" s="1" cm="1">
        <f t="array" ref="G675">FuzzyPercent(D675,E675,1)</f>
        <v>8.3333335816860199E-2</v>
      </c>
      <c r="H675" t="str">
        <f t="shared" si="21"/>
        <v/>
      </c>
    </row>
    <row r="676" spans="1:8" x14ac:dyDescent="0.2">
      <c r="A676" t="s">
        <v>1333</v>
      </c>
      <c r="B676" t="s">
        <v>0</v>
      </c>
      <c r="D676" t="s">
        <v>2790</v>
      </c>
      <c r="E676" t="str" cm="1">
        <f t="array" ref="E676">IF(COUNTIF(A:A, "*" &amp; LEFT(D676, FIND(" ", D676 &amp; " ") - 1) &amp; "*") &gt; 0,INDEX(A:A,FuzzyVLookup(D676,A:A,0,,,1)),"Non-PDL")</f>
        <v>Non-PDL</v>
      </c>
      <c r="F676" t="str">
        <f t="shared" si="20"/>
        <v>Non-PDL</v>
      </c>
      <c r="G676" s="1" cm="1">
        <f t="array" ref="G676">FuzzyPercent(D676,E676,1)</f>
        <v>0</v>
      </c>
      <c r="H676" t="str">
        <f t="shared" si="21"/>
        <v/>
      </c>
    </row>
    <row r="677" spans="1:8" x14ac:dyDescent="0.2">
      <c r="A677" t="s">
        <v>1335</v>
      </c>
      <c r="B677" t="s">
        <v>0</v>
      </c>
      <c r="D677" t="s">
        <v>2791</v>
      </c>
      <c r="E677" t="str" cm="1">
        <f t="array" ref="E677">IF(COUNTIF(A:A, "*" &amp; LEFT(D677, FIND(" ", D677 &amp; " ") - 1) &amp; "*") &gt; 0,INDEX(A:A,FuzzyVLookup(D677,A:A,0,,,1)),"Non-PDL")</f>
        <v>Non-PDL</v>
      </c>
      <c r="F677" t="str">
        <f t="shared" si="20"/>
        <v>Non-PDL</v>
      </c>
      <c r="G677" s="1" cm="1">
        <f t="array" ref="G677">FuzzyPercent(D677,E677,1)</f>
        <v>0</v>
      </c>
      <c r="H677" t="str">
        <f t="shared" si="21"/>
        <v/>
      </c>
    </row>
    <row r="678" spans="1:8" x14ac:dyDescent="0.2">
      <c r="A678" t="s">
        <v>1337</v>
      </c>
      <c r="B678" t="s">
        <v>0</v>
      </c>
      <c r="D678" t="s">
        <v>2792</v>
      </c>
      <c r="E678" t="str" cm="1">
        <f t="array" ref="E678">IF(COUNTIF(A:A, "*" &amp; LEFT(D678, FIND(" ", D678 &amp; " ") - 1) &amp; "*") &gt; 0,INDEX(A:A,FuzzyVLookup(D678,A:A,0,,,1)),"Non-PDL")</f>
        <v>Non-PDL</v>
      </c>
      <c r="F678" t="str">
        <f t="shared" si="20"/>
        <v>Non-PDL</v>
      </c>
      <c r="G678" s="1" cm="1">
        <f t="array" ref="G678">FuzzyPercent(D678,E678,1)</f>
        <v>0</v>
      </c>
      <c r="H678" t="str">
        <f t="shared" si="21"/>
        <v/>
      </c>
    </row>
    <row r="679" spans="1:8" x14ac:dyDescent="0.2">
      <c r="A679" t="s">
        <v>1339</v>
      </c>
      <c r="B679" t="s">
        <v>0</v>
      </c>
      <c r="D679" t="s">
        <v>2793</v>
      </c>
      <c r="E679" t="str" cm="1">
        <f t="array" ref="E679">IF(COUNTIF(A:A, "*" &amp; LEFT(D679, FIND(" ", D679 &amp; " ") - 1) &amp; "*") &gt; 0,INDEX(A:A,FuzzyVLookup(D679,A:A,0,,,1)),"Non-PDL")</f>
        <v>XEMBIFY</v>
      </c>
      <c r="F679" t="str">
        <f t="shared" si="20"/>
        <v>Preferred</v>
      </c>
      <c r="G679" s="1" cm="1">
        <f t="array" ref="G679">FuzzyPercent(D679,E679,1)</f>
        <v>0.4285714328289032</v>
      </c>
      <c r="H679" t="str">
        <f t="shared" si="21"/>
        <v/>
      </c>
    </row>
    <row r="680" spans="1:8" x14ac:dyDescent="0.2">
      <c r="A680" t="s">
        <v>1341</v>
      </c>
      <c r="B680" t="s">
        <v>0</v>
      </c>
      <c r="D680" t="s">
        <v>2794</v>
      </c>
      <c r="E680" t="str" cm="1">
        <f t="array" ref="E680">IF(COUNTIF(A:A, "*" &amp; LEFT(D680, FIND(" ", D680 &amp; " ") - 1) &amp; "*") &gt; 0,INDEX(A:A,FuzzyVLookup(D680,A:A,0,,,1)),"Non-PDL")</f>
        <v>Non-PDL</v>
      </c>
      <c r="F680" t="str">
        <f t="shared" si="20"/>
        <v>Non-PDL</v>
      </c>
      <c r="G680" s="1" cm="1">
        <f t="array" ref="G680">FuzzyPercent(D680,E680,1)</f>
        <v>0</v>
      </c>
      <c r="H680" t="str">
        <f t="shared" si="21"/>
        <v/>
      </c>
    </row>
    <row r="681" spans="1:8" x14ac:dyDescent="0.2">
      <c r="A681" t="s">
        <v>1343</v>
      </c>
      <c r="B681" t="s">
        <v>0</v>
      </c>
      <c r="D681" t="s">
        <v>2795</v>
      </c>
      <c r="E681" t="str" cm="1">
        <f t="array" ref="E681">IF(COUNTIF(A:A, "*" &amp; LEFT(D681, FIND(" ", D681 &amp; " ") - 1) &amp; "*") &gt; 0,INDEX(A:A,FuzzyVLookup(D681,A:A,0,,,1)),"Non-PDL")</f>
        <v>Non-PDL</v>
      </c>
      <c r="F681" t="str">
        <f t="shared" si="20"/>
        <v>Non-PDL</v>
      </c>
      <c r="G681" s="1" cm="1">
        <f t="array" ref="G681">FuzzyPercent(D681,E681,1)</f>
        <v>0</v>
      </c>
      <c r="H681" t="str">
        <f t="shared" si="21"/>
        <v/>
      </c>
    </row>
    <row r="682" spans="1:8" x14ac:dyDescent="0.2">
      <c r="A682" t="s">
        <v>1345</v>
      </c>
      <c r="B682" t="s">
        <v>0</v>
      </c>
      <c r="D682" t="s">
        <v>2796</v>
      </c>
      <c r="E682" t="str" cm="1">
        <f t="array" ref="E682">IF(COUNTIF(A:A, "*" &amp; LEFT(D682, FIND(" ", D682 &amp; " ") - 1) &amp; "*") &gt; 0,INDEX(A:A,FuzzyVLookup(D682,A:A,0,,,1)),"Non-PDL")</f>
        <v>SYMPAZAN (clobazam)</v>
      </c>
      <c r="F682" t="str">
        <f t="shared" si="20"/>
        <v>Preferred</v>
      </c>
      <c r="G682" s="1" cm="1">
        <f t="array" ref="G682">FuzzyPercent(D682,E682,1)</f>
        <v>0.56756758689880371</v>
      </c>
      <c r="H682" t="str">
        <f t="shared" si="21"/>
        <v/>
      </c>
    </row>
    <row r="683" spans="1:8" x14ac:dyDescent="0.2">
      <c r="A683" t="s">
        <v>1347</v>
      </c>
      <c r="B683" t="s">
        <v>0</v>
      </c>
      <c r="D683" t="s">
        <v>2797</v>
      </c>
      <c r="E683" t="str" cm="1">
        <f t="array" ref="E683">IF(COUNTIF(A:A, "*" &amp; LEFT(D683, FIND(" ", D683 &amp; " ") - 1) &amp; "*") &gt; 0,INDEX(A:A,FuzzyVLookup(D683,A:A,0,,,1)),"Non-PDL")</f>
        <v>Non-PDL</v>
      </c>
      <c r="F683" t="str">
        <f t="shared" si="20"/>
        <v>Non-PDL</v>
      </c>
      <c r="G683" s="1" cm="1">
        <f t="array" ref="G683">FuzzyPercent(D683,E683,1)</f>
        <v>0.1428571492433548</v>
      </c>
      <c r="H683" t="str">
        <f t="shared" si="21"/>
        <v/>
      </c>
    </row>
    <row r="684" spans="1:8" x14ac:dyDescent="0.2">
      <c r="A684" t="s">
        <v>1349</v>
      </c>
      <c r="B684" t="s">
        <v>0</v>
      </c>
      <c r="D684" t="s">
        <v>2798</v>
      </c>
      <c r="E684" t="str" cm="1">
        <f t="array" ref="E684">IF(COUNTIF(A:A, "*" &amp; LEFT(D684, FIND(" ", D684 &amp; " ") - 1) &amp; "*") &gt; 0,INDEX(A:A,FuzzyVLookup(D684,A:A,0,,,1)),"Non-PDL")</f>
        <v>Non-PDL</v>
      </c>
      <c r="F684" t="str">
        <f t="shared" si="20"/>
        <v>Non-PDL</v>
      </c>
      <c r="G684" s="1" cm="1">
        <f t="array" ref="G684">FuzzyPercent(D684,E684,1)</f>
        <v>0.28571429848670959</v>
      </c>
      <c r="H684" t="str">
        <f t="shared" si="21"/>
        <v/>
      </c>
    </row>
    <row r="685" spans="1:8" x14ac:dyDescent="0.2">
      <c r="A685" t="s">
        <v>1351</v>
      </c>
      <c r="B685" t="s">
        <v>0</v>
      </c>
      <c r="D685" t="s">
        <v>2799</v>
      </c>
      <c r="E685" t="str" cm="1">
        <f t="array" ref="E685">IF(COUNTIF(A:A, "*" &amp; LEFT(D685, FIND(" ", D685 &amp; " ") - 1) &amp; "*") &gt; 0,INDEX(A:A,FuzzyVLookup(D685,A:A,0,,,1)),"Non-PDL")</f>
        <v>Non-PDL</v>
      </c>
      <c r="F685" t="str">
        <f t="shared" si="20"/>
        <v>Non-PDL</v>
      </c>
      <c r="G685" s="1" cm="1">
        <f t="array" ref="G685">FuzzyPercent(D685,E685,1)</f>
        <v>0.1111111119389534</v>
      </c>
      <c r="H685" t="str">
        <f t="shared" si="21"/>
        <v/>
      </c>
    </row>
    <row r="686" spans="1:8" x14ac:dyDescent="0.2">
      <c r="A686" t="s">
        <v>1353</v>
      </c>
      <c r="B686" t="s">
        <v>0</v>
      </c>
      <c r="D686" t="s">
        <v>2800</v>
      </c>
      <c r="E686" t="str" cm="1">
        <f t="array" ref="E686">IF(COUNTIF(A:A, "*" &amp; LEFT(D686, FIND(" ", D686 &amp; " ") - 1) &amp; "*") &gt; 0,INDEX(A:A,FuzzyVLookup(D686,A:A,0,,,1)),"Non-PDL")</f>
        <v>TABRECTA (capmatinib)</v>
      </c>
      <c r="F686" t="str">
        <f t="shared" si="20"/>
        <v>Non-Preferred</v>
      </c>
      <c r="G686" s="1" cm="1">
        <f t="array" ref="G686">FuzzyPercent(D686,E686,1)</f>
        <v>0.5517241358757019</v>
      </c>
      <c r="H686" t="str">
        <f t="shared" si="21"/>
        <v/>
      </c>
    </row>
    <row r="687" spans="1:8" x14ac:dyDescent="0.2">
      <c r="A687" t="s">
        <v>1355</v>
      </c>
      <c r="B687" t="s">
        <v>0</v>
      </c>
      <c r="D687" t="s">
        <v>2801</v>
      </c>
      <c r="E687" t="str" cm="1">
        <f t="array" ref="E687">IF(COUNTIF(A:A, "*" &amp; LEFT(D687, FIND(" ", D687 &amp; " ") - 1) &amp; "*") &gt; 0,INDEX(A:A,FuzzyVLookup(D687,A:A,0,,,1)),"Non-PDL")</f>
        <v>tadalafil</v>
      </c>
      <c r="F687" t="str">
        <f t="shared" si="20"/>
        <v>Preferred</v>
      </c>
      <c r="G687" s="1" cm="1">
        <f t="array" ref="G687">FuzzyPercent(D687,E687,1)</f>
        <v>1</v>
      </c>
      <c r="H687" t="str">
        <f t="shared" si="21"/>
        <v/>
      </c>
    </row>
    <row r="688" spans="1:8" x14ac:dyDescent="0.2">
      <c r="A688" t="s">
        <v>1357</v>
      </c>
      <c r="B688" t="s">
        <v>0</v>
      </c>
      <c r="D688" t="s">
        <v>2802</v>
      </c>
      <c r="E688" t="str" cm="1">
        <f t="array" ref="E688">IF(COUNTIF(A:A, "*" &amp; LEFT(D688, FIND(" ", D688 &amp; " ") - 1) &amp; "*") &gt; 0,INDEX(A:A,FuzzyVLookup(D688,A:A,0,,,1)),"Non-PDL")</f>
        <v>tadalafil</v>
      </c>
      <c r="F688" t="str">
        <f t="shared" si="20"/>
        <v>Preferred</v>
      </c>
      <c r="G688" s="1" cm="1">
        <f t="array" ref="G688">FuzzyPercent(D688,E688,1)</f>
        <v>0.53333336114883423</v>
      </c>
      <c r="H688" t="str">
        <f t="shared" si="21"/>
        <v/>
      </c>
    </row>
    <row r="689" spans="1:8" x14ac:dyDescent="0.2">
      <c r="A689" t="s">
        <v>1359</v>
      </c>
      <c r="B689" t="s">
        <v>0</v>
      </c>
      <c r="D689" t="s">
        <v>2803</v>
      </c>
      <c r="E689" t="str" cm="1">
        <f t="array" ref="E689">IF(COUNTIF(A:A, "*" &amp; LEFT(D689, FIND(" ", D689 &amp; " ") - 1) &amp; "*") &gt; 0,INDEX(A:A,FuzzyVLookup(D689,A:A,0,,,1)),"Non-PDL")</f>
        <v>TAGRISSO (Osimertinib)</v>
      </c>
      <c r="F689" t="str">
        <f t="shared" si="20"/>
        <v>Non-Preferred</v>
      </c>
      <c r="G689" s="1" cm="1">
        <f t="array" ref="G689">FuzzyPercent(D689,E689,1)</f>
        <v>0.53333336114883423</v>
      </c>
      <c r="H689" t="str">
        <f t="shared" si="21"/>
        <v/>
      </c>
    </row>
    <row r="690" spans="1:8" x14ac:dyDescent="0.2">
      <c r="A690" t="s">
        <v>1361</v>
      </c>
      <c r="B690" t="s">
        <v>0</v>
      </c>
      <c r="D690" t="s">
        <v>2804</v>
      </c>
      <c r="E690" t="str" cm="1">
        <f t="array" ref="E690">IF(COUNTIF(A:A, "*" &amp; LEFT(D690, FIND(" ", D690 &amp; " ") - 1) &amp; "*") &gt; 0,INDEX(A:A,FuzzyVLookup(D690,A:A,0,,,1)),"Non-PDL")</f>
        <v>CABLIVI</v>
      </c>
      <c r="F690" t="str">
        <f t="shared" si="20"/>
        <v>Non-Preferred</v>
      </c>
      <c r="G690" s="1" cm="1">
        <f t="array" ref="G690">FuzzyPercent(D690,E690,1)</f>
        <v>0.57142859697341919</v>
      </c>
      <c r="H690" t="str">
        <f t="shared" si="21"/>
        <v/>
      </c>
    </row>
    <row r="691" spans="1:8" x14ac:dyDescent="0.2">
      <c r="A691" t="s">
        <v>1363</v>
      </c>
      <c r="B691" t="s">
        <v>0</v>
      </c>
      <c r="D691" t="s">
        <v>2805</v>
      </c>
      <c r="E691" t="str" cm="1">
        <f t="array" ref="E691">IF(COUNTIF(A:A, "*" &amp; LEFT(D691, FIND(" ", D691 &amp; " ") - 1) &amp; "*") &gt; 0,INDEX(A:A,FuzzyVLookup(D691,A:A,0,,,1)),"Non-PDL")</f>
        <v>TALZENNA (talazoparib)</v>
      </c>
      <c r="F691" t="str">
        <f t="shared" si="20"/>
        <v>Non-Preferred</v>
      </c>
      <c r="G691" s="1" cm="1">
        <f t="array" ref="G691">FuzzyPercent(D691,E691,1)</f>
        <v>0.53333336114883423</v>
      </c>
      <c r="H691" t="str">
        <f t="shared" si="21"/>
        <v/>
      </c>
    </row>
    <row r="692" spans="1:8" x14ac:dyDescent="0.2">
      <c r="A692" t="s">
        <v>1365</v>
      </c>
      <c r="B692" t="s">
        <v>0</v>
      </c>
      <c r="D692" t="s">
        <v>2806</v>
      </c>
      <c r="E692" t="str" cm="1">
        <f t="array" ref="E692">IF(COUNTIF(A:A, "*" &amp; LEFT(D692, FIND(" ", D692 &amp; " ") - 1) &amp; "*") &gt; 0,INDEX(A:A,FuzzyVLookup(D692,A:A,0,,,1)),"Non-PDL")</f>
        <v>teriflunomide</v>
      </c>
      <c r="F692" t="str">
        <f t="shared" si="20"/>
        <v>Preferred</v>
      </c>
      <c r="G692" s="1" cm="1">
        <f t="array" ref="G692">FuzzyPercent(D692,E692,1)</f>
        <v>0.5</v>
      </c>
      <c r="H692" t="str">
        <f t="shared" si="21"/>
        <v/>
      </c>
    </row>
    <row r="693" spans="1:8" x14ac:dyDescent="0.2">
      <c r="A693" t="s">
        <v>1367</v>
      </c>
      <c r="B693" t="s">
        <v>0</v>
      </c>
      <c r="D693" t="s">
        <v>2807</v>
      </c>
      <c r="E693" t="str" cm="1">
        <f t="array" ref="E693">IF(COUNTIF(A:A, "*" &amp; LEFT(D693, FIND(" ", D693 &amp; " ") - 1) &amp; "*") &gt; 0,INDEX(A:A,FuzzyVLookup(D693,A:A,0,,,1)),"Non-PDL")</f>
        <v>TARCEVA (erlotinib)</v>
      </c>
      <c r="F693" t="str">
        <f t="shared" si="20"/>
        <v>Preferred</v>
      </c>
      <c r="G693" s="1" cm="1">
        <f t="array" ref="G693">FuzzyPercent(D693,E693,1)</f>
        <v>0.53846156597137451</v>
      </c>
      <c r="H693" t="str">
        <f t="shared" si="21"/>
        <v/>
      </c>
    </row>
    <row r="694" spans="1:8" x14ac:dyDescent="0.2">
      <c r="A694" t="s">
        <v>1369</v>
      </c>
      <c r="B694" t="s">
        <v>0</v>
      </c>
      <c r="D694" t="s">
        <v>2808</v>
      </c>
      <c r="E694" t="str" cm="1">
        <f t="array" ref="E694">IF(COUNTIF(A:A, "*" &amp; LEFT(D694, FIND(" ", D694 &amp; " ") - 1) &amp; "*") &gt; 0,INDEX(A:A,FuzzyVLookup(D694,A:A,0,,,1)),"Non-PDL")</f>
        <v>Non-PDL</v>
      </c>
      <c r="F694" t="str">
        <f t="shared" si="20"/>
        <v>Non-PDL</v>
      </c>
      <c r="G694" s="1" cm="1">
        <f t="array" ref="G694">FuzzyPercent(D694,E694,1)</f>
        <v>0.1428571492433548</v>
      </c>
      <c r="H694" t="str">
        <f t="shared" si="21"/>
        <v/>
      </c>
    </row>
    <row r="695" spans="1:8" x14ac:dyDescent="0.2">
      <c r="A695" t="s">
        <v>1371</v>
      </c>
      <c r="B695" t="s">
        <v>0</v>
      </c>
      <c r="D695" t="s">
        <v>2809</v>
      </c>
      <c r="E695" t="str" cm="1">
        <f t="array" ref="E695">IF(COUNTIF(A:A, "*" &amp; LEFT(D695, FIND(" ", D695 &amp; " ") - 1) &amp; "*") &gt; 0,INDEX(A:A,FuzzyVLookup(D695,A:A,0,,,1)),"Non-PDL")</f>
        <v>tadalafil</v>
      </c>
      <c r="F695" t="str">
        <f t="shared" si="20"/>
        <v>Preferred</v>
      </c>
      <c r="G695" s="1" cm="1">
        <f t="array" ref="G695">FuzzyPercent(D695,E695,1)</f>
        <v>0.55555558204650879</v>
      </c>
      <c r="H695" t="str">
        <f t="shared" si="21"/>
        <v/>
      </c>
    </row>
    <row r="696" spans="1:8" x14ac:dyDescent="0.2">
      <c r="A696" t="s">
        <v>1373</v>
      </c>
      <c r="B696" t="s">
        <v>0</v>
      </c>
      <c r="D696" t="s">
        <v>2810</v>
      </c>
      <c r="E696" t="str" cm="1">
        <f t="array" ref="E696">IF(COUNTIF(A:A, "*" &amp; LEFT(D696, FIND(" ", D696 &amp; " ") - 1) &amp; "*") &gt; 0,INDEX(A:A,FuzzyVLookup(D696,A:A,0,,,1)),"Non-PDL")</f>
        <v>Non-PDL</v>
      </c>
      <c r="F696" t="str">
        <f t="shared" si="20"/>
        <v>Non-PDL</v>
      </c>
      <c r="G696" s="1" cm="1">
        <f t="array" ref="G696">FuzzyPercent(D696,E696,1)</f>
        <v>0</v>
      </c>
      <c r="H696" t="str">
        <f t="shared" si="21"/>
        <v/>
      </c>
    </row>
    <row r="697" spans="1:8" x14ac:dyDescent="0.2">
      <c r="A697" t="s">
        <v>1375</v>
      </c>
      <c r="B697" t="s">
        <v>0</v>
      </c>
      <c r="D697" t="s">
        <v>2811</v>
      </c>
      <c r="E697" t="str" cm="1">
        <f t="array" ref="E697">IF(COUNTIF(A:A, "*" &amp; LEFT(D697, FIND(" ", D697 &amp; " ") - 1) &amp; "*") &gt; 0,INDEX(A:A,FuzzyVLookup(D697,A:A,0,,,1)),"Non-PDL")</f>
        <v>tamsulosin</v>
      </c>
      <c r="F697" t="str">
        <f t="shared" si="20"/>
        <v>Preferred</v>
      </c>
      <c r="G697" s="1" cm="1">
        <f t="array" ref="G697">FuzzyPercent(D697,E697,1)</f>
        <v>0.4444444477558136</v>
      </c>
      <c r="H697" t="str">
        <f t="shared" si="21"/>
        <v/>
      </c>
    </row>
    <row r="698" spans="1:8" x14ac:dyDescent="0.2">
      <c r="A698" t="s">
        <v>1377</v>
      </c>
      <c r="B698" t="s">
        <v>0</v>
      </c>
      <c r="D698" t="s">
        <v>2812</v>
      </c>
      <c r="E698" t="str" cm="1">
        <f t="array" ref="E698">IF(COUNTIF(A:A, "*" &amp; LEFT(D698, FIND(" ", D698 &amp; " ") - 1) &amp; "*") &gt; 0,INDEX(A:A,FuzzyVLookup(D698,A:A,0,,,1)),"Non-PDL")</f>
        <v>Non-PDL</v>
      </c>
      <c r="F698" t="str">
        <f t="shared" si="20"/>
        <v>Non-PDL</v>
      </c>
      <c r="G698" s="1" cm="1">
        <f t="array" ref="G698">FuzzyPercent(D698,E698,1)</f>
        <v>0</v>
      </c>
      <c r="H698" t="str">
        <f t="shared" si="21"/>
        <v/>
      </c>
    </row>
    <row r="699" spans="1:8" x14ac:dyDescent="0.2">
      <c r="A699" t="s">
        <v>1379</v>
      </c>
      <c r="B699" t="s">
        <v>0</v>
      </c>
      <c r="D699" t="s">
        <v>2813</v>
      </c>
      <c r="E699" t="str" cm="1">
        <f t="array" ref="E699">IF(COUNTIF(A:A, "*" &amp; LEFT(D699, FIND(" ", D699 &amp; " ") - 1) &amp; "*") &gt; 0,INDEX(A:A,FuzzyVLookup(D699,A:A,0,,,1)),"Non-PDL")</f>
        <v>Non-PDL</v>
      </c>
      <c r="F699" t="str">
        <f t="shared" si="20"/>
        <v>Non-PDL</v>
      </c>
      <c r="G699" s="1" cm="1">
        <f t="array" ref="G699">FuzzyPercent(D699,E699,1)</f>
        <v>0</v>
      </c>
      <c r="H699" t="str">
        <f t="shared" si="21"/>
        <v/>
      </c>
    </row>
    <row r="700" spans="1:8" x14ac:dyDescent="0.2">
      <c r="A700" t="s">
        <v>1381</v>
      </c>
      <c r="B700" t="s">
        <v>0</v>
      </c>
      <c r="D700" t="s">
        <v>2814</v>
      </c>
      <c r="E700" t="str" cm="1">
        <f t="array" ref="E700">IF(COUNTIF(A:A, "*" &amp; LEFT(D700, FIND(" ", D700 &amp; " ") - 1) &amp; "*") &gt; 0,INDEX(A:A,FuzzyVLookup(D700,A:A,0,,,1)),"Non-PDL")</f>
        <v>TECFIDERA (dimethyl fumarate)</v>
      </c>
      <c r="F700" t="str">
        <f t="shared" si="20"/>
        <v>Non-Preferred</v>
      </c>
      <c r="G700" s="1" cm="1">
        <f t="array" ref="G700">FuzzyPercent(D700,E700,1)</f>
        <v>0.72500002384185791</v>
      </c>
      <c r="H700" t="str">
        <f t="shared" si="21"/>
        <v/>
      </c>
    </row>
    <row r="701" spans="1:8" x14ac:dyDescent="0.2">
      <c r="A701" t="s">
        <v>687</v>
      </c>
      <c r="B701" t="s">
        <v>0</v>
      </c>
      <c r="D701" t="s">
        <v>2815</v>
      </c>
      <c r="E701" t="str" cm="1">
        <f t="array" ref="E701">IF(COUNTIF(A:A, "*" &amp; LEFT(D701, FIND(" ", D701 &amp; " ") - 1) &amp; "*") &gt; 0,INDEX(A:A,FuzzyVLookup(D701,A:A,0,,,1)),"Non-PDL")</f>
        <v>telmisartan</v>
      </c>
      <c r="F701" t="str">
        <f t="shared" si="20"/>
        <v>Preferred</v>
      </c>
      <c r="G701" s="1" cm="1">
        <f t="array" ref="G701">FuzzyPercent(D701,E701,1)</f>
        <v>1</v>
      </c>
      <c r="H701" t="str">
        <f t="shared" si="21"/>
        <v/>
      </c>
    </row>
    <row r="702" spans="1:8" x14ac:dyDescent="0.2">
      <c r="A702" t="s">
        <v>1384</v>
      </c>
      <c r="B702" t="s">
        <v>0</v>
      </c>
      <c r="D702" t="s">
        <v>2816</v>
      </c>
      <c r="E702" t="str" cm="1">
        <f t="array" ref="E702">IF(COUNTIF(A:A, "*" &amp; LEFT(D702, FIND(" ", D702 &amp; " ") - 1) &amp; "*") &gt; 0,INDEX(A:A,FuzzyVLookup(D702,A:A,0,,,1)),"Non-PDL")</f>
        <v>Non-PDL</v>
      </c>
      <c r="F702" t="str">
        <f t="shared" si="20"/>
        <v>Non-PDL</v>
      </c>
      <c r="G702" s="1" cm="1">
        <f t="array" ref="G702">FuzzyPercent(D702,E702,1)</f>
        <v>0.1428571492433548</v>
      </c>
      <c r="H702" t="str">
        <f t="shared" si="21"/>
        <v/>
      </c>
    </row>
    <row r="703" spans="1:8" x14ac:dyDescent="0.2">
      <c r="A703" t="s">
        <v>1386</v>
      </c>
      <c r="B703" t="s">
        <v>0</v>
      </c>
      <c r="D703" t="s">
        <v>2817</v>
      </c>
      <c r="E703" t="str" cm="1">
        <f t="array" ref="E703">IF(COUNTIF(A:A, "*" &amp; LEFT(D703, FIND(" ", D703 &amp; " ") - 1) &amp; "*") &gt; 0,INDEX(A:A,FuzzyVLookup(D703,A:A,0,,,1)),"Non-PDL")</f>
        <v>teriflunomide</v>
      </c>
      <c r="F703" t="str">
        <f t="shared" si="20"/>
        <v>Preferred</v>
      </c>
      <c r="G703" s="1" cm="1">
        <f t="array" ref="G703">FuzzyPercent(D703,E703,1)</f>
        <v>1</v>
      </c>
      <c r="H703" t="str">
        <f t="shared" si="21"/>
        <v/>
      </c>
    </row>
    <row r="704" spans="1:8" x14ac:dyDescent="0.2">
      <c r="A704" t="s">
        <v>1388</v>
      </c>
      <c r="B704" t="s">
        <v>0</v>
      </c>
      <c r="D704" t="s">
        <v>2818</v>
      </c>
      <c r="E704" t="str" cm="1">
        <f t="array" ref="E704">IF(COUNTIF(A:A, "*" &amp; LEFT(D704, FIND(" ", D704 &amp; " ") - 1) &amp; "*") &gt; 0,INDEX(A:A,FuzzyVLookup(D704,A:A,0,,,1)),"Non-PDL")</f>
        <v>teriparatide</v>
      </c>
      <c r="F704" t="str">
        <f t="shared" si="20"/>
        <v>Non-Preferred</v>
      </c>
      <c r="G704" s="1" cm="1">
        <f t="array" ref="G704">FuzzyPercent(D704,E704,1)</f>
        <v>1</v>
      </c>
      <c r="H704" t="str">
        <f t="shared" si="21"/>
        <v/>
      </c>
    </row>
    <row r="705" spans="1:8" x14ac:dyDescent="0.2">
      <c r="A705" t="s">
        <v>1390</v>
      </c>
      <c r="B705" t="s">
        <v>0</v>
      </c>
      <c r="D705" t="s">
        <v>2819</v>
      </c>
      <c r="E705" t="str" cm="1">
        <f t="array" ref="E705">IF(COUNTIF(A:A, "*" &amp; LEFT(D705, FIND(" ", D705 &amp; " ") - 1) &amp; "*") &gt; 0,INDEX(A:A,FuzzyVLookup(D705,A:A,0,,,1)),"Non-PDL")</f>
        <v>tetrabenazine</v>
      </c>
      <c r="F705" t="str">
        <f t="shared" si="20"/>
        <v>Preferred</v>
      </c>
      <c r="G705" s="1" cm="1">
        <f t="array" ref="G705">FuzzyPercent(D705,E705,1)</f>
        <v>1</v>
      </c>
      <c r="H705" t="str">
        <f t="shared" si="21"/>
        <v/>
      </c>
    </row>
    <row r="706" spans="1:8" x14ac:dyDescent="0.2">
      <c r="A706" t="s">
        <v>1392</v>
      </c>
      <c r="B706" t="s">
        <v>0</v>
      </c>
      <c r="D706" t="s">
        <v>2820</v>
      </c>
      <c r="E706" t="str" cm="1">
        <f t="array" ref="E706">IF(COUNTIF(A:A, "*" &amp; LEFT(D706, FIND(" ", D706 &amp; " ") - 1) &amp; "*") &gt; 0,INDEX(A:A,FuzzyVLookup(D706,A:A,0,,,1)),"Non-PDL")</f>
        <v>trospium</v>
      </c>
      <c r="F706" t="str">
        <f t="shared" si="20"/>
        <v>Non-Preferred</v>
      </c>
      <c r="G706" s="1" cm="1">
        <f t="array" ref="G706">FuzzyPercent(D706,E706,1)</f>
        <v>0.5</v>
      </c>
      <c r="H706" t="str">
        <f t="shared" si="21"/>
        <v/>
      </c>
    </row>
    <row r="707" spans="1:8" x14ac:dyDescent="0.2">
      <c r="A707" t="s">
        <v>1394</v>
      </c>
      <c r="B707" t="s">
        <v>0</v>
      </c>
      <c r="D707" t="s">
        <v>2821</v>
      </c>
      <c r="E707" t="str" cm="1">
        <f t="array" ref="E707">IF(COUNTIF(A:A, "*" &amp; LEFT(D707, FIND(" ", D707 &amp; " ") - 1) &amp; "*") &gt; 0,INDEX(A:A,FuzzyVLookup(D707,A:A,0,,,1)),"Non-PDL")</f>
        <v>Non-PDL</v>
      </c>
      <c r="F707" t="str">
        <f t="shared" ref="F707:F770" si="22">_xlfn.IFNA(_xlfn.XLOOKUP(E707,A:A,B:B),"Non-PDL")</f>
        <v>Non-PDL</v>
      </c>
      <c r="G707" s="1" cm="1">
        <f t="array" ref="G707">FuzzyPercent(D707,E707,1)</f>
        <v>7.6923079788684845E-2</v>
      </c>
      <c r="H707" t="str">
        <f t="shared" ref="H707:H770" si="23">IF(F707="Non-PDL","",IF(G707&lt;0.4,"CHECK",""))</f>
        <v/>
      </c>
    </row>
    <row r="708" spans="1:8" x14ac:dyDescent="0.2">
      <c r="A708" t="s">
        <v>1396</v>
      </c>
      <c r="B708" t="s">
        <v>0</v>
      </c>
      <c r="D708" t="s">
        <v>2822</v>
      </c>
      <c r="E708" t="str" cm="1">
        <f t="array" ref="E708">IF(COUNTIF(A:A, "*" &amp; LEFT(D708, FIND(" ", D708 &amp; " ") - 1) &amp; "*") &gt; 0,INDEX(A:A,FuzzyVLookup(D708,A:A,0,,,1)),"Non-PDL")</f>
        <v>Non-PDL</v>
      </c>
      <c r="F708" t="str">
        <f t="shared" si="22"/>
        <v>Non-PDL</v>
      </c>
      <c r="G708" s="1" cm="1">
        <f t="array" ref="G708">FuzzyPercent(D708,E708,1)</f>
        <v>7.6923079788684845E-2</v>
      </c>
      <c r="H708" t="str">
        <f t="shared" si="23"/>
        <v/>
      </c>
    </row>
    <row r="709" spans="1:8" x14ac:dyDescent="0.2">
      <c r="A709" t="s">
        <v>1398</v>
      </c>
      <c r="B709" t="s">
        <v>0</v>
      </c>
      <c r="D709" t="s">
        <v>2823</v>
      </c>
      <c r="E709" t="str" cm="1">
        <f t="array" ref="E709">IF(COUNTIF(A:A, "*" &amp; LEFT(D709, FIND(" ", D709 &amp; " ") - 1) &amp; "*") &gt; 0,INDEX(A:A,FuzzyVLookup(D709,A:A,0,,,1)),"Non-PDL")</f>
        <v>Non-PDL</v>
      </c>
      <c r="F709" t="str">
        <f t="shared" si="22"/>
        <v>Non-PDL</v>
      </c>
      <c r="G709" s="1" cm="1">
        <f t="array" ref="G709">FuzzyPercent(D709,E709,1)</f>
        <v>0</v>
      </c>
      <c r="H709" t="str">
        <f t="shared" si="23"/>
        <v/>
      </c>
    </row>
    <row r="710" spans="1:8" x14ac:dyDescent="0.2">
      <c r="A710" t="s">
        <v>1400</v>
      </c>
      <c r="B710" t="s">
        <v>0</v>
      </c>
      <c r="D710" t="s">
        <v>2824</v>
      </c>
      <c r="E710" t="str" cm="1">
        <f t="array" ref="E710">IF(COUNTIF(A:A, "*" &amp; LEFT(D710, FIND(" ", D710 &amp; " ") - 1) &amp; "*") &gt; 0,INDEX(A:A,FuzzyVLookup(D710,A:A,0,,,1)),"Non-PDL")</f>
        <v>TOBI PODHALER (tobramycin)</v>
      </c>
      <c r="F710" t="str">
        <f t="shared" si="22"/>
        <v>Non-Preferred</v>
      </c>
      <c r="G710" s="1" cm="1">
        <f t="array" ref="G710">FuzzyPercent(D710,E710,1)</f>
        <v>0.66666668653488159</v>
      </c>
      <c r="H710" t="str">
        <f t="shared" si="23"/>
        <v/>
      </c>
    </row>
    <row r="711" spans="1:8" x14ac:dyDescent="0.2">
      <c r="A711" t="s">
        <v>1402</v>
      </c>
      <c r="B711" t="s">
        <v>0</v>
      </c>
      <c r="D711" t="s">
        <v>2825</v>
      </c>
      <c r="E711" t="str" cm="1">
        <f t="array" ref="E711">IF(COUNTIF(A:A, "*" &amp; LEFT(D711, FIND(" ", D711 &amp; " ") - 1) &amp; "*") &gt; 0,INDEX(A:A,FuzzyVLookup(D711,A:A,0,,,1)),"Non-PDL")</f>
        <v>topiramate</v>
      </c>
      <c r="F711" t="str">
        <f t="shared" si="22"/>
        <v>Preferred</v>
      </c>
      <c r="G711" s="1" cm="1">
        <f t="array" ref="G711">FuzzyPercent(D711,E711,1)</f>
        <v>0.4285714328289032</v>
      </c>
      <c r="H711" t="str">
        <f t="shared" si="23"/>
        <v/>
      </c>
    </row>
    <row r="712" spans="1:8" x14ac:dyDescent="0.2">
      <c r="A712" t="s">
        <v>1404</v>
      </c>
      <c r="B712" t="s">
        <v>0</v>
      </c>
      <c r="D712" t="s">
        <v>2826</v>
      </c>
      <c r="E712" t="str" cm="1">
        <f t="array" ref="E712">IF(COUNTIF(A:A, "*" &amp; LEFT(D712, FIND(" ", D712 &amp; " ") - 1) &amp; "*") &gt; 0,INDEX(A:A,FuzzyVLookup(D712,A:A,0,,,1)),"Non-PDL")</f>
        <v>TOBRADEX ST (tobramycin/dexamethasone)</v>
      </c>
      <c r="F712" t="str">
        <f t="shared" si="22"/>
        <v>Non-Preferred</v>
      </c>
      <c r="G712" s="1" cm="1">
        <f t="array" ref="G712">FuzzyPercent(D712,E712,1)</f>
        <v>0.40845069289207458</v>
      </c>
      <c r="H712" t="str">
        <f t="shared" si="23"/>
        <v/>
      </c>
    </row>
    <row r="713" spans="1:8" x14ac:dyDescent="0.2">
      <c r="A713" t="s">
        <v>1406</v>
      </c>
      <c r="B713" t="s">
        <v>0</v>
      </c>
      <c r="D713" t="s">
        <v>2827</v>
      </c>
      <c r="E713" t="str" cm="1">
        <f t="array" ref="E713">IF(COUNTIF(A:A, "*" &amp; LEFT(D713, FIND(" ", D713 &amp; " ") - 1) &amp; "*") &gt; 0,INDEX(A:A,FuzzyVLookup(D713,A:A,0,,,1)),"Non-PDL")</f>
        <v>tobramycin</v>
      </c>
      <c r="F713" t="str">
        <f t="shared" si="22"/>
        <v>Preferred</v>
      </c>
      <c r="G713" s="1" cm="1">
        <f t="array" ref="G713">FuzzyPercent(D713,E713,1)</f>
        <v>1</v>
      </c>
      <c r="H713" t="str">
        <f t="shared" si="23"/>
        <v/>
      </c>
    </row>
    <row r="714" spans="1:8" x14ac:dyDescent="0.2">
      <c r="A714" t="s">
        <v>1408</v>
      </c>
      <c r="B714" t="s">
        <v>0</v>
      </c>
      <c r="D714" t="s">
        <v>2828</v>
      </c>
      <c r="E714" t="str" cm="1">
        <f t="array" ref="E714">IF(COUNTIF(A:A, "*" &amp; LEFT(D714, FIND(" ", D714 &amp; " ") - 1) &amp; "*") &gt; 0,INDEX(A:A,FuzzyVLookup(D714,A:A,0,,,1)),"Non-PDL")</f>
        <v>topiramate sprinkle</v>
      </c>
      <c r="F714" t="str">
        <f t="shared" si="22"/>
        <v>Preferred</v>
      </c>
      <c r="G714" s="1" cm="1">
        <f t="array" ref="G714">FuzzyPercent(D714,E714,1)</f>
        <v>0.54285717010498047</v>
      </c>
      <c r="H714" t="str">
        <f t="shared" si="23"/>
        <v/>
      </c>
    </row>
    <row r="715" spans="1:8" x14ac:dyDescent="0.2">
      <c r="A715" t="s">
        <v>1410</v>
      </c>
      <c r="B715" t="s">
        <v>0</v>
      </c>
      <c r="D715" t="s">
        <v>2829</v>
      </c>
      <c r="E715" t="str" cm="1">
        <f t="array" ref="E715">IF(COUNTIF(A:A, "*" &amp; LEFT(D715, FIND(" ", D715 &amp; " ") - 1) &amp; "*") &gt; 0,INDEX(A:A,FuzzyVLookup(D715,A:A,0,,,1)),"Non-PDL")</f>
        <v>topiramate</v>
      </c>
      <c r="F715" t="str">
        <f t="shared" si="22"/>
        <v>Preferred</v>
      </c>
      <c r="G715" s="1" cm="1">
        <f t="array" ref="G715">FuzzyPercent(D715,E715,1)</f>
        <v>1</v>
      </c>
      <c r="H715" t="str">
        <f t="shared" si="23"/>
        <v/>
      </c>
    </row>
    <row r="716" spans="1:8" x14ac:dyDescent="0.2">
      <c r="A716" t="s">
        <v>1412</v>
      </c>
      <c r="B716" t="s">
        <v>0</v>
      </c>
      <c r="D716" t="s">
        <v>2830</v>
      </c>
      <c r="E716" t="str" cm="1">
        <f t="array" ref="E716">IF(COUNTIF(A:A, "*" &amp; LEFT(D716, FIND(" ", D716 &amp; " ") - 1) &amp; "*") &gt; 0,INDEX(A:A,FuzzyVLookup(D716,A:A,0,,,1)),"Non-PDL")</f>
        <v>Non-PDL</v>
      </c>
      <c r="F716" t="str">
        <f t="shared" si="22"/>
        <v>Non-PDL</v>
      </c>
      <c r="G716" s="1" cm="1">
        <f t="array" ref="G716">FuzzyPercent(D716,E716,1)</f>
        <v>0.2222222238779068</v>
      </c>
      <c r="H716" t="str">
        <f t="shared" si="23"/>
        <v/>
      </c>
    </row>
    <row r="717" spans="1:8" x14ac:dyDescent="0.2">
      <c r="A717" t="s">
        <v>1414</v>
      </c>
      <c r="B717" t="s">
        <v>0</v>
      </c>
      <c r="D717" t="s">
        <v>2831</v>
      </c>
      <c r="E717" t="str" cm="1">
        <f t="array" ref="E717">IF(COUNTIF(A:A, "*" &amp; LEFT(D717, FIND(" ", D717 &amp; " ") - 1) &amp; "*") &gt; 0,INDEX(A:A,FuzzyVLookup(D717,A:A,0,,,1)),"Non-PDL")</f>
        <v>TOUJEO MAX (insulin glargine)</v>
      </c>
      <c r="F717" t="str">
        <f t="shared" si="22"/>
        <v>Preferred</v>
      </c>
      <c r="G717" s="1" cm="1">
        <f t="array" ref="G717">FuzzyPercent(D717,E717,1)</f>
        <v>0.5625</v>
      </c>
      <c r="H717" t="str">
        <f t="shared" si="23"/>
        <v/>
      </c>
    </row>
    <row r="718" spans="1:8" x14ac:dyDescent="0.2">
      <c r="A718" t="s">
        <v>1416</v>
      </c>
      <c r="B718" t="s">
        <v>0</v>
      </c>
      <c r="D718" t="s">
        <v>2832</v>
      </c>
      <c r="E718" t="str" cm="1">
        <f t="array" ref="E718">IF(COUNTIF(A:A, "*" &amp; LEFT(D718, FIND(" ", D718 &amp; " ") - 1) &amp; "*") &gt; 0,INDEX(A:A,FuzzyVLookup(D718,A:A,0,,,1)),"Non-PDL")</f>
        <v>TOUJEO (insulin glargine)</v>
      </c>
      <c r="F718" t="str">
        <f t="shared" si="22"/>
        <v>Preferred</v>
      </c>
      <c r="G718" s="1" cm="1">
        <f t="array" ref="G718">FuzzyPercent(D718,E718,1)</f>
        <v>0.47499999403953552</v>
      </c>
      <c r="H718" t="str">
        <f t="shared" si="23"/>
        <v/>
      </c>
    </row>
    <row r="719" spans="1:8" x14ac:dyDescent="0.2">
      <c r="A719" t="s">
        <v>1418</v>
      </c>
      <c r="B719" t="s">
        <v>0</v>
      </c>
      <c r="D719" t="s">
        <v>2833</v>
      </c>
      <c r="E719" t="str" cm="1">
        <f t="array" ref="E719">IF(COUNTIF(A:A, "*" &amp; LEFT(D719, FIND(" ", D719 &amp; " ") - 1) &amp; "*") &gt; 0,INDEX(A:A,FuzzyVLookup(D719,A:A,0,,,1)),"Non-PDL")</f>
        <v>TRACLEER (bosentan)</v>
      </c>
      <c r="F719" t="str">
        <f t="shared" si="22"/>
        <v>Non-Preferred</v>
      </c>
      <c r="G719" s="1" cm="1">
        <f t="array" ref="G719">FuzzyPercent(D719,E719,1)</f>
        <v>0.59259259700775146</v>
      </c>
      <c r="H719" t="str">
        <f t="shared" si="23"/>
        <v/>
      </c>
    </row>
    <row r="720" spans="1:8" x14ac:dyDescent="0.2">
      <c r="A720" t="s">
        <v>1420</v>
      </c>
      <c r="B720" t="s">
        <v>0</v>
      </c>
      <c r="D720" t="s">
        <v>2834</v>
      </c>
      <c r="E720" t="str" cm="1">
        <f t="array" ref="E720">IF(COUNTIF(A:A, "*" &amp; LEFT(D720, FIND(" ", D720 &amp; " ") - 1) &amp; "*") &gt; 0,INDEX(A:A,FuzzyVLookup(D720,A:A,0,,,1)),"Non-PDL")</f>
        <v>TRUVADA (emtricitabine/tenofovir)</v>
      </c>
      <c r="F720" t="str">
        <f t="shared" si="22"/>
        <v>Preferred</v>
      </c>
      <c r="G720" s="1" cm="1">
        <f t="array" ref="G720">FuzzyPercent(D720,E720,1)</f>
        <v>0.37142857909202576</v>
      </c>
      <c r="H720" t="str">
        <f t="shared" si="23"/>
        <v>CHECK</v>
      </c>
    </row>
    <row r="721" spans="1:8" x14ac:dyDescent="0.2">
      <c r="A721" t="s">
        <v>1422</v>
      </c>
      <c r="B721" t="s">
        <v>0</v>
      </c>
      <c r="D721" t="s">
        <v>2835</v>
      </c>
      <c r="E721" t="str" cm="1">
        <f t="array" ref="E721">IF(COUNTIF(A:A, "*" &amp; LEFT(D721, FIND(" ", D721 &amp; " ") - 1) &amp; "*") &gt; 0,INDEX(A:A,FuzzyVLookup(D721,A:A,0,,,1)),"Non-PDL")</f>
        <v>trandolapril</v>
      </c>
      <c r="F721" t="str">
        <f t="shared" si="22"/>
        <v>Preferred</v>
      </c>
      <c r="G721" s="1" cm="1">
        <f t="array" ref="G721">FuzzyPercent(D721,E721,1)</f>
        <v>1</v>
      </c>
      <c r="H721" t="str">
        <f t="shared" si="23"/>
        <v/>
      </c>
    </row>
    <row r="722" spans="1:8" x14ac:dyDescent="0.2">
      <c r="A722" t="s">
        <v>1424</v>
      </c>
      <c r="B722" t="s">
        <v>0</v>
      </c>
      <c r="D722" t="s">
        <v>2836</v>
      </c>
      <c r="E722" t="str" cm="1">
        <f t="array" ref="E722">IF(COUNTIF(A:A, "*" &amp; LEFT(D722, FIND(" ", D722 &amp; " ") - 1) &amp; "*") &gt; 0,INDEX(A:A,FuzzyVLookup(D722,A:A,0,,,1)),"Non-PDL")</f>
        <v>ARNUITY ELLIPTA (fluticasone)</v>
      </c>
      <c r="F722" t="str">
        <f t="shared" si="22"/>
        <v>Non-Preferred</v>
      </c>
      <c r="G722" s="1" cm="1">
        <f t="array" ref="G722">FuzzyPercent(D722,E722,1)</f>
        <v>0.45454546809196472</v>
      </c>
      <c r="H722" t="str">
        <f t="shared" si="23"/>
        <v/>
      </c>
    </row>
    <row r="723" spans="1:8" x14ac:dyDescent="0.2">
      <c r="A723" t="s">
        <v>1426</v>
      </c>
      <c r="B723" t="s">
        <v>0</v>
      </c>
      <c r="D723" t="s">
        <v>2837</v>
      </c>
      <c r="E723" t="str" cm="1">
        <f t="array" ref="E723">IF(COUNTIF(A:A, "*" &amp; LEFT(D723, FIND(" ", D723 &amp; " ") - 1) &amp; "*") &gt; 0,INDEX(A:A,FuzzyVLookup(D723,A:A,0,,,1)),"Non-PDL")</f>
        <v>TRESIBA (insulin degludec)</v>
      </c>
      <c r="F723" t="str">
        <f t="shared" si="22"/>
        <v>Non-Preferred</v>
      </c>
      <c r="G723" s="1" cm="1">
        <f t="array" ref="G723">FuzzyPercent(D723,E723,1)</f>
        <v>0.5</v>
      </c>
      <c r="H723" t="str">
        <f t="shared" si="23"/>
        <v/>
      </c>
    </row>
    <row r="724" spans="1:8" x14ac:dyDescent="0.2">
      <c r="A724" t="s">
        <v>1428</v>
      </c>
      <c r="B724" t="s">
        <v>0</v>
      </c>
      <c r="D724" t="s">
        <v>2838</v>
      </c>
      <c r="E724" t="str" cm="1">
        <f t="array" ref="E724">IF(COUNTIF(A:A, "*" &amp; LEFT(D724, FIND(" ", D724 &amp; " ") - 1) &amp; "*") &gt; 0,INDEX(A:A,FuzzyVLookup(D724,A:A,0,,,1)),"Non-PDL")</f>
        <v>TRESIBA (insulin degludec)</v>
      </c>
      <c r="F724" t="str">
        <f t="shared" si="22"/>
        <v>Non-Preferred</v>
      </c>
      <c r="G724" s="1" cm="1">
        <f t="array" ref="G724">FuzzyPercent(D724,E724,1)</f>
        <v>0.37999999523162842</v>
      </c>
      <c r="H724" t="str">
        <f t="shared" si="23"/>
        <v>CHECK</v>
      </c>
    </row>
    <row r="725" spans="1:8" x14ac:dyDescent="0.2">
      <c r="A725" t="s">
        <v>1430</v>
      </c>
      <c r="B725" t="s">
        <v>0</v>
      </c>
      <c r="D725" t="s">
        <v>2839</v>
      </c>
      <c r="E725" t="str" cm="1">
        <f t="array" ref="E725">IF(COUNTIF(A:A, "*" &amp; LEFT(D725, FIND(" ", D725 &amp; " ") - 1) &amp; "*") &gt; 0,INDEX(A:A,FuzzyVLookup(D725,A:A,0,,,1)),"Non-PDL")</f>
        <v>TRESIBA (insulin degludec)</v>
      </c>
      <c r="F725" t="str">
        <f t="shared" si="22"/>
        <v>Non-Preferred</v>
      </c>
      <c r="G725" s="1" cm="1">
        <f t="array" ref="G725">FuzzyPercent(D725,E725,1)</f>
        <v>0.37999999523162842</v>
      </c>
      <c r="H725" t="str">
        <f t="shared" si="23"/>
        <v>CHECK</v>
      </c>
    </row>
    <row r="726" spans="1:8" x14ac:dyDescent="0.2">
      <c r="A726" t="s">
        <v>1432</v>
      </c>
      <c r="B726" t="s">
        <v>0</v>
      </c>
      <c r="D726" t="s">
        <v>2840</v>
      </c>
      <c r="E726" t="str" cm="1">
        <f t="array" ref="E726">IF(COUNTIF(A:A, "*" &amp; LEFT(D726, FIND(" ", D726 &amp; " ") - 1) &amp; "*") &gt; 0,INDEX(A:A,FuzzyVLookup(D726,A:A,0,,,1)),"Non-PDL")</f>
        <v>tretinoin gel</v>
      </c>
      <c r="F726" t="str">
        <f t="shared" si="22"/>
        <v>Non-Preferred</v>
      </c>
      <c r="G726" s="1" cm="1">
        <f t="array" ref="G726">FuzzyPercent(D726,E726,1)</f>
        <v>0.5</v>
      </c>
      <c r="H726" t="str">
        <f t="shared" si="23"/>
        <v/>
      </c>
    </row>
    <row r="727" spans="1:8" x14ac:dyDescent="0.2">
      <c r="A727" t="s">
        <v>1434</v>
      </c>
      <c r="B727" t="s">
        <v>0</v>
      </c>
      <c r="D727" t="s">
        <v>2841</v>
      </c>
      <c r="E727" t="str" cm="1">
        <f t="array" ref="E727">IF(COUNTIF(A:A, "*" &amp; LEFT(D727, FIND(" ", D727 &amp; " ") - 1) &amp; "*") &gt; 0,INDEX(A:A,FuzzyVLookup(D727,A:A,0,,,1)),"Non-PDL")</f>
        <v>TRINTELLIX (vortioxetine)</v>
      </c>
      <c r="F727" t="str">
        <f t="shared" si="22"/>
        <v>Preferred</v>
      </c>
      <c r="G727" s="1" cm="1">
        <f t="array" ref="G727">FuzzyPercent(D727,E727,1)</f>
        <v>0.57142859697341919</v>
      </c>
      <c r="H727" t="str">
        <f t="shared" si="23"/>
        <v/>
      </c>
    </row>
    <row r="728" spans="1:8" x14ac:dyDescent="0.2">
      <c r="A728" t="s">
        <v>1436</v>
      </c>
      <c r="B728" t="s">
        <v>0</v>
      </c>
      <c r="D728" t="s">
        <v>2842</v>
      </c>
      <c r="E728" t="str" cm="1">
        <f t="array" ref="E728">IF(COUNTIF(A:A, "*" &amp; LEFT(D728, FIND(" ", D728 &amp; " ") - 1) &amp; "*") &gt; 0,INDEX(A:A,FuzzyVLookup(D728,A:A,0,,,1)),"Non-PDL")</f>
        <v>Non-PDL</v>
      </c>
      <c r="F728" t="str">
        <f t="shared" si="22"/>
        <v>Non-PDL</v>
      </c>
      <c r="G728" s="1" cm="1">
        <f t="array" ref="G728">FuzzyPercent(D728,E728,1)</f>
        <v>0.1111111119389534</v>
      </c>
      <c r="H728" t="str">
        <f t="shared" si="23"/>
        <v/>
      </c>
    </row>
    <row r="729" spans="1:8" x14ac:dyDescent="0.2">
      <c r="A729" t="s">
        <v>1438</v>
      </c>
      <c r="B729" t="s">
        <v>0</v>
      </c>
      <c r="D729" t="s">
        <v>2843</v>
      </c>
      <c r="E729" t="str" cm="1">
        <f t="array" ref="E729">IF(COUNTIF(A:A, "*" &amp; LEFT(D729, FIND(" ", D729 &amp; " ") - 1) &amp; "*") &gt; 0,INDEX(A:A,FuzzyVLookup(D729,A:A,0,,,1)),"Non-PDL")</f>
        <v>TRICARE</v>
      </c>
      <c r="F729" t="str">
        <f t="shared" si="22"/>
        <v>Preferred</v>
      </c>
      <c r="G729" s="1" cm="1">
        <f t="array" ref="G729">FuzzyPercent(D729,E729,1)</f>
        <v>0.57142859697341919</v>
      </c>
      <c r="H729" t="str">
        <f t="shared" si="23"/>
        <v/>
      </c>
    </row>
    <row r="730" spans="1:8" x14ac:dyDescent="0.2">
      <c r="A730" t="s">
        <v>1440</v>
      </c>
      <c r="B730" t="s">
        <v>0</v>
      </c>
      <c r="D730" t="s">
        <v>2844</v>
      </c>
      <c r="E730" t="str" cm="1">
        <f t="array" ref="E730">IF(COUNTIF(A:A, "*" &amp; LEFT(D730, FIND(" ", D730 &amp; " ") - 1) &amp; "*") &gt; 0,INDEX(A:A,FuzzyVLookup(D730,A:A,0,,,1)),"Non-PDL")</f>
        <v>Non-PDL</v>
      </c>
      <c r="F730" t="str">
        <f t="shared" si="22"/>
        <v>Non-PDL</v>
      </c>
      <c r="G730" s="1" cm="1">
        <f t="array" ref="G730">FuzzyPercent(D730,E730,1)</f>
        <v>0.125</v>
      </c>
      <c r="H730" t="str">
        <f t="shared" si="23"/>
        <v/>
      </c>
    </row>
    <row r="731" spans="1:8" x14ac:dyDescent="0.2">
      <c r="A731" t="s">
        <v>1442</v>
      </c>
      <c r="B731" t="s">
        <v>0</v>
      </c>
      <c r="D731" t="s">
        <v>2845</v>
      </c>
      <c r="E731" t="str" cm="1">
        <f t="array" ref="E731">IF(COUNTIF(A:A, "*" &amp; LEFT(D731, FIND(" ", D731 &amp; " ") - 1) &amp; "*") &gt; 0,INDEX(A:A,FuzzyVLookup(D731,A:A,0,,,1)),"Non-PDL")</f>
        <v>TROKENDI XR (topiramate)</v>
      </c>
      <c r="F731" t="str">
        <f t="shared" si="22"/>
        <v>Non-Preferred</v>
      </c>
      <c r="G731" s="1" cm="1">
        <f t="array" ref="G731">FuzzyPercent(D731,E731,1)</f>
        <v>0.56521737575531006</v>
      </c>
      <c r="H731" t="str">
        <f t="shared" si="23"/>
        <v/>
      </c>
    </row>
    <row r="732" spans="1:8" x14ac:dyDescent="0.2">
      <c r="A732" t="s">
        <v>1444</v>
      </c>
      <c r="B732" t="s">
        <v>0</v>
      </c>
      <c r="D732" t="s">
        <v>2846</v>
      </c>
      <c r="E732" t="str" cm="1">
        <f t="array" ref="E732">IF(COUNTIF(A:A, "*" &amp; LEFT(D732, FIND(" ", D732 &amp; " ") - 1) &amp; "*") &gt; 0,INDEX(A:A,FuzzyVLookup(D732,A:A,0,,,1)),"Non-PDL")</f>
        <v>Non-PDL</v>
      </c>
      <c r="F732" t="str">
        <f t="shared" si="22"/>
        <v>Non-PDL</v>
      </c>
      <c r="G732" s="1" cm="1">
        <f t="array" ref="G732">FuzzyPercent(D732,E732,1)</f>
        <v>0.125</v>
      </c>
      <c r="H732" t="str">
        <f t="shared" si="23"/>
        <v/>
      </c>
    </row>
    <row r="733" spans="1:8" x14ac:dyDescent="0.2">
      <c r="A733" t="s">
        <v>1446</v>
      </c>
      <c r="B733" t="s">
        <v>0</v>
      </c>
      <c r="D733" t="s">
        <v>2847</v>
      </c>
      <c r="E733" t="str" cm="1">
        <f t="array" ref="E733">IF(COUNTIF(A:A, "*" &amp; LEFT(D733, FIND(" ", D733 &amp; " ") - 1) &amp; "*") &gt; 0,INDEX(A:A,FuzzyVLookup(D733,A:A,0,,,1)),"Non-PDL")</f>
        <v>TRULICITY (dulaglutide)</v>
      </c>
      <c r="F733" t="str">
        <f t="shared" si="22"/>
        <v>Preferred</v>
      </c>
      <c r="G733" s="1" cm="1">
        <f t="array" ref="G733">FuzzyPercent(D733,E733,1)</f>
        <v>0.5625</v>
      </c>
      <c r="H733" t="str">
        <f t="shared" si="23"/>
        <v/>
      </c>
    </row>
    <row r="734" spans="1:8" x14ac:dyDescent="0.2">
      <c r="A734" t="s">
        <v>1448</v>
      </c>
      <c r="B734" t="s">
        <v>0</v>
      </c>
      <c r="D734" t="s">
        <v>2848</v>
      </c>
      <c r="E734" t="str" cm="1">
        <f t="array" ref="E734">IF(COUNTIF(A:A, "*" &amp; LEFT(D734, FIND(" ", D734 &amp; " ") - 1) &amp; "*") &gt; 0,INDEX(A:A,FuzzyVLookup(D734,A:A,0,,,1)),"Non-PDL")</f>
        <v>TRICARE</v>
      </c>
      <c r="F734" t="str">
        <f t="shared" si="22"/>
        <v>Preferred</v>
      </c>
      <c r="G734" s="1" cm="1">
        <f t="array" ref="G734">FuzzyPercent(D734,E734,1)</f>
        <v>0.46153846383094788</v>
      </c>
      <c r="H734" t="str">
        <f t="shared" si="23"/>
        <v/>
      </c>
    </row>
    <row r="735" spans="1:8" x14ac:dyDescent="0.2">
      <c r="A735" t="s">
        <v>1450</v>
      </c>
      <c r="B735" t="s">
        <v>0</v>
      </c>
      <c r="D735" t="s">
        <v>2849</v>
      </c>
      <c r="E735" t="str" cm="1">
        <f t="array" ref="E735">IF(COUNTIF(A:A, "*" &amp; LEFT(D735, FIND(" ", D735 &amp; " ") - 1) &amp; "*") &gt; 0,INDEX(A:A,FuzzyVLookup(D735,A:A,0,,,1)),"Non-PDL")</f>
        <v>tramadol ER</v>
      </c>
      <c r="F735" t="str">
        <f t="shared" si="22"/>
        <v>Non-Preferred</v>
      </c>
      <c r="G735" s="1" cm="1">
        <f t="array" ref="G735">FuzzyPercent(D735,E735,1)</f>
        <v>0.4444444477558136</v>
      </c>
      <c r="H735" t="str">
        <f t="shared" si="23"/>
        <v/>
      </c>
    </row>
    <row r="736" spans="1:8" x14ac:dyDescent="0.2">
      <c r="A736" t="s">
        <v>1452</v>
      </c>
      <c r="B736" t="s">
        <v>0</v>
      </c>
      <c r="D736" t="s">
        <v>2850</v>
      </c>
      <c r="E736" t="str" cm="1">
        <f t="array" ref="E736">IF(COUNTIF(A:A, "*" &amp; LEFT(D736, FIND(" ", D736 &amp; " ") - 1) &amp; "*") &gt; 0,INDEX(A:A,FuzzyVLookup(D736,A:A,0,,,1)),"Non-PDL")</f>
        <v>Non-PDL</v>
      </c>
      <c r="F736" t="str">
        <f t="shared" si="22"/>
        <v>Non-PDL</v>
      </c>
      <c r="G736" s="1" cm="1">
        <f t="array" ref="G736">FuzzyPercent(D736,E736,1)</f>
        <v>0</v>
      </c>
      <c r="H736" t="str">
        <f t="shared" si="23"/>
        <v/>
      </c>
    </row>
    <row r="737" spans="1:8" x14ac:dyDescent="0.2">
      <c r="A737" t="s">
        <v>1454</v>
      </c>
      <c r="B737" t="s">
        <v>0</v>
      </c>
      <c r="D737" t="s">
        <v>2851</v>
      </c>
      <c r="E737" t="str" cm="1">
        <f t="array" ref="E737">IF(COUNTIF(A:A, "*" &amp; LEFT(D737, FIND(" ", D737 &amp; " ") - 1) &amp; "*") &gt; 0,INDEX(A:A,FuzzyVLookup(D737,A:A,0,,,1)),"Non-PDL")</f>
        <v>triazolam</v>
      </c>
      <c r="F737" t="str">
        <f t="shared" si="22"/>
        <v>Preferred</v>
      </c>
      <c r="G737" s="1" cm="1">
        <f t="array" ref="G737">FuzzyPercent(D737,E737,1)</f>
        <v>0.46666666865348816</v>
      </c>
      <c r="H737" t="str">
        <f t="shared" si="23"/>
        <v/>
      </c>
    </row>
    <row r="738" spans="1:8" x14ac:dyDescent="0.2">
      <c r="A738" t="s">
        <v>1456</v>
      </c>
      <c r="B738" t="s">
        <v>0</v>
      </c>
      <c r="D738" t="s">
        <v>2852</v>
      </c>
      <c r="E738" t="str" cm="1">
        <f t="array" ref="E738">IF(COUNTIF(A:A, "*" &amp; LEFT(D738, FIND(" ", D738 &amp; " ") - 1) &amp; "*") &gt; 0,INDEX(A:A,FuzzyVLookup(D738,A:A,0,,,1)),"Non-PDL")</f>
        <v>Non-PDL</v>
      </c>
      <c r="F738" t="str">
        <f t="shared" si="22"/>
        <v>Non-PDL</v>
      </c>
      <c r="G738" s="1" cm="1">
        <f t="array" ref="G738">FuzzyPercent(D738,E738,1)</f>
        <v>0.1428571492433548</v>
      </c>
      <c r="H738" t="str">
        <f t="shared" si="23"/>
        <v/>
      </c>
    </row>
    <row r="739" spans="1:8" x14ac:dyDescent="0.2">
      <c r="A739" t="s">
        <v>1458</v>
      </c>
      <c r="B739" t="s">
        <v>0</v>
      </c>
      <c r="D739" t="s">
        <v>2853</v>
      </c>
      <c r="E739" t="str" cm="1">
        <f t="array" ref="E739">IF(COUNTIF(A:A, "*" &amp; LEFT(D739, FIND(" ", D739 &amp; " ") - 1) &amp; "*") &gt; 0,INDEX(A:A,FuzzyVLookup(D739,A:A,0,,,1)),"Non-PDL")</f>
        <v>TYBOST (cobicistat)</v>
      </c>
      <c r="F739" t="str">
        <f t="shared" si="22"/>
        <v>Preferred</v>
      </c>
      <c r="G739" s="1" cm="1">
        <f t="array" ref="G739">FuzzyPercent(D739,E739,1)</f>
        <v>0.47999998927116394</v>
      </c>
      <c r="H739" t="str">
        <f t="shared" si="23"/>
        <v/>
      </c>
    </row>
    <row r="740" spans="1:8" x14ac:dyDescent="0.2">
      <c r="A740" t="s">
        <v>1460</v>
      </c>
      <c r="B740" t="s">
        <v>0</v>
      </c>
      <c r="D740" t="s">
        <v>2854</v>
      </c>
      <c r="E740" t="str" cm="1">
        <f t="array" ref="E740">IF(COUNTIF(A:A, "*" &amp; LEFT(D740, FIND(" ", D740 &amp; " ") - 1) &amp; "*") &gt; 0,INDEX(A:A,FuzzyVLookup(D740,A:A,0,,,1)),"Non-PDL")</f>
        <v>TYSABRI (natalizumab)</v>
      </c>
      <c r="F740" t="str">
        <f t="shared" si="22"/>
        <v>Preferred</v>
      </c>
      <c r="G740" s="1" cm="1">
        <f t="array" ref="G740">FuzzyPercent(D740,E740,1)</f>
        <v>0.5</v>
      </c>
      <c r="H740" t="str">
        <f t="shared" si="23"/>
        <v/>
      </c>
    </row>
    <row r="741" spans="1:8" x14ac:dyDescent="0.2">
      <c r="A741" t="s">
        <v>1462</v>
      </c>
      <c r="B741" t="s">
        <v>0</v>
      </c>
      <c r="D741" t="s">
        <v>2855</v>
      </c>
      <c r="E741" t="str" cm="1">
        <f t="array" ref="E741">IF(COUNTIF(A:A, "*" &amp; LEFT(D741, FIND(" ", D741 &amp; " ") - 1) &amp; "*") &gt; 0,INDEX(A:A,FuzzyVLookup(D741,A:A,0,,,1)),"Non-PDL")</f>
        <v>XELJANZ (tofacitinib) solution</v>
      </c>
      <c r="F741" t="str">
        <f t="shared" si="22"/>
        <v>Non-Preferred</v>
      </c>
      <c r="G741" s="1" cm="1">
        <f t="array" ref="G741">FuzzyPercent(D741,E741,1)</f>
        <v>0.3571428656578064</v>
      </c>
      <c r="H741" t="str">
        <f t="shared" si="23"/>
        <v>CHECK</v>
      </c>
    </row>
    <row r="742" spans="1:8" x14ac:dyDescent="0.2">
      <c r="A742" t="s">
        <v>1464</v>
      </c>
      <c r="B742" t="s">
        <v>0</v>
      </c>
      <c r="D742" t="s">
        <v>2856</v>
      </c>
      <c r="E742" t="str" cm="1">
        <f t="array" ref="E742">IF(COUNTIF(A:A, "*" &amp; LEFT(D742, FIND(" ", D742 &amp; " ") - 1) &amp; "*") &gt; 0,INDEX(A:A,FuzzyVLookup(D742,A:A,0,,,1)),"Non-PDL")</f>
        <v>TYVASO (treprostinil)</v>
      </c>
      <c r="F742" t="str">
        <f t="shared" si="22"/>
        <v>Non-Preferred</v>
      </c>
      <c r="G742" s="1" cm="1">
        <f t="array" ref="G742">FuzzyPercent(D742,E742,1)</f>
        <v>0.48387095332145691</v>
      </c>
      <c r="H742" t="str">
        <f t="shared" si="23"/>
        <v/>
      </c>
    </row>
    <row r="743" spans="1:8" x14ac:dyDescent="0.2">
      <c r="A743" t="s">
        <v>1466</v>
      </c>
      <c r="B743" t="s">
        <v>0</v>
      </c>
      <c r="D743" t="s">
        <v>2857</v>
      </c>
      <c r="E743" t="str" cm="1">
        <f t="array" ref="E743">IF(COUNTIF(A:A, "*" &amp; LEFT(D743, FIND(" ", D743 &amp; " ") - 1) &amp; "*") &gt; 0,INDEX(A:A,FuzzyVLookup(D743,A:A,0,,,1)),"Non-PDL")</f>
        <v>Non-PDL</v>
      </c>
      <c r="F743" t="str">
        <f t="shared" si="22"/>
        <v>Non-PDL</v>
      </c>
      <c r="G743" s="1" cm="1">
        <f t="array" ref="G743">FuzzyPercent(D743,E743,1)</f>
        <v>0.15384615957736969</v>
      </c>
      <c r="H743" t="str">
        <f t="shared" si="23"/>
        <v/>
      </c>
    </row>
    <row r="744" spans="1:8" x14ac:dyDescent="0.2">
      <c r="A744" t="s">
        <v>1468</v>
      </c>
      <c r="B744" t="s">
        <v>0</v>
      </c>
      <c r="D744" t="s">
        <v>2858</v>
      </c>
      <c r="E744" t="str" cm="1">
        <f t="array" ref="E744">IF(COUNTIF(A:A, "*" &amp; LEFT(D744, FIND(" ", D744 &amp; " ") - 1) &amp; "*") &gt; 0,INDEX(A:A,FuzzyVLookup(D744,A:A,0,,,1)),"Non-PDL")</f>
        <v>UBRELVY (Ubrogepant)</v>
      </c>
      <c r="F744" t="str">
        <f t="shared" si="22"/>
        <v>Preferred</v>
      </c>
      <c r="G744" s="1" cm="1">
        <f t="array" ref="G744">FuzzyPercent(D744,E744,1)</f>
        <v>0.51851850748062134</v>
      </c>
      <c r="H744" t="str">
        <f t="shared" si="23"/>
        <v/>
      </c>
    </row>
    <row r="745" spans="1:8" x14ac:dyDescent="0.2">
      <c r="A745" t="s">
        <v>1470</v>
      </c>
      <c r="B745" t="s">
        <v>0</v>
      </c>
      <c r="D745" t="s">
        <v>2859</v>
      </c>
      <c r="E745" t="str" cm="1">
        <f t="array" ref="E745">IF(COUNTIF(A:A, "*" &amp; LEFT(D745, FIND(" ", D745 &amp; " ") - 1) &amp; "*") &gt; 0,INDEX(A:A,FuzzyVLookup(D745,A:A,0,,,1)),"Non-PDL")</f>
        <v>codeine</v>
      </c>
      <c r="F745" t="str">
        <f t="shared" si="22"/>
        <v>Preferred</v>
      </c>
      <c r="G745" s="1" cm="1">
        <f t="array" ref="G745">FuzzyPercent(D745,E745,1)</f>
        <v>0.4285714328289032</v>
      </c>
      <c r="H745" t="str">
        <f t="shared" si="23"/>
        <v/>
      </c>
    </row>
    <row r="746" spans="1:8" x14ac:dyDescent="0.2">
      <c r="A746" t="s">
        <v>1472</v>
      </c>
      <c r="B746" t="s">
        <v>0</v>
      </c>
      <c r="D746" t="s">
        <v>2860</v>
      </c>
      <c r="E746" t="str" cm="1">
        <f t="array" ref="E746">IF(COUNTIF(A:A, "*" &amp; LEFT(D746, FIND(" ", D746 &amp; " ") - 1) &amp; "*") &gt; 0,INDEX(A:A,FuzzyVLookup(D746,A:A,0,,,1)),"Non-PDL")</f>
        <v>Non-PDL</v>
      </c>
      <c r="F746" t="str">
        <f t="shared" si="22"/>
        <v>Non-PDL</v>
      </c>
      <c r="G746" s="1" cm="1">
        <f t="array" ref="G746">FuzzyPercent(D746,E746,1)</f>
        <v>0</v>
      </c>
      <c r="H746" t="str">
        <f t="shared" si="23"/>
        <v/>
      </c>
    </row>
    <row r="747" spans="1:8" x14ac:dyDescent="0.2">
      <c r="A747" t="s">
        <v>1474</v>
      </c>
      <c r="B747" t="s">
        <v>0</v>
      </c>
      <c r="D747" t="s">
        <v>2861</v>
      </c>
      <c r="E747" t="str" cm="1">
        <f t="array" ref="E747">IF(COUNTIF(A:A, "*" &amp; LEFT(D747, FIND(" ", D747 &amp; " ") - 1) &amp; "*") &gt; 0,INDEX(A:A,FuzzyVLookup(D747,A:A,0,,,1)),"Non-PDL")</f>
        <v>Non-PDL</v>
      </c>
      <c r="F747" t="str">
        <f t="shared" si="22"/>
        <v>Non-PDL</v>
      </c>
      <c r="G747" s="1" cm="1">
        <f t="array" ref="G747">FuzzyPercent(D747,E747,1)</f>
        <v>0.28571429848670959</v>
      </c>
      <c r="H747" t="str">
        <f t="shared" si="23"/>
        <v/>
      </c>
    </row>
    <row r="748" spans="1:8" x14ac:dyDescent="0.2">
      <c r="A748" t="s">
        <v>1476</v>
      </c>
      <c r="B748" t="s">
        <v>0</v>
      </c>
      <c r="D748" t="s">
        <v>2862</v>
      </c>
      <c r="E748" t="str" cm="1">
        <f t="array" ref="E748">IF(COUNTIF(A:A, "*" &amp; LEFT(D748, FIND(" ", D748 &amp; " ") - 1) &amp; "*") &gt; 0,INDEX(A:A,FuzzyVLookup(D748,A:A,0,,,1)),"Non-PDL")</f>
        <v>UPTRAVI (selexipag)</v>
      </c>
      <c r="F748" t="str">
        <f t="shared" si="22"/>
        <v>Preferred</v>
      </c>
      <c r="G748" s="1" cm="1">
        <f t="array" ref="G748">FuzzyPercent(D748,E748,1)</f>
        <v>0.57575756311416626</v>
      </c>
      <c r="H748" t="str">
        <f t="shared" si="23"/>
        <v/>
      </c>
    </row>
    <row r="749" spans="1:8" x14ac:dyDescent="0.2">
      <c r="A749" t="s">
        <v>1478</v>
      </c>
      <c r="B749" t="s">
        <v>0</v>
      </c>
      <c r="D749" t="s">
        <v>2863</v>
      </c>
      <c r="E749" t="str" cm="1">
        <f t="array" ref="E749">IF(COUNTIF(A:A, "*" &amp; LEFT(D749, FIND(" ", D749 &amp; " ") - 1) &amp; "*") &gt; 0,INDEX(A:A,FuzzyVLookup(D749,A:A,0,,,1)),"Non-PDL")</f>
        <v>UPTRAVI (selexipag)</v>
      </c>
      <c r="F749" t="str">
        <f t="shared" si="22"/>
        <v>Preferred</v>
      </c>
      <c r="G749" s="1" cm="1">
        <f t="array" ref="G749">FuzzyPercent(D749,E749,1)</f>
        <v>0.58064514398574829</v>
      </c>
      <c r="H749" t="str">
        <f t="shared" si="23"/>
        <v/>
      </c>
    </row>
    <row r="750" spans="1:8" x14ac:dyDescent="0.2">
      <c r="A750" t="s">
        <v>1480</v>
      </c>
      <c r="B750" t="s">
        <v>0</v>
      </c>
      <c r="D750" t="s">
        <v>2864</v>
      </c>
      <c r="E750" t="str" cm="1">
        <f t="array" ref="E750">IF(COUNTIF(A:A, "*" &amp; LEFT(D750, FIND(" ", D750 &amp; " ") - 1) &amp; "*") &gt; 0,INDEX(A:A,FuzzyVLookup(D750,A:A,0,,,1)),"Non-PDL")</f>
        <v>UZEDY (risperidone)</v>
      </c>
      <c r="F750" t="str">
        <f t="shared" si="22"/>
        <v>Preferred</v>
      </c>
      <c r="G750" s="1" cm="1">
        <f t="array" ref="G750">FuzzyPercent(D750,E750,1)</f>
        <v>0.4166666567325592</v>
      </c>
      <c r="H750" t="str">
        <f t="shared" si="23"/>
        <v/>
      </c>
    </row>
    <row r="751" spans="1:8" x14ac:dyDescent="0.2">
      <c r="A751" t="s">
        <v>1482</v>
      </c>
      <c r="B751" t="s">
        <v>0</v>
      </c>
      <c r="D751" t="s">
        <v>2865</v>
      </c>
      <c r="E751" t="str" cm="1">
        <f t="array" ref="E751">IF(COUNTIF(A:A, "*" &amp; LEFT(D751, FIND(" ", D751 &amp; " ") - 1) &amp; "*") &gt; 0,INDEX(A:A,FuzzyVLookup(D751,A:A,0,,,1)),"Non-PDL")</f>
        <v>Non-PDL</v>
      </c>
      <c r="F751" t="str">
        <f t="shared" si="22"/>
        <v>Non-PDL</v>
      </c>
      <c r="G751" s="1" cm="1">
        <f t="array" ref="G751">FuzzyPercent(D751,E751,1)</f>
        <v>0</v>
      </c>
      <c r="H751" t="str">
        <f t="shared" si="23"/>
        <v/>
      </c>
    </row>
    <row r="752" spans="1:8" x14ac:dyDescent="0.2">
      <c r="A752" t="s">
        <v>1484</v>
      </c>
      <c r="B752" t="s">
        <v>0</v>
      </c>
      <c r="D752" t="s">
        <v>2866</v>
      </c>
      <c r="E752" t="str" cm="1">
        <f t="array" ref="E752">IF(COUNTIF(A:A, "*" &amp; LEFT(D752, FIND(" ", D752 &amp; " ") - 1) &amp; "*") &gt; 0,INDEX(A:A,FuzzyVLookup(D752,A:A,0,,,1)),"Non-PDL")</f>
        <v>valsartan tablet</v>
      </c>
      <c r="F752" t="str">
        <f t="shared" si="22"/>
        <v>Preferred</v>
      </c>
      <c r="G752" s="1" cm="1">
        <f t="array" ref="G752">FuzzyPercent(D752,E752,1)</f>
        <v>0.72000002861022949</v>
      </c>
      <c r="H752" t="str">
        <f t="shared" si="23"/>
        <v/>
      </c>
    </row>
    <row r="753" spans="1:8" x14ac:dyDescent="0.2">
      <c r="A753" t="s">
        <v>1486</v>
      </c>
      <c r="B753" t="s">
        <v>0</v>
      </c>
      <c r="D753" t="s">
        <v>2867</v>
      </c>
      <c r="E753" t="str" cm="1">
        <f t="array" ref="E753">IF(COUNTIF(A:A, "*" &amp; LEFT(D753, FIND(" ", D753 &amp; " ") - 1) &amp; "*") &gt; 0,INDEX(A:A,FuzzyVLookup(D753,A:A,0,,,1)),"Non-PDL")</f>
        <v>Non-PDL</v>
      </c>
      <c r="F753" t="str">
        <f t="shared" si="22"/>
        <v>Non-PDL</v>
      </c>
      <c r="G753" s="1" cm="1">
        <f t="array" ref="G753">FuzzyPercent(D753,E753,1)</f>
        <v>0</v>
      </c>
      <c r="H753" t="str">
        <f t="shared" si="23"/>
        <v/>
      </c>
    </row>
    <row r="754" spans="1:8" x14ac:dyDescent="0.2">
      <c r="A754" t="s">
        <v>1313</v>
      </c>
      <c r="B754" t="s">
        <v>0</v>
      </c>
      <c r="D754" t="s">
        <v>2868</v>
      </c>
      <c r="E754" t="str" cm="1">
        <f t="array" ref="E754">IF(COUNTIF(A:A, "*" &amp; LEFT(D754, FIND(" ", D754 &amp; " ") - 1) &amp; "*") &gt; 0,INDEX(A:A,FuzzyVLookup(D754,A:A,0,,,1)),"Non-PDL")</f>
        <v>Non-PDL</v>
      </c>
      <c r="F754" t="str">
        <f t="shared" si="22"/>
        <v>Non-PDL</v>
      </c>
      <c r="G754" s="1" cm="1">
        <f t="array" ref="G754">FuzzyPercent(D754,E754,1)</f>
        <v>0.2222222238779068</v>
      </c>
      <c r="H754" t="str">
        <f t="shared" si="23"/>
        <v/>
      </c>
    </row>
    <row r="755" spans="1:8" x14ac:dyDescent="0.2">
      <c r="A755" t="s">
        <v>1489</v>
      </c>
      <c r="B755" t="s">
        <v>0</v>
      </c>
      <c r="D755" t="s">
        <v>2869</v>
      </c>
      <c r="E755" t="str" cm="1">
        <f t="array" ref="E755">IF(COUNTIF(A:A, "*" &amp; LEFT(D755, FIND(" ", D755 &amp; " ") - 1) &amp; "*") &gt; 0,INDEX(A:A,FuzzyVLookup(D755,A:A,0,,,1)),"Non-PDL")</f>
        <v>VANFLYTA (quizartinib)</v>
      </c>
      <c r="F755" t="str">
        <f t="shared" si="22"/>
        <v>Non-Preferred</v>
      </c>
      <c r="G755" s="1" cm="1">
        <f t="array" ref="G755">FuzzyPercent(D755,E755,1)</f>
        <v>0.53333336114883423</v>
      </c>
      <c r="H755" t="str">
        <f t="shared" si="23"/>
        <v/>
      </c>
    </row>
    <row r="756" spans="1:8" x14ac:dyDescent="0.2">
      <c r="A756" t="s">
        <v>1491</v>
      </c>
      <c r="B756" t="s">
        <v>0</v>
      </c>
      <c r="D756" t="s">
        <v>2870</v>
      </c>
      <c r="E756" t="str" cm="1">
        <f t="array" ref="E756">IF(COUNTIF(A:A, "*" &amp; LEFT(D756, FIND(" ", D756 &amp; " ") - 1) &amp; "*") &gt; 0,INDEX(A:A,FuzzyVLookup(D756,A:A,0,,,1)),"Non-PDL")</f>
        <v>Non-PDL</v>
      </c>
      <c r="F756" t="str">
        <f t="shared" si="22"/>
        <v>Non-PDL</v>
      </c>
      <c r="G756" s="1" cm="1">
        <f t="array" ref="G756">FuzzyPercent(D756,E756,1)</f>
        <v>0.1428571492433548</v>
      </c>
      <c r="H756" t="str">
        <f t="shared" si="23"/>
        <v/>
      </c>
    </row>
    <row r="757" spans="1:8" x14ac:dyDescent="0.2">
      <c r="A757" t="s">
        <v>1493</v>
      </c>
      <c r="B757" t="s">
        <v>0</v>
      </c>
      <c r="D757" t="s">
        <v>2871</v>
      </c>
      <c r="E757" t="str" cm="1">
        <f t="array" ref="E757">IF(COUNTIF(A:A, "*" &amp; LEFT(D757, FIND(" ", D757 &amp; " ") - 1) &amp; "*") &gt; 0,INDEX(A:A,FuzzyVLookup(D757,A:A,0,,,1)),"Non-PDL")</f>
        <v>VELSIPITY (etrasimod)</v>
      </c>
      <c r="F757" t="str">
        <f t="shared" si="22"/>
        <v>Non-Preferred</v>
      </c>
      <c r="G757" s="1" cm="1">
        <f t="array" ref="G757">FuzzyPercent(D757,E757,1)</f>
        <v>0.75</v>
      </c>
      <c r="H757" t="str">
        <f t="shared" si="23"/>
        <v/>
      </c>
    </row>
    <row r="758" spans="1:8" x14ac:dyDescent="0.2">
      <c r="A758" t="s">
        <v>1495</v>
      </c>
      <c r="B758" t="s">
        <v>0</v>
      </c>
      <c r="D758" t="s">
        <v>2872</v>
      </c>
      <c r="E758" t="str" cm="1">
        <f t="array" ref="E758">IF(COUNTIF(A:A, "*" &amp; LEFT(D758, FIND(" ", D758 &amp; " ") - 1) &amp; "*") &gt; 0,INDEX(A:A,FuzzyVLookup(D758,A:A,0,,,1)),"Non-PDL")</f>
        <v>venlafaxine</v>
      </c>
      <c r="F758" t="str">
        <f t="shared" si="22"/>
        <v>Preferred</v>
      </c>
      <c r="G758" s="1" cm="1">
        <f t="array" ref="G758">FuzzyPercent(D758,E758,1)</f>
        <v>0.42105263471603394</v>
      </c>
      <c r="H758" t="str">
        <f t="shared" si="23"/>
        <v/>
      </c>
    </row>
    <row r="759" spans="1:8" x14ac:dyDescent="0.2">
      <c r="A759" t="s">
        <v>1497</v>
      </c>
      <c r="B759" t="s">
        <v>0</v>
      </c>
      <c r="D759" t="s">
        <v>2873</v>
      </c>
      <c r="E759" t="str" cm="1">
        <f t="array" ref="E759">IF(COUNTIF(A:A, "*" &amp; LEFT(D759, FIND(" ", D759 &amp; " ") - 1) &amp; "*") &gt; 0,INDEX(A:A,FuzzyVLookup(D759,A:A,0,,,1)),"Non-PDL")</f>
        <v>XEMBIFY</v>
      </c>
      <c r="F759" t="str">
        <f t="shared" si="22"/>
        <v>Preferred</v>
      </c>
      <c r="G759" s="1" cm="1">
        <f t="array" ref="G759">FuzzyPercent(D759,E759,1)</f>
        <v>0.57142859697341919</v>
      </c>
      <c r="H759" t="str">
        <f t="shared" si="23"/>
        <v/>
      </c>
    </row>
    <row r="760" spans="1:8" x14ac:dyDescent="0.2">
      <c r="A760" t="s">
        <v>1499</v>
      </c>
      <c r="B760" t="s">
        <v>0</v>
      </c>
      <c r="D760" t="s">
        <v>2874</v>
      </c>
      <c r="E760" t="str" cm="1">
        <f t="array" ref="E760">IF(COUNTIF(A:A, "*" &amp; LEFT(D760, FIND(" ", D760 &amp; " ") - 1) &amp; "*") &gt; 0,INDEX(A:A,FuzzyVLookup(D760,A:A,0,,,1)),"Non-PDL")</f>
        <v>Non-PDL</v>
      </c>
      <c r="F760" t="str">
        <f t="shared" si="22"/>
        <v>Non-PDL</v>
      </c>
      <c r="G760" s="1" cm="1">
        <f t="array" ref="G760">FuzzyPercent(D760,E760,1)</f>
        <v>0.2222222238779068</v>
      </c>
      <c r="H760" t="str">
        <f t="shared" si="23"/>
        <v/>
      </c>
    </row>
    <row r="761" spans="1:8" x14ac:dyDescent="0.2">
      <c r="A761" t="s">
        <v>1501</v>
      </c>
      <c r="B761" t="s">
        <v>0</v>
      </c>
      <c r="D761" t="s">
        <v>2875</v>
      </c>
      <c r="E761" t="str" cm="1">
        <f t="array" ref="E761">IF(COUNTIF(A:A, "*" &amp; LEFT(D761, FIND(" ", D761 &amp; " ") - 1) &amp; "*") &gt; 0,INDEX(A:A,FuzzyVLookup(D761,A:A,0,,,1)),"Non-PDL")</f>
        <v>VENTAVIS (iloprost)</v>
      </c>
      <c r="F761" t="str">
        <f t="shared" si="22"/>
        <v>Preferred</v>
      </c>
      <c r="G761" s="1" cm="1">
        <f t="array" ref="G761">FuzzyPercent(D761,E761,1)</f>
        <v>0.59259259700775146</v>
      </c>
      <c r="H761" t="str">
        <f t="shared" si="23"/>
        <v/>
      </c>
    </row>
    <row r="762" spans="1:8" x14ac:dyDescent="0.2">
      <c r="A762" t="s">
        <v>1503</v>
      </c>
      <c r="B762" t="s">
        <v>0</v>
      </c>
      <c r="D762" t="s">
        <v>2876</v>
      </c>
      <c r="E762" t="str" cm="1">
        <f t="array" ref="E762">IF(COUNTIF(A:A, "*" &amp; LEFT(D762, FIND(" ", D762 &amp; " ") - 1) &amp; "*") &gt; 0,INDEX(A:A,FuzzyVLookup(D762,A:A,0,,,1)),"Non-PDL")</f>
        <v>VENTOLIN HFA (albuterol)</v>
      </c>
      <c r="F762" t="str">
        <f t="shared" si="22"/>
        <v>Preferred</v>
      </c>
      <c r="G762" s="1" cm="1">
        <f t="array" ref="G762">FuzzyPercent(D762,E762,1)</f>
        <v>0.66666668653488159</v>
      </c>
      <c r="H762" t="str">
        <f t="shared" si="23"/>
        <v/>
      </c>
    </row>
    <row r="763" spans="1:8" x14ac:dyDescent="0.2">
      <c r="A763" t="s">
        <v>1505</v>
      </c>
      <c r="B763" t="s">
        <v>0</v>
      </c>
      <c r="D763" t="s">
        <v>2877</v>
      </c>
      <c r="E763" t="str" cm="1">
        <f t="array" ref="E763">IF(COUNTIF(A:A, "*" &amp; LEFT(D763, FIND(" ", D763 &amp; " ") - 1) &amp; "*") &gt; 0,INDEX(A:A,FuzzyVLookup(D763,A:A,0,,,1)),"Non-PDL")</f>
        <v>verapamil</v>
      </c>
      <c r="F763" t="str">
        <f t="shared" si="22"/>
        <v>Preferred</v>
      </c>
      <c r="G763" s="1" cm="1">
        <f t="array" ref="G763">FuzzyPercent(D763,E763,1)</f>
        <v>0.58823531866073608</v>
      </c>
      <c r="H763" t="str">
        <f t="shared" si="23"/>
        <v/>
      </c>
    </row>
    <row r="764" spans="1:8" x14ac:dyDescent="0.2">
      <c r="A764" t="s">
        <v>1507</v>
      </c>
      <c r="B764" t="s">
        <v>0</v>
      </c>
      <c r="D764" t="s">
        <v>2878</v>
      </c>
      <c r="E764" t="str" cm="1">
        <f t="array" ref="E764">IF(COUNTIF(A:A, "*" &amp; LEFT(D764, FIND(" ", D764 &amp; " ") - 1) &amp; "*") &gt; 0,INDEX(A:A,FuzzyVLookup(D764,A:A,0,,,1)),"Non-PDL")</f>
        <v>VERSACLOZ (clozapine)</v>
      </c>
      <c r="F764" t="str">
        <f t="shared" si="22"/>
        <v>Non-Preferred</v>
      </c>
      <c r="G764" s="1" cm="1">
        <f t="array" ref="G764">FuzzyPercent(D764,E764,1)</f>
        <v>0.60000002384185791</v>
      </c>
      <c r="H764" t="str">
        <f t="shared" si="23"/>
        <v/>
      </c>
    </row>
    <row r="765" spans="1:8" x14ac:dyDescent="0.2">
      <c r="A765" t="s">
        <v>1509</v>
      </c>
      <c r="B765" t="s">
        <v>0</v>
      </c>
      <c r="D765" t="s">
        <v>2879</v>
      </c>
      <c r="E765" t="str" cm="1">
        <f t="array" ref="E765">IF(COUNTIF(A:A, "*" &amp; LEFT(D765, FIND(" ", D765 &amp; " ") - 1) &amp; "*") &gt; 0,INDEX(A:A,FuzzyVLookup(D765,A:A,0,,,1)),"Non-PDL")</f>
        <v>VERZENIO (abemaciclib)</v>
      </c>
      <c r="F765" t="str">
        <f t="shared" si="22"/>
        <v>Non-Preferred</v>
      </c>
      <c r="G765" s="1" cm="1">
        <f t="array" ref="G765">FuzzyPercent(D765,E765,1)</f>
        <v>0.53333336114883423</v>
      </c>
      <c r="H765" t="str">
        <f t="shared" si="23"/>
        <v/>
      </c>
    </row>
    <row r="766" spans="1:8" x14ac:dyDescent="0.2">
      <c r="A766" t="s">
        <v>1511</v>
      </c>
      <c r="B766" t="s">
        <v>0</v>
      </c>
      <c r="D766" t="s">
        <v>2880</v>
      </c>
      <c r="E766" t="str" cm="1">
        <f t="array" ref="E766">IF(COUNTIF(A:A, "*" &amp; LEFT(D766, FIND(" ", D766 &amp; " ") - 1) &amp; "*") &gt; 0,INDEX(A:A,FuzzyVLookup(D766,A:A,0,,,1)),"Non-PDL")</f>
        <v>fluoxetine solution, tablet</v>
      </c>
      <c r="F766" t="str">
        <f t="shared" si="22"/>
        <v>Non-Preferred</v>
      </c>
      <c r="G766" s="1" cm="1">
        <f t="array" ref="G766">FuzzyPercent(D766,E766,1)</f>
        <v>0.32692307233810425</v>
      </c>
      <c r="H766" t="str">
        <f t="shared" si="23"/>
        <v>CHECK</v>
      </c>
    </row>
    <row r="767" spans="1:8" x14ac:dyDescent="0.2">
      <c r="A767" t="s">
        <v>1513</v>
      </c>
      <c r="B767" t="s">
        <v>0</v>
      </c>
      <c r="D767" t="s">
        <v>2881</v>
      </c>
      <c r="E767" t="str" cm="1">
        <f t="array" ref="E767">IF(COUNTIF(A:A, "*" &amp; LEFT(D767, FIND(" ", D767 &amp; " ") - 1) &amp; "*") &gt; 0,INDEX(A:A,FuzzyVLookup(D767,A:A,0,,,1)),"Non-PDL")</f>
        <v>VIBERZI (eluxadoline) DUR+</v>
      </c>
      <c r="F767" t="str">
        <f t="shared" si="22"/>
        <v>Non-Preferred</v>
      </c>
      <c r="G767" s="1" cm="1">
        <f t="array" ref="G767">FuzzyPercent(D767,E767,1)</f>
        <v>0.42424243688583374</v>
      </c>
      <c r="H767" t="str">
        <f t="shared" si="23"/>
        <v/>
      </c>
    </row>
    <row r="768" spans="1:8" x14ac:dyDescent="0.2">
      <c r="A768" t="s">
        <v>1515</v>
      </c>
      <c r="B768" t="s">
        <v>0</v>
      </c>
      <c r="D768" t="s">
        <v>2882</v>
      </c>
      <c r="E768" t="str" cm="1">
        <f t="array" ref="E768">IF(COUNTIF(A:A, "*" &amp; LEFT(D768, FIND(" ", D768 &amp; " ") - 1) &amp; "*") &gt; 0,INDEX(A:A,FuzzyVLookup(D768,A:A,0,,,1)),"Non-PDL")</f>
        <v>VICTOZA (liraglutide)</v>
      </c>
      <c r="F768" t="str">
        <f t="shared" si="22"/>
        <v>Preferred</v>
      </c>
      <c r="G768" s="1" cm="1">
        <f t="array" ref="G768">FuzzyPercent(D768,E768,1)</f>
        <v>0.5</v>
      </c>
      <c r="H768" t="str">
        <f t="shared" si="23"/>
        <v/>
      </c>
    </row>
    <row r="769" spans="1:8" x14ac:dyDescent="0.2">
      <c r="A769" t="s">
        <v>1517</v>
      </c>
      <c r="B769" t="s">
        <v>0</v>
      </c>
      <c r="D769" t="s">
        <v>2883</v>
      </c>
      <c r="E769" t="str" cm="1">
        <f t="array" ref="E769">IF(COUNTIF(A:A, "*" &amp; LEFT(D769, FIND(" ", D769 &amp; " ") - 1) &amp; "*") &gt; 0,INDEX(A:A,FuzzyVLookup(D769,A:A,0,,,1)),"Non-PDL")</f>
        <v>Non-PDL</v>
      </c>
      <c r="F769" t="str">
        <f t="shared" si="22"/>
        <v>Non-PDL</v>
      </c>
      <c r="G769" s="1" cm="1">
        <f t="array" ref="G769">FuzzyPercent(D769,E769,1)</f>
        <v>3.9999999105930328E-2</v>
      </c>
      <c r="H769" t="str">
        <f t="shared" si="23"/>
        <v/>
      </c>
    </row>
    <row r="770" spans="1:8" x14ac:dyDescent="0.2">
      <c r="A770" t="s">
        <v>1519</v>
      </c>
      <c r="B770" t="s">
        <v>0</v>
      </c>
      <c r="D770" t="s">
        <v>2884</v>
      </c>
      <c r="E770" t="str" cm="1">
        <f t="array" ref="E770">IF(COUNTIF(A:A, "*" &amp; LEFT(D770, FIND(" ", D770 &amp; " ") - 1) &amp; "*") &gt; 0,INDEX(A:A,FuzzyVLookup(D770,A:A,0,,,1)),"Non-PDL")</f>
        <v>TRUVADA (emtricitabine/tenofovir)</v>
      </c>
      <c r="F770" t="str">
        <f t="shared" si="22"/>
        <v>Preferred</v>
      </c>
      <c r="G770" s="1" cm="1">
        <f t="array" ref="G770">FuzzyPercent(D770,E770,1)</f>
        <v>0.31428572535514832</v>
      </c>
      <c r="H770" t="str">
        <f t="shared" si="23"/>
        <v>CHECK</v>
      </c>
    </row>
    <row r="771" spans="1:8" x14ac:dyDescent="0.2">
      <c r="A771" t="s">
        <v>1521</v>
      </c>
      <c r="B771" t="s">
        <v>0</v>
      </c>
      <c r="D771" t="s">
        <v>2885</v>
      </c>
      <c r="E771" t="str" cm="1">
        <f t="array" ref="E771">IF(COUNTIF(A:A, "*" &amp; LEFT(D771, FIND(" ", D771 &amp; " ") - 1) &amp; "*") &gt; 0,INDEX(A:A,FuzzyVLookup(D771,A:A,0,,,1)),"Non-PDL")</f>
        <v>Vigabatrin</v>
      </c>
      <c r="F771" t="str">
        <f t="shared" ref="F771:F834" si="24">_xlfn.IFNA(_xlfn.XLOOKUP(E771,A:A,B:B),"Non-PDL")</f>
        <v>Non-Preferred</v>
      </c>
      <c r="G771" s="1" cm="1">
        <f t="array" ref="G771">FuzzyPercent(D771,E771,1)</f>
        <v>0.58823531866073608</v>
      </c>
      <c r="H771" t="str">
        <f t="shared" ref="H771:H834" si="25">IF(F771="Non-PDL","",IF(G771&lt;0.4,"CHECK",""))</f>
        <v/>
      </c>
    </row>
    <row r="772" spans="1:8" x14ac:dyDescent="0.2">
      <c r="A772" t="s">
        <v>1522</v>
      </c>
      <c r="B772" t="s">
        <v>0</v>
      </c>
      <c r="D772" t="s">
        <v>2886</v>
      </c>
      <c r="E772" t="str" cm="1">
        <f t="array" ref="E772">IF(COUNTIF(A:A, "*" &amp; LEFT(D772, FIND(" ", D772 &amp; " ") - 1) &amp; "*") &gt; 0,INDEX(A:A,FuzzyVLookup(D772,A:A,0,,,1)),"Non-PDL")</f>
        <v>VIGAFYDE (vigabatrin)</v>
      </c>
      <c r="F772" t="str">
        <f t="shared" si="24"/>
        <v>Non-Preferred</v>
      </c>
      <c r="G772" s="1" cm="1">
        <f t="array" ref="G772">FuzzyPercent(D772,E772,1)</f>
        <v>0.45454546809196472</v>
      </c>
      <c r="H772" t="str">
        <f t="shared" si="25"/>
        <v/>
      </c>
    </row>
    <row r="773" spans="1:8" x14ac:dyDescent="0.2">
      <c r="A773" t="s">
        <v>1523</v>
      </c>
      <c r="B773" t="s">
        <v>0</v>
      </c>
      <c r="D773" t="s">
        <v>2887</v>
      </c>
      <c r="E773" t="str" cm="1">
        <f t="array" ref="E773">IF(COUNTIF(A:A, "*" &amp; LEFT(D773, FIND(" ", D773 &amp; " ") - 1) &amp; "*") &gt; 0,INDEX(A:A,FuzzyVLookup(D773,A:A,0,,,1)),"Non-PDL")</f>
        <v>VIGPODER (vigabatrin)</v>
      </c>
      <c r="F773" t="str">
        <f t="shared" si="24"/>
        <v>Non-Preferred</v>
      </c>
      <c r="G773" s="1" cm="1">
        <f t="array" ref="G773">FuzzyPercent(D773,E773,1)</f>
        <v>0.5517241358757019</v>
      </c>
      <c r="H773" t="str">
        <f t="shared" si="25"/>
        <v/>
      </c>
    </row>
    <row r="774" spans="1:8" x14ac:dyDescent="0.2">
      <c r="A774" t="s">
        <v>1525</v>
      </c>
      <c r="B774" t="s">
        <v>0</v>
      </c>
      <c r="D774" t="s">
        <v>2888</v>
      </c>
      <c r="E774" t="str" cm="1">
        <f t="array" ref="E774">IF(COUNTIF(A:A, "*" &amp; LEFT(D774, FIND(" ", D774 &amp; " ") - 1) &amp; "*") &gt; 0,INDEX(A:A,FuzzyVLookup(D774,A:A,0,,,1)),"Non-PDL")</f>
        <v>VIIBRYD (vilazodone)</v>
      </c>
      <c r="F774" t="str">
        <f t="shared" si="24"/>
        <v>Non-Preferred</v>
      </c>
      <c r="G774" s="1" cm="1">
        <f t="array" ref="G774">FuzzyPercent(D774,E774,1)</f>
        <v>0.51851850748062134</v>
      </c>
      <c r="H774" t="str">
        <f t="shared" si="25"/>
        <v/>
      </c>
    </row>
    <row r="775" spans="1:8" x14ac:dyDescent="0.2">
      <c r="A775" t="s">
        <v>1527</v>
      </c>
      <c r="B775" t="s">
        <v>0</v>
      </c>
      <c r="D775" t="s">
        <v>2889</v>
      </c>
      <c r="E775" t="str" cm="1">
        <f t="array" ref="E775">IF(COUNTIF(A:A, "*" &amp; LEFT(D775, FIND(" ", D775 &amp; " ") - 1) &amp; "*") &gt; 0,INDEX(A:A,FuzzyVLookup(D775,A:A,0,,,1)),"Non-PDL")</f>
        <v>VILTEPSO (viltolarsen)</v>
      </c>
      <c r="F775" t="str">
        <f t="shared" si="24"/>
        <v>Non-Preferred</v>
      </c>
      <c r="G775" s="1" cm="1">
        <f t="array" ref="G775">FuzzyPercent(D775,E775,1)</f>
        <v>0.53333336114883423</v>
      </c>
      <c r="H775" t="str">
        <f t="shared" si="25"/>
        <v/>
      </c>
    </row>
    <row r="776" spans="1:8" x14ac:dyDescent="0.2">
      <c r="A776" t="s">
        <v>1529</v>
      </c>
      <c r="B776" t="s">
        <v>0</v>
      </c>
      <c r="D776" t="s">
        <v>2890</v>
      </c>
      <c r="E776" t="str" cm="1">
        <f t="array" ref="E776">IF(COUNTIF(A:A, "*" &amp; LEFT(D776, FIND(" ", D776 &amp; " ") - 1) &amp; "*") &gt; 0,INDEX(A:A,FuzzyVLookup(D776,A:A,0,,,1)),"Non-PDL")</f>
        <v>VIMPAT (lacosamide)</v>
      </c>
      <c r="F776" t="str">
        <f t="shared" si="24"/>
        <v>Non-Preferred</v>
      </c>
      <c r="G776" s="1" cm="1">
        <f t="array" ref="G776">FuzzyPercent(D776,E776,1)</f>
        <v>0.47999998927116394</v>
      </c>
      <c r="H776" t="str">
        <f t="shared" si="25"/>
        <v/>
      </c>
    </row>
    <row r="777" spans="1:8" x14ac:dyDescent="0.2">
      <c r="A777" t="s">
        <v>1531</v>
      </c>
      <c r="B777" t="s">
        <v>0</v>
      </c>
      <c r="D777" t="s">
        <v>2891</v>
      </c>
      <c r="E777" t="str" cm="1">
        <f t="array" ref="E777">IF(COUNTIF(A:A, "*" &amp; LEFT(D777, FIND(" ", D777 &amp; " ") - 1) &amp; "*") &gt; 0,INDEX(A:A,FuzzyVLookup(D777,A:A,0,,,1)),"Non-PDL")</f>
        <v>vilazodone</v>
      </c>
      <c r="F777" t="str">
        <f t="shared" si="24"/>
        <v>Preferred</v>
      </c>
      <c r="G777" s="1" cm="1">
        <f t="array" ref="G777">FuzzyPercent(D777,E777,1)</f>
        <v>0.375</v>
      </c>
      <c r="H777" t="str">
        <f t="shared" si="25"/>
        <v>CHECK</v>
      </c>
    </row>
    <row r="778" spans="1:8" x14ac:dyDescent="0.2">
      <c r="A778" t="s">
        <v>1533</v>
      </c>
      <c r="B778" t="s">
        <v>0</v>
      </c>
      <c r="D778" t="s">
        <v>2892</v>
      </c>
      <c r="E778" t="str" cm="1">
        <f t="array" ref="E778">IF(COUNTIF(A:A, "*" &amp; LEFT(D778, FIND(" ", D778 &amp; " ") - 1) &amp; "*") &gt; 0,INDEX(A:A,FuzzyVLookup(D778,A:A,0,,,1)),"Non-PDL")</f>
        <v>Non-PDL</v>
      </c>
      <c r="F778" t="str">
        <f t="shared" si="24"/>
        <v>Non-PDL</v>
      </c>
      <c r="G778" s="1" cm="1">
        <f t="array" ref="G778">FuzzyPercent(D778,E778,1)</f>
        <v>9.0909093618392944E-2</v>
      </c>
      <c r="H778" t="str">
        <f t="shared" si="25"/>
        <v/>
      </c>
    </row>
    <row r="779" spans="1:8" x14ac:dyDescent="0.2">
      <c r="A779" t="s">
        <v>1535</v>
      </c>
      <c r="B779" t="s">
        <v>0</v>
      </c>
      <c r="D779" t="s">
        <v>2893</v>
      </c>
      <c r="E779" t="str" cm="1">
        <f t="array" ref="E779">IF(COUNTIF(A:A, "*" &amp; LEFT(D779, FIND(" ", D779 &amp; " ") - 1) &amp; "*") &gt; 0,INDEX(A:A,FuzzyVLookup(D779,A:A,0,,,1)),"Non-PDL")</f>
        <v>Non-PDL</v>
      </c>
      <c r="F779" t="str">
        <f t="shared" si="24"/>
        <v>Non-PDL</v>
      </c>
      <c r="G779" s="1" cm="1">
        <f t="array" ref="G779">FuzzyPercent(D779,E779,1)</f>
        <v>8.3333335816860199E-2</v>
      </c>
      <c r="H779" t="str">
        <f t="shared" si="25"/>
        <v/>
      </c>
    </row>
    <row r="780" spans="1:8" x14ac:dyDescent="0.2">
      <c r="A780" t="s">
        <v>1537</v>
      </c>
      <c r="B780" t="s">
        <v>0</v>
      </c>
      <c r="D780" t="s">
        <v>2894</v>
      </c>
      <c r="E780" t="str" cm="1">
        <f t="array" ref="E780">IF(COUNTIF(A:A, "*" &amp; LEFT(D780, FIND(" ", D780 &amp; " ") - 1) &amp; "*") &gt; 0,INDEX(A:A,FuzzyVLookup(D780,A:A,0,,,1)),"Non-PDL")</f>
        <v>Non-PDL</v>
      </c>
      <c r="F780" t="str">
        <f t="shared" si="24"/>
        <v>Non-PDL</v>
      </c>
      <c r="G780" s="1" cm="1">
        <f t="array" ref="G780">FuzzyPercent(D780,E780,1)</f>
        <v>0.10000000149011612</v>
      </c>
      <c r="H780" t="str">
        <f t="shared" si="25"/>
        <v/>
      </c>
    </row>
    <row r="781" spans="1:8" x14ac:dyDescent="0.2">
      <c r="A781" t="s">
        <v>1539</v>
      </c>
      <c r="B781" t="s">
        <v>0</v>
      </c>
      <c r="D781" t="s">
        <v>2895</v>
      </c>
      <c r="E781" t="str" cm="1">
        <f t="array" ref="E781">IF(COUNTIF(A:A, "*" &amp; LEFT(D781, FIND(" ", D781 &amp; " ") - 1) &amp; "*") &gt; 0,INDEX(A:A,FuzzyVLookup(D781,A:A,0,,,1)),"Non-PDL")</f>
        <v>Non-PDL</v>
      </c>
      <c r="F781" t="str">
        <f t="shared" si="24"/>
        <v>Non-PDL</v>
      </c>
      <c r="G781" s="1" cm="1">
        <f t="array" ref="G781">FuzzyPercent(D781,E781,1)</f>
        <v>7.1428574621677399E-2</v>
      </c>
      <c r="H781" t="str">
        <f t="shared" si="25"/>
        <v/>
      </c>
    </row>
    <row r="782" spans="1:8" x14ac:dyDescent="0.2">
      <c r="A782" t="s">
        <v>1541</v>
      </c>
      <c r="B782" t="s">
        <v>0</v>
      </c>
      <c r="D782" t="s">
        <v>2896</v>
      </c>
      <c r="E782" t="str" cm="1">
        <f t="array" ref="E782">IF(COUNTIF(A:A, "*" &amp; LEFT(D782, FIND(" ", D782 &amp; " ") - 1) &amp; "*") &gt; 0,INDEX(A:A,FuzzyVLookup(D782,A:A,0,,,1)),"Non-PDL")</f>
        <v>Non-PDL</v>
      </c>
      <c r="F782" t="str">
        <f t="shared" si="24"/>
        <v>Non-PDL</v>
      </c>
      <c r="G782" s="1" cm="1">
        <f t="array" ref="G782">FuzzyPercent(D782,E782,1)</f>
        <v>9.0909093618392944E-2</v>
      </c>
      <c r="H782" t="str">
        <f t="shared" si="25"/>
        <v/>
      </c>
    </row>
    <row r="783" spans="1:8" x14ac:dyDescent="0.2">
      <c r="A783" t="s">
        <v>1543</v>
      </c>
      <c r="B783" t="s">
        <v>0</v>
      </c>
      <c r="D783" t="s">
        <v>2897</v>
      </c>
      <c r="E783" t="str" cm="1">
        <f t="array" ref="E783">IF(COUNTIF(A:A, "*" &amp; LEFT(D783, FIND(" ", D783 &amp; " ") - 1) &amp; "*") &gt; 0,INDEX(A:A,FuzzyVLookup(D783,A:A,0,,,1)),"Non-PDL")</f>
        <v>Non-PDL</v>
      </c>
      <c r="F783" t="str">
        <f t="shared" si="24"/>
        <v>Non-PDL</v>
      </c>
      <c r="G783" s="1" cm="1">
        <f t="array" ref="G783">FuzzyPercent(D783,E783,1)</f>
        <v>6.25E-2</v>
      </c>
      <c r="H783" t="str">
        <f t="shared" si="25"/>
        <v/>
      </c>
    </row>
    <row r="784" spans="1:8" x14ac:dyDescent="0.2">
      <c r="A784" t="s">
        <v>1545</v>
      </c>
      <c r="B784" t="s">
        <v>0</v>
      </c>
      <c r="D784" t="s">
        <v>2898</v>
      </c>
      <c r="E784" t="str" cm="1">
        <f t="array" ref="E784">IF(COUNTIF(A:A, "*" &amp; LEFT(D784, FIND(" ", D784 &amp; " ") - 1) &amp; "*") &gt; 0,INDEX(A:A,FuzzyVLookup(D784,A:A,0,,,1)),"Non-PDL")</f>
        <v>Non-PDL</v>
      </c>
      <c r="F784" t="str">
        <f t="shared" si="24"/>
        <v>Non-PDL</v>
      </c>
      <c r="G784" s="1" cm="1">
        <f t="array" ref="G784">FuzzyPercent(D784,E784,1)</f>
        <v>7.6923079788684845E-2</v>
      </c>
      <c r="H784" t="str">
        <f t="shared" si="25"/>
        <v/>
      </c>
    </row>
    <row r="785" spans="1:8" x14ac:dyDescent="0.2">
      <c r="A785" t="s">
        <v>1547</v>
      </c>
      <c r="B785" t="s">
        <v>0</v>
      </c>
      <c r="D785" t="s">
        <v>2899</v>
      </c>
      <c r="E785" t="str" cm="1">
        <f t="array" ref="E785">IF(COUNTIF(A:A, "*" &amp; LEFT(D785, FIND(" ", D785 &amp; " ") - 1) &amp; "*") &gt; 0,INDEX(A:A,FuzzyVLookup(D785,A:A,0,,,1)),"Non-PDL")</f>
        <v>VITRAKVI (larotrectinib)</v>
      </c>
      <c r="F785" t="str">
        <f t="shared" si="24"/>
        <v>Non-Preferred</v>
      </c>
      <c r="G785" s="1" cm="1">
        <f t="array" ref="G785">FuzzyPercent(D785,E785,1)</f>
        <v>0.5</v>
      </c>
      <c r="H785" t="str">
        <f t="shared" si="25"/>
        <v/>
      </c>
    </row>
    <row r="786" spans="1:8" x14ac:dyDescent="0.2">
      <c r="A786" t="s">
        <v>1549</v>
      </c>
      <c r="B786" t="s">
        <v>0</v>
      </c>
      <c r="D786" t="s">
        <v>2900</v>
      </c>
      <c r="E786" t="str" cm="1">
        <f t="array" ref="E786">IF(COUNTIF(A:A, "*" &amp; LEFT(D786, FIND(" ", D786 &amp; " ") - 1) &amp; "*") &gt; 0,INDEX(A:A,FuzzyVLookup(D786,A:A,0,,,1)),"Non-PDL")</f>
        <v>VITRAKVI (larotrectinib)</v>
      </c>
      <c r="F786" t="str">
        <f t="shared" si="24"/>
        <v>Non-Preferred</v>
      </c>
      <c r="G786" s="1" cm="1">
        <f t="array" ref="G786">FuzzyPercent(D786,E786,1)</f>
        <v>0.5</v>
      </c>
      <c r="H786" t="str">
        <f t="shared" si="25"/>
        <v/>
      </c>
    </row>
    <row r="787" spans="1:8" x14ac:dyDescent="0.2">
      <c r="A787" t="s">
        <v>1551</v>
      </c>
      <c r="B787" t="s">
        <v>0</v>
      </c>
      <c r="D787" t="s">
        <v>2901</v>
      </c>
      <c r="E787" t="str" cm="1">
        <f t="array" ref="E787">IF(COUNTIF(A:A, "*" &amp; LEFT(D787, FIND(" ", D787 &amp; " ") - 1) &amp; "*") &gt; 0,INDEX(A:A,FuzzyVLookup(D787,A:A,0,,,1)),"Non-PDL")</f>
        <v>VIVITROL (naltrexone)</v>
      </c>
      <c r="F787" t="str">
        <f t="shared" si="24"/>
        <v>Non-Preferred</v>
      </c>
      <c r="G787" s="1" cm="1">
        <f t="array" ref="G787">FuzzyPercent(D787,E787,1)</f>
        <v>0.5517241358757019</v>
      </c>
      <c r="H787" t="str">
        <f t="shared" si="25"/>
        <v/>
      </c>
    </row>
    <row r="788" spans="1:8" x14ac:dyDescent="0.2">
      <c r="A788" t="s">
        <v>1553</v>
      </c>
      <c r="B788" t="s">
        <v>0</v>
      </c>
      <c r="D788" t="s">
        <v>2902</v>
      </c>
      <c r="E788" t="str" cm="1">
        <f t="array" ref="E788">IF(COUNTIF(A:A, "*" &amp; LEFT(D788, FIND(" ", D788 &amp; " ") - 1) &amp; "*") &gt; 0,INDEX(A:A,FuzzyVLookup(D788,A:A,0,,,1)),"Non-PDL")</f>
        <v>VIZIMPRO (dacomitinib)</v>
      </c>
      <c r="F788" t="str">
        <f t="shared" si="24"/>
        <v>Non-Preferred</v>
      </c>
      <c r="G788" s="1" cm="1">
        <f t="array" ref="G788">FuzzyPercent(D788,E788,1)</f>
        <v>0.53333336114883423</v>
      </c>
      <c r="H788" t="str">
        <f t="shared" si="25"/>
        <v/>
      </c>
    </row>
    <row r="789" spans="1:8" x14ac:dyDescent="0.2">
      <c r="A789" t="s">
        <v>1555</v>
      </c>
      <c r="B789" t="s">
        <v>0</v>
      </c>
      <c r="D789" t="s">
        <v>2903</v>
      </c>
      <c r="E789" t="str" cm="1">
        <f t="array" ref="E789">IF(COUNTIF(A:A, "*" &amp; LEFT(D789, FIND(" ", D789 &amp; " ") - 1) &amp; "*") &gt; 0,INDEX(A:A,FuzzyVLookup(D789,A:A,0,,,1)),"Non-PDL")</f>
        <v>VOQUEZNA (vonoprazan)</v>
      </c>
      <c r="F789" t="str">
        <f t="shared" si="24"/>
        <v>Non-Preferred</v>
      </c>
      <c r="G789" s="1" cm="1">
        <f t="array" ref="G789">FuzzyPercent(D789,E789,1)</f>
        <v>0.5517241358757019</v>
      </c>
      <c r="H789" t="str">
        <f t="shared" si="25"/>
        <v/>
      </c>
    </row>
    <row r="790" spans="1:8" x14ac:dyDescent="0.2">
      <c r="A790" t="s">
        <v>1557</v>
      </c>
      <c r="B790" t="s">
        <v>0</v>
      </c>
      <c r="D790" t="s">
        <v>2904</v>
      </c>
      <c r="E790" t="str" cm="1">
        <f t="array" ref="E790">IF(COUNTIF(A:A, "*" &amp; LEFT(D790, FIND(" ", D790 &amp; " ") - 1) &amp; "*") &gt; 0,INDEX(A:A,FuzzyVLookup(D790,A:A,0,,,1)),"Non-PDL")</f>
        <v>VOQUEZNA DUAL PAK (vonoprazan/amoxicillin)</v>
      </c>
      <c r="F790" t="str">
        <f t="shared" si="24"/>
        <v>Non-Preferred</v>
      </c>
      <c r="G790" s="1" cm="1">
        <f t="array" ref="G790">FuzzyPercent(D790,E790,1)</f>
        <v>0.67391306161880493</v>
      </c>
      <c r="H790" t="str">
        <f t="shared" si="25"/>
        <v/>
      </c>
    </row>
    <row r="791" spans="1:8" x14ac:dyDescent="0.2">
      <c r="A791" t="s">
        <v>1559</v>
      </c>
      <c r="B791" t="s">
        <v>0</v>
      </c>
      <c r="D791" t="s">
        <v>2905</v>
      </c>
      <c r="E791" t="str" cm="1">
        <f t="array" ref="E791">IF(COUNTIF(A:A, "*" &amp; LEFT(D791, FIND(" ", D791 &amp; " ") - 1) &amp; "*") &gt; 0,INDEX(A:A,FuzzyVLookup(D791,A:A,0,,,1)),"Non-PDL")</f>
        <v>VOQUEZNA TRIPLE PAK_x000D_(vonoprazan/amoxicillin/clarithromycin)</v>
      </c>
      <c r="F791" t="str">
        <f t="shared" si="24"/>
        <v>Non-Preferred</v>
      </c>
      <c r="G791" s="1" cm="1">
        <f t="array" ref="G791">FuzzyPercent(D791,E791,1)</f>
        <v>0.52307695150375366</v>
      </c>
      <c r="H791" t="str">
        <f t="shared" si="25"/>
        <v/>
      </c>
    </row>
    <row r="792" spans="1:8" x14ac:dyDescent="0.2">
      <c r="A792" t="s">
        <v>1561</v>
      </c>
      <c r="B792" t="s">
        <v>0</v>
      </c>
      <c r="D792" t="s">
        <v>2906</v>
      </c>
      <c r="E792" t="str" cm="1">
        <f t="array" ref="E792">IF(COUNTIF(A:A, "*" &amp; LEFT(D792, FIND(" ", D792 &amp; " ") - 1) &amp; "*") &gt; 0,INDEX(A:A,FuzzyVLookup(D792,A:A,0,,,1)),"Non-PDL")</f>
        <v>VONVENDI</v>
      </c>
      <c r="F792" t="str">
        <f t="shared" si="24"/>
        <v>Non-Preferred</v>
      </c>
      <c r="G792" s="1" cm="1">
        <f t="array" ref="G792">FuzzyPercent(D792,E792,1)</f>
        <v>0.5</v>
      </c>
      <c r="H792" t="str">
        <f t="shared" si="25"/>
        <v/>
      </c>
    </row>
    <row r="793" spans="1:8" x14ac:dyDescent="0.2">
      <c r="A793" t="s">
        <v>1563</v>
      </c>
      <c r="B793" t="s">
        <v>0</v>
      </c>
      <c r="D793" t="s">
        <v>2907</v>
      </c>
      <c r="E793" t="str" cm="1">
        <f t="array" ref="E793">IF(COUNTIF(A:A, "*" &amp; LEFT(D793, FIND(" ", D793 &amp; " ") - 1) &amp; "*") &gt; 0,INDEX(A:A,FuzzyVLookup(D793,A:A,0,,,1)),"Non-PDL")</f>
        <v>VOTRIENT (pazopanib)</v>
      </c>
      <c r="F793" t="str">
        <f t="shared" si="24"/>
        <v>Preferred</v>
      </c>
      <c r="G793" s="1" cm="1">
        <f t="array" ref="G793">FuzzyPercent(D793,E793,1)</f>
        <v>0.57142859697341919</v>
      </c>
      <c r="H793" t="str">
        <f t="shared" si="25"/>
        <v/>
      </c>
    </row>
    <row r="794" spans="1:8" x14ac:dyDescent="0.2">
      <c r="A794" t="s">
        <v>1565</v>
      </c>
      <c r="B794" t="s">
        <v>0</v>
      </c>
      <c r="D794" t="s">
        <v>2908</v>
      </c>
      <c r="E794" t="str" cm="1">
        <f t="array" ref="E794">IF(COUNTIF(A:A, "*" &amp; LEFT(D794, FIND(" ", D794 &amp; " ") - 1) &amp; "*") &gt; 0,INDEX(A:A,FuzzyVLookup(D794,A:A,0,,,1)),"Non-PDL")</f>
        <v>VOXZOGO (vosoritide)</v>
      </c>
      <c r="F794" t="str">
        <f t="shared" si="24"/>
        <v>Non-Preferred</v>
      </c>
      <c r="G794" s="1" cm="1">
        <f t="array" ref="G794">FuzzyPercent(D794,E794,1)</f>
        <v>0.51851850748062134</v>
      </c>
      <c r="H794" t="str">
        <f t="shared" si="25"/>
        <v/>
      </c>
    </row>
    <row r="795" spans="1:8" x14ac:dyDescent="0.2">
      <c r="A795" t="s">
        <v>1567</v>
      </c>
      <c r="B795" t="s">
        <v>0</v>
      </c>
      <c r="D795" t="s">
        <v>2909</v>
      </c>
      <c r="E795" t="str" cm="1">
        <f t="array" ref="E795">IF(COUNTIF(A:A, "*" &amp; LEFT(D795, FIND(" ", D795 &amp; " ") - 1) &amp; "*") &gt; 0,INDEX(A:A,FuzzyVLookup(D795,A:A,0,,,1)),"Non-PDL")</f>
        <v>PRIVIGEN</v>
      </c>
      <c r="F795" t="str">
        <f t="shared" si="24"/>
        <v>Preferred</v>
      </c>
      <c r="G795" s="1" cm="1">
        <f t="array" ref="G795">FuzzyPercent(D795,E795,1)</f>
        <v>0.38461539149284363</v>
      </c>
      <c r="H795" t="str">
        <f t="shared" si="25"/>
        <v>CHECK</v>
      </c>
    </row>
    <row r="796" spans="1:8" x14ac:dyDescent="0.2">
      <c r="A796" t="s">
        <v>1569</v>
      </c>
      <c r="B796" t="s">
        <v>0</v>
      </c>
      <c r="D796" t="s">
        <v>2910</v>
      </c>
      <c r="E796" t="str" cm="1">
        <f t="array" ref="E796">IF(COUNTIF(A:A, "*" &amp; LEFT(D796, FIND(" ", D796 &amp; " ") - 1) &amp; "*") &gt; 0,INDEX(A:A,FuzzyVLookup(D796,A:A,0,,,1)),"Non-PDL")</f>
        <v>VRAYLAR (cariprazine)</v>
      </c>
      <c r="F796" t="str">
        <f t="shared" si="24"/>
        <v>Preferred</v>
      </c>
      <c r="G796" s="1" cm="1">
        <f t="array" ref="G796">FuzzyPercent(D796,E796,1)</f>
        <v>0.5</v>
      </c>
      <c r="H796" t="str">
        <f t="shared" si="25"/>
        <v/>
      </c>
    </row>
    <row r="797" spans="1:8" x14ac:dyDescent="0.2">
      <c r="A797" t="s">
        <v>1571</v>
      </c>
      <c r="B797" t="s">
        <v>0</v>
      </c>
      <c r="D797" t="s">
        <v>2911</v>
      </c>
      <c r="E797" t="str" cm="1">
        <f t="array" ref="E797">IF(COUNTIF(A:A, "*" &amp; LEFT(D797, FIND(" ", D797 &amp; " ") - 1) &amp; "*") &gt; 0,INDEX(A:A,FuzzyVLookup(D797,A:A,0,,,1)),"Non-PDL")</f>
        <v>TOPAMAX (topiramate)</v>
      </c>
      <c r="F797" t="str">
        <f t="shared" si="24"/>
        <v>Non-Preferred</v>
      </c>
      <c r="G797" s="1" cm="1">
        <f t="array" ref="G797">FuzzyPercent(D797,E797,1)</f>
        <v>0.39130434393882751</v>
      </c>
      <c r="H797" t="str">
        <f t="shared" si="25"/>
        <v>CHECK</v>
      </c>
    </row>
    <row r="798" spans="1:8" x14ac:dyDescent="0.2">
      <c r="A798" t="s">
        <v>1573</v>
      </c>
      <c r="B798" t="s">
        <v>0</v>
      </c>
      <c r="D798" t="s">
        <v>2912</v>
      </c>
      <c r="E798" t="str" cm="1">
        <f t="array" ref="E798">IF(COUNTIF(A:A, "*" &amp; LEFT(D798, FIND(" ", D798 &amp; " ") - 1) &amp; "*") &gt; 0,INDEX(A:A,FuzzyVLookup(D798,A:A,0,,,1)),"Non-PDL")</f>
        <v>VTAMA (tapinarof)</v>
      </c>
      <c r="F798" t="str">
        <f t="shared" si="24"/>
        <v>Non-Preferred</v>
      </c>
      <c r="G798" s="1" cm="1">
        <f t="array" ref="G798">FuzzyPercent(D798,E798,1)</f>
        <v>0.36363637447357178</v>
      </c>
      <c r="H798" t="str">
        <f t="shared" si="25"/>
        <v>CHECK</v>
      </c>
    </row>
    <row r="799" spans="1:8" x14ac:dyDescent="0.2">
      <c r="A799" t="s">
        <v>1575</v>
      </c>
      <c r="B799" t="s">
        <v>0</v>
      </c>
      <c r="D799" t="s">
        <v>2913</v>
      </c>
      <c r="E799" t="str" cm="1">
        <f t="array" ref="E799">IF(COUNTIF(A:A, "*" &amp; LEFT(D799, FIND(" ", D799 &amp; " ") - 1) &amp; "*") &gt; 0,INDEX(A:A,FuzzyVLookup(D799,A:A,0,,,1)),"Non-PDL")</f>
        <v>VYEPTI (eptinezumab-jjmr)</v>
      </c>
      <c r="F799" t="str">
        <f t="shared" si="24"/>
        <v>Non-Preferred</v>
      </c>
      <c r="G799" s="1" cm="1">
        <f t="array" ref="G799">FuzzyPercent(D799,E799,1)</f>
        <v>0.38709676265716553</v>
      </c>
      <c r="H799" t="str">
        <f t="shared" si="25"/>
        <v>CHECK</v>
      </c>
    </row>
    <row r="800" spans="1:8" x14ac:dyDescent="0.2">
      <c r="A800" t="s">
        <v>1577</v>
      </c>
      <c r="B800" t="s">
        <v>0</v>
      </c>
      <c r="D800" t="s">
        <v>2914</v>
      </c>
      <c r="E800" t="str" cm="1">
        <f t="array" ref="E800">IF(COUNTIF(A:A, "*" &amp; LEFT(D800, FIND(" ", D800 &amp; " ") - 1) &amp; "*") &gt; 0,INDEX(A:A,FuzzyVLookup(D800,A:A,0,,,1)),"Non-PDL")</f>
        <v>Non-PDL</v>
      </c>
      <c r="F800" t="str">
        <f t="shared" si="24"/>
        <v>Non-PDL</v>
      </c>
      <c r="G800" s="1" cm="1">
        <f t="array" ref="G800">FuzzyPercent(D800,E800,1)</f>
        <v>0</v>
      </c>
      <c r="H800" t="str">
        <f t="shared" si="25"/>
        <v/>
      </c>
    </row>
    <row r="801" spans="1:8" x14ac:dyDescent="0.2">
      <c r="A801" t="s">
        <v>3</v>
      </c>
      <c r="B801" t="s">
        <v>1</v>
      </c>
      <c r="D801" t="s">
        <v>2915</v>
      </c>
      <c r="E801" t="str" cm="1">
        <f t="array" ref="E801">IF(COUNTIF(A:A, "*" &amp; LEFT(D801, FIND(" ", D801 &amp; " ") - 1) &amp; "*") &gt; 0,INDEX(A:A,FuzzyVLookup(D801,A:A,0,,,1)),"Non-PDL")</f>
        <v>Non-PDL</v>
      </c>
      <c r="F801" t="str">
        <f t="shared" si="24"/>
        <v>Non-PDL</v>
      </c>
      <c r="G801" s="1" cm="1">
        <f t="array" ref="G801">FuzzyPercent(D801,E801,1)</f>
        <v>0.25</v>
      </c>
      <c r="H801" t="str">
        <f t="shared" si="25"/>
        <v/>
      </c>
    </row>
    <row r="802" spans="1:8" x14ac:dyDescent="0.2">
      <c r="A802" t="s">
        <v>5</v>
      </c>
      <c r="B802" t="s">
        <v>1</v>
      </c>
      <c r="D802" t="s">
        <v>2916</v>
      </c>
      <c r="E802" t="str" cm="1">
        <f t="array" ref="E802">IF(COUNTIF(A:A, "*" &amp; LEFT(D802, FIND(" ", D802 &amp; " ") - 1) &amp; "*") &gt; 0,INDEX(A:A,FuzzyVLookup(D802,A:A,0,,,1)),"Non-PDL")</f>
        <v>Non-PDL</v>
      </c>
      <c r="F802" t="str">
        <f t="shared" si="24"/>
        <v>Non-PDL</v>
      </c>
      <c r="G802" s="1" cm="1">
        <f t="array" ref="G802">FuzzyPercent(D802,E802,1)</f>
        <v>0.125</v>
      </c>
      <c r="H802" t="str">
        <f t="shared" si="25"/>
        <v/>
      </c>
    </row>
    <row r="803" spans="1:8" x14ac:dyDescent="0.2">
      <c r="A803" t="s">
        <v>7</v>
      </c>
      <c r="B803" t="s">
        <v>1</v>
      </c>
      <c r="D803" t="s">
        <v>2917</v>
      </c>
      <c r="E803" t="str" cm="1">
        <f t="array" ref="E803">IF(COUNTIF(A:A, "*" &amp; LEFT(D803, FIND(" ", D803 &amp; " ") - 1) &amp; "*") &gt; 0,INDEX(A:A,FuzzyVLookup(D803,A:A,0,,,1)),"Non-PDL")</f>
        <v>VYONDYS-53 (golodirsen)</v>
      </c>
      <c r="F803" t="str">
        <f t="shared" si="24"/>
        <v>Preferred</v>
      </c>
      <c r="G803" s="1" cm="1">
        <f t="array" ref="G803">FuzzyPercent(D803,E803,1)</f>
        <v>0.5151515007019043</v>
      </c>
      <c r="H803" t="str">
        <f t="shared" si="25"/>
        <v/>
      </c>
    </row>
    <row r="804" spans="1:8" x14ac:dyDescent="0.2">
      <c r="A804" t="s">
        <v>9</v>
      </c>
      <c r="B804" t="s">
        <v>1</v>
      </c>
      <c r="D804" t="s">
        <v>2918</v>
      </c>
      <c r="E804" t="str" cm="1">
        <f t="array" ref="E804">IF(COUNTIF(A:A, "*" &amp; LEFT(D804, FIND(" ", D804 &amp; " ") - 1) &amp; "*") &gt; 0,INDEX(A:A,FuzzyVLookup(D804,A:A,0,,,1)),"Non-PDL")</f>
        <v>Non-PDL</v>
      </c>
      <c r="F804" t="str">
        <f t="shared" si="24"/>
        <v>Non-PDL</v>
      </c>
      <c r="G804" s="1" cm="1">
        <f t="array" ref="G804">FuzzyPercent(D804,E804,1)</f>
        <v>7.6923079788684845E-2</v>
      </c>
      <c r="H804" t="str">
        <f t="shared" si="25"/>
        <v/>
      </c>
    </row>
    <row r="805" spans="1:8" x14ac:dyDescent="0.2">
      <c r="A805" t="s">
        <v>11</v>
      </c>
      <c r="B805" t="s">
        <v>1</v>
      </c>
      <c r="D805" t="s">
        <v>2919</v>
      </c>
      <c r="E805" t="str" cm="1">
        <f t="array" ref="E805">IF(COUNTIF(A:A, "*" &amp; LEFT(D805, FIND(" ", D805 &amp; " ") - 1) &amp; "*") &gt; 0,INDEX(A:A,FuzzyVLookup(D805,A:A,0,,,1)),"Non-PDL")</f>
        <v>Non-PDL</v>
      </c>
      <c r="F805" t="str">
        <f t="shared" si="24"/>
        <v>Non-PDL</v>
      </c>
      <c r="G805" s="1" cm="1">
        <f t="array" ref="G805">FuzzyPercent(D805,E805,1)</f>
        <v>7.6923079788684845E-2</v>
      </c>
      <c r="H805" t="str">
        <f t="shared" si="25"/>
        <v/>
      </c>
    </row>
    <row r="806" spans="1:8" x14ac:dyDescent="0.2">
      <c r="A806" t="s">
        <v>13</v>
      </c>
      <c r="B806" t="s">
        <v>1</v>
      </c>
      <c r="D806" t="s">
        <v>2920</v>
      </c>
      <c r="E806" t="str" cm="1">
        <f t="array" ref="E806">IF(COUNTIF(A:A, "*" &amp; LEFT(D806, FIND(" ", D806 &amp; " ") - 1) &amp; "*") &gt; 0,INDEX(A:A,FuzzyVLookup(D806,A:A,0,,,1)),"Non-PDL")</f>
        <v>WAKIX (pitolisant)</v>
      </c>
      <c r="F806" t="str">
        <f t="shared" si="24"/>
        <v>Non-Preferred</v>
      </c>
      <c r="G806" s="1" cm="1">
        <f t="array" ref="G806">FuzzyPercent(D806,E806,1)</f>
        <v>0.43478259444236755</v>
      </c>
      <c r="H806" t="str">
        <f t="shared" si="25"/>
        <v/>
      </c>
    </row>
    <row r="807" spans="1:8" x14ac:dyDescent="0.2">
      <c r="A807" t="s">
        <v>15</v>
      </c>
      <c r="B807" t="s">
        <v>1</v>
      </c>
      <c r="D807" t="s">
        <v>2921</v>
      </c>
      <c r="E807" t="str" cm="1">
        <f t="array" ref="E807">IF(COUNTIF(A:A, "*" &amp; LEFT(D807, FIND(" ", D807 &amp; " ") - 1) &amp; "*") &gt; 0,INDEX(A:A,FuzzyVLookup(D807,A:A,0,,,1)),"Non-PDL")</f>
        <v>Non-PDL</v>
      </c>
      <c r="F807" t="str">
        <f t="shared" si="24"/>
        <v>Non-PDL</v>
      </c>
      <c r="G807" s="1" cm="1">
        <f t="array" ref="G807">FuzzyPercent(D807,E807,1)</f>
        <v>7.6923079788684845E-2</v>
      </c>
      <c r="H807" t="str">
        <f t="shared" si="25"/>
        <v/>
      </c>
    </row>
    <row r="808" spans="1:8" x14ac:dyDescent="0.2">
      <c r="A808" t="s">
        <v>17</v>
      </c>
      <c r="B808" t="s">
        <v>1</v>
      </c>
      <c r="D808" t="s">
        <v>2922</v>
      </c>
      <c r="E808" t="str" cm="1">
        <f t="array" ref="E808">IF(COUNTIF(A:A, "*" &amp; LEFT(D808, FIND(" ", D808 &amp; " ") - 1) &amp; "*") &gt; 0,INDEX(A:A,FuzzyVLookup(D808,A:A,0,,,1)),"Non-PDL")</f>
        <v>WILATE</v>
      </c>
      <c r="F808" t="str">
        <f t="shared" si="24"/>
        <v>Preferred</v>
      </c>
      <c r="G808" s="1" cm="1">
        <f t="array" ref="G808">FuzzyPercent(D808,E808,1)</f>
        <v>0.4285714328289032</v>
      </c>
      <c r="H808" t="str">
        <f t="shared" si="25"/>
        <v/>
      </c>
    </row>
    <row r="809" spans="1:8" x14ac:dyDescent="0.2">
      <c r="A809" t="s">
        <v>19</v>
      </c>
      <c r="B809" t="s">
        <v>1</v>
      </c>
      <c r="D809" t="s">
        <v>2923</v>
      </c>
      <c r="E809" t="str" cm="1">
        <f t="array" ref="E809">IF(COUNTIF(A:A, "*" &amp; LEFT(D809, FIND(" ", D809 &amp; " ") - 1) &amp; "*") &gt; 0,INDEX(A:A,FuzzyVLookup(D809,A:A,0,,,1)),"Non-PDL")</f>
        <v>WINREVAIR (sotatercept-csrk)</v>
      </c>
      <c r="F809" t="str">
        <f t="shared" si="24"/>
        <v>Non-Preferred</v>
      </c>
      <c r="G809" s="1" cm="1">
        <f t="array" ref="G809">FuzzyPercent(D809,E809,1)</f>
        <v>0.5</v>
      </c>
      <c r="H809" t="str">
        <f t="shared" si="25"/>
        <v/>
      </c>
    </row>
    <row r="810" spans="1:8" x14ac:dyDescent="0.2">
      <c r="A810" t="s">
        <v>21</v>
      </c>
      <c r="B810" t="s">
        <v>1</v>
      </c>
      <c r="D810" t="s">
        <v>2924</v>
      </c>
      <c r="E810" t="str" cm="1">
        <f t="array" ref="E810">IF(COUNTIF(A:A, "*" &amp; LEFT(D810, FIND(" ", D810 &amp; " ") - 1) &amp; "*") &gt; 0,INDEX(A:A,FuzzyVLookup(D810,A:A,0,,,1)),"Non-PDL")</f>
        <v>WILATE</v>
      </c>
      <c r="F810" t="str">
        <f t="shared" si="24"/>
        <v>Preferred</v>
      </c>
      <c r="G810" s="1" cm="1">
        <f t="array" ref="G810">FuzzyPercent(D810,E810,1)</f>
        <v>0.5</v>
      </c>
      <c r="H810" t="str">
        <f t="shared" si="25"/>
        <v/>
      </c>
    </row>
    <row r="811" spans="1:8" x14ac:dyDescent="0.2">
      <c r="A811" t="s">
        <v>23</v>
      </c>
      <c r="B811" t="s">
        <v>1</v>
      </c>
      <c r="D811" t="s">
        <v>2925</v>
      </c>
      <c r="E811" t="str" cm="1">
        <f t="array" ref="E811">IF(COUNTIF(A:A, "*" &amp; LEFT(D811, FIND(" ", D811 &amp; " ") - 1) &amp; "*") &gt; 0,INDEX(A:A,FuzzyVLookup(D811,A:A,0,,,1)),"Non-PDL")</f>
        <v>XALKORI (crizotinib)</v>
      </c>
      <c r="F811" t="str">
        <f t="shared" si="24"/>
        <v>Preferred</v>
      </c>
      <c r="G811" s="1" cm="1">
        <f t="array" ref="G811">FuzzyPercent(D811,E811,1)</f>
        <v>0.48571428656578064</v>
      </c>
      <c r="H811" t="str">
        <f t="shared" si="25"/>
        <v/>
      </c>
    </row>
    <row r="812" spans="1:8" x14ac:dyDescent="0.2">
      <c r="A812" t="s">
        <v>25</v>
      </c>
      <c r="B812" t="s">
        <v>1</v>
      </c>
      <c r="D812" t="s">
        <v>2926</v>
      </c>
      <c r="E812" t="str" cm="1">
        <f t="array" ref="E812">IF(COUNTIF(A:A, "*" &amp; LEFT(D812, FIND(" ", D812 &amp; " ") - 1) &amp; "*") &gt; 0,INDEX(A:A,FuzzyVLookup(D812,A:A,0,,,1)),"Non-PDL")</f>
        <v>divalproex sprinkle</v>
      </c>
      <c r="F812" t="str">
        <f t="shared" si="24"/>
        <v>Preferred</v>
      </c>
      <c r="G812" s="1" cm="1">
        <f t="array" ref="G812">FuzzyPercent(D812,E812,1)</f>
        <v>0.5</v>
      </c>
      <c r="H812" t="str">
        <f t="shared" si="25"/>
        <v/>
      </c>
    </row>
    <row r="813" spans="1:8" x14ac:dyDescent="0.2">
      <c r="A813" t="s">
        <v>27</v>
      </c>
      <c r="B813" t="s">
        <v>1</v>
      </c>
      <c r="D813" t="s">
        <v>2927</v>
      </c>
      <c r="E813" t="str" cm="1">
        <f t="array" ref="E813">IF(COUNTIF(A:A, "*" &amp; LEFT(D813, FIND(" ", D813 &amp; " ") - 1) &amp; "*") &gt; 0,INDEX(A:A,FuzzyVLookup(D813,A:A,0,,,1)),"Non-PDL")</f>
        <v>Non-PDL</v>
      </c>
      <c r="F813" t="str">
        <f t="shared" si="24"/>
        <v>Non-PDL</v>
      </c>
      <c r="G813" s="1" cm="1">
        <f t="array" ref="G813">FuzzyPercent(D813,E813,1)</f>
        <v>7.1428574621677399E-2</v>
      </c>
      <c r="H813" t="str">
        <f t="shared" si="25"/>
        <v/>
      </c>
    </row>
    <row r="814" spans="1:8" x14ac:dyDescent="0.2">
      <c r="A814" t="s">
        <v>29</v>
      </c>
      <c r="B814" t="s">
        <v>1</v>
      </c>
      <c r="D814" t="s">
        <v>2928</v>
      </c>
      <c r="E814" t="str" cm="1">
        <f t="array" ref="E814">IF(COUNTIF(A:A, "*" &amp; LEFT(D814, FIND(" ", D814 &amp; " ") - 1) &amp; "*") &gt; 0,INDEX(A:A,FuzzyVLookup(D814,A:A,0,,,1)),"Non-PDL")</f>
        <v>Non-PDL</v>
      </c>
      <c r="F814" t="str">
        <f t="shared" si="24"/>
        <v>Non-PDL</v>
      </c>
      <c r="G814" s="1" cm="1">
        <f t="array" ref="G814">FuzzyPercent(D814,E814,1)</f>
        <v>0.1428571492433548</v>
      </c>
      <c r="H814" t="str">
        <f t="shared" si="25"/>
        <v/>
      </c>
    </row>
    <row r="815" spans="1:8" x14ac:dyDescent="0.2">
      <c r="A815" t="s">
        <v>31</v>
      </c>
      <c r="B815" t="s">
        <v>1</v>
      </c>
      <c r="D815" t="s">
        <v>2929</v>
      </c>
      <c r="E815" t="str" cm="1">
        <f t="array" ref="E815">IF(COUNTIF(A:A, "*" &amp; LEFT(D815, FIND(" ", D815 &amp; " ") - 1) &amp; "*") &gt; 0,INDEX(A:A,FuzzyVLookup(D815,A:A,0,,,1)),"Non-PDL")</f>
        <v>Non-PDL</v>
      </c>
      <c r="F815" t="str">
        <f t="shared" si="24"/>
        <v>Non-PDL</v>
      </c>
      <c r="G815" s="1" cm="1">
        <f t="array" ref="G815">FuzzyPercent(D815,E815,1)</f>
        <v>5.000000074505806E-2</v>
      </c>
      <c r="H815" t="str">
        <f t="shared" si="25"/>
        <v/>
      </c>
    </row>
    <row r="816" spans="1:8" x14ac:dyDescent="0.2">
      <c r="A816" t="s">
        <v>33</v>
      </c>
      <c r="B816" t="s">
        <v>1</v>
      </c>
      <c r="D816" t="s">
        <v>2930</v>
      </c>
      <c r="E816" t="str" cm="1">
        <f t="array" ref="E816">IF(COUNTIF(A:A, "*" &amp; LEFT(D816, FIND(" ", D816 &amp; " ") - 1) &amp; "*") &gt; 0,INDEX(A:A,FuzzyVLookup(D816,A:A,0,,,1)),"Non-PDL")</f>
        <v>Non-PDL</v>
      </c>
      <c r="F816" t="str">
        <f t="shared" si="24"/>
        <v>Non-PDL</v>
      </c>
      <c r="G816" s="1" cm="1">
        <f t="array" ref="G816">FuzzyPercent(D816,E816,1)</f>
        <v>4.3478261679410934E-2</v>
      </c>
      <c r="H816" t="str">
        <f t="shared" si="25"/>
        <v/>
      </c>
    </row>
    <row r="817" spans="1:8" x14ac:dyDescent="0.2">
      <c r="A817" t="s">
        <v>35</v>
      </c>
      <c r="B817" t="s">
        <v>1</v>
      </c>
      <c r="D817" t="s">
        <v>2931</v>
      </c>
      <c r="E817" t="str" cm="1">
        <f t="array" ref="E817">IF(COUNTIF(A:A, "*" &amp; LEFT(D817, FIND(" ", D817 &amp; " ") - 1) &amp; "*") &gt; 0,INDEX(A:A,FuzzyVLookup(D817,A:A,0,,,1)),"Non-PDL")</f>
        <v>Non-PDL</v>
      </c>
      <c r="F817" t="str">
        <f t="shared" si="24"/>
        <v>Non-PDL</v>
      </c>
      <c r="G817" s="1" cm="1">
        <f t="array" ref="G817">FuzzyPercent(D817,E817,1)</f>
        <v>0.15384615957736969</v>
      </c>
      <c r="H817" t="str">
        <f t="shared" si="25"/>
        <v/>
      </c>
    </row>
    <row r="818" spans="1:8" x14ac:dyDescent="0.2">
      <c r="A818" t="s">
        <v>37</v>
      </c>
      <c r="B818" t="s">
        <v>1</v>
      </c>
      <c r="D818" t="s">
        <v>2932</v>
      </c>
      <c r="E818" t="str" cm="1">
        <f t="array" ref="E818">IF(COUNTIF(A:A, "*" &amp; LEFT(D818, FIND(" ", D818 &amp; " ") - 1) &amp; "*") &gt; 0,INDEX(A:A,FuzzyVLookup(D818,A:A,0,,,1)),"Non-PDL")</f>
        <v>Non-PDL</v>
      </c>
      <c r="F818" t="str">
        <f t="shared" si="24"/>
        <v>Non-PDL</v>
      </c>
      <c r="G818" s="1" cm="1">
        <f t="array" ref="G818">FuzzyPercent(D818,E818,1)</f>
        <v>0</v>
      </c>
      <c r="H818" t="str">
        <f t="shared" si="25"/>
        <v/>
      </c>
    </row>
    <row r="819" spans="1:8" x14ac:dyDescent="0.2">
      <c r="A819" t="s">
        <v>39</v>
      </c>
      <c r="B819" t="s">
        <v>1</v>
      </c>
      <c r="D819" t="s">
        <v>2933</v>
      </c>
      <c r="E819" t="str" cm="1">
        <f t="array" ref="E819">IF(COUNTIF(A:A, "*" &amp; LEFT(D819, FIND(" ", D819 &amp; " ") - 1) &amp; "*") &gt; 0,INDEX(A:A,FuzzyVLookup(D819,A:A,0,,,1)),"Non-PDL")</f>
        <v>XELJANZ XR (tofacitinib)</v>
      </c>
      <c r="F819" t="str">
        <f t="shared" si="24"/>
        <v>Non-Preferred</v>
      </c>
      <c r="G819" s="1" cm="1">
        <f t="array" ref="G819">FuzzyPercent(D819,E819,1)</f>
        <v>0.45161288976669312</v>
      </c>
      <c r="H819" t="str">
        <f t="shared" si="25"/>
        <v/>
      </c>
    </row>
    <row r="820" spans="1:8" x14ac:dyDescent="0.2">
      <c r="A820" t="s">
        <v>41</v>
      </c>
      <c r="B820" t="s">
        <v>1</v>
      </c>
      <c r="D820" t="s">
        <v>2934</v>
      </c>
      <c r="E820" t="str" cm="1">
        <f t="array" ref="E820">IF(COUNTIF(A:A, "*" &amp; LEFT(D820, FIND(" ", D820 &amp; " ") - 1) &amp; "*") &gt; 0,INDEX(A:A,FuzzyVLookup(D820,A:A,0,,,1)),"Non-PDL")</f>
        <v>benazepril</v>
      </c>
      <c r="F820" t="str">
        <f t="shared" si="24"/>
        <v>Preferred</v>
      </c>
      <c r="G820" s="1" cm="1">
        <f t="array" ref="G820">FuzzyPercent(D820,E820,1)</f>
        <v>0.55555558204650879</v>
      </c>
      <c r="H820" t="str">
        <f t="shared" si="25"/>
        <v/>
      </c>
    </row>
    <row r="821" spans="1:8" x14ac:dyDescent="0.2">
      <c r="A821" t="s">
        <v>43</v>
      </c>
      <c r="B821" t="s">
        <v>1</v>
      </c>
      <c r="D821" t="s">
        <v>2935</v>
      </c>
      <c r="E821" t="str" cm="1">
        <f t="array" ref="E821">IF(COUNTIF(A:A, "*" &amp; LEFT(D821, FIND(" ", D821 &amp; " ") - 1) &amp; "*") &gt; 0,INDEX(A:A,FuzzyVLookup(D821,A:A,0,,,1)),"Non-PDL")</f>
        <v>Non-PDL</v>
      </c>
      <c r="F821" t="str">
        <f t="shared" si="24"/>
        <v>Non-PDL</v>
      </c>
      <c r="G821" s="1" cm="1">
        <f t="array" ref="G821">FuzzyPercent(D821,E821,1)</f>
        <v>0.15384615957736969</v>
      </c>
      <c r="H821" t="str">
        <f t="shared" si="25"/>
        <v/>
      </c>
    </row>
    <row r="822" spans="1:8" x14ac:dyDescent="0.2">
      <c r="A822" t="s">
        <v>45</v>
      </c>
      <c r="B822" t="s">
        <v>1</v>
      </c>
      <c r="D822" t="s">
        <v>2936</v>
      </c>
      <c r="E822" t="str" cm="1">
        <f t="array" ref="E822">IF(COUNTIF(A:A, "*" &amp; LEFT(D822, FIND(" ", D822 &amp; " ") - 1) &amp; "*") &gt; 0,INDEX(A:A,FuzzyVLookup(D822,A:A,0,,,1)),"Non-PDL")</f>
        <v>XIGDUO XR (dapagliflozin/metformin)</v>
      </c>
      <c r="F822" t="str">
        <f t="shared" si="24"/>
        <v>Non-Preferred</v>
      </c>
      <c r="G822" s="1" cm="1">
        <f t="array" ref="G822">FuzzyPercent(D822,E822,1)</f>
        <v>0.40909090638160706</v>
      </c>
      <c r="H822" t="str">
        <f t="shared" si="25"/>
        <v/>
      </c>
    </row>
    <row r="823" spans="1:8" x14ac:dyDescent="0.2">
      <c r="A823" t="s">
        <v>47</v>
      </c>
      <c r="B823" t="s">
        <v>1</v>
      </c>
      <c r="D823" t="s">
        <v>2937</v>
      </c>
      <c r="E823" t="str" cm="1">
        <f t="array" ref="E823">IF(COUNTIF(A:A, "*" &amp; LEFT(D823, FIND(" ", D823 &amp; " ") - 1) &amp; "*") &gt; 0,INDEX(A:A,FuzzyVLookup(D823,A:A,0,,,1)),"Non-PDL")</f>
        <v>Non-PDL</v>
      </c>
      <c r="F823" t="str">
        <f t="shared" si="24"/>
        <v>Non-PDL</v>
      </c>
      <c r="G823" s="1" cm="1">
        <f t="array" ref="G823">FuzzyPercent(D823,E823,1)</f>
        <v>0.15384615957736969</v>
      </c>
      <c r="H823" t="str">
        <f t="shared" si="25"/>
        <v/>
      </c>
    </row>
    <row r="824" spans="1:8" x14ac:dyDescent="0.2">
      <c r="A824" t="s">
        <v>49</v>
      </c>
      <c r="B824" t="s">
        <v>1</v>
      </c>
      <c r="D824" t="s">
        <v>2938</v>
      </c>
      <c r="E824" t="str" cm="1">
        <f t="array" ref="E824">IF(COUNTIF(A:A, "*" &amp; LEFT(D824, FIND(" ", D824 &amp; " ") - 1) &amp; "*") &gt; 0,INDEX(A:A,FuzzyVLookup(D824,A:A,0,,,1)),"Non-PDL")</f>
        <v>XOFLUZA (baloxavir)</v>
      </c>
      <c r="F824" t="str">
        <f t="shared" si="24"/>
        <v>Preferred</v>
      </c>
      <c r="G824" s="1" cm="1">
        <f t="array" ref="G824">FuzzyPercent(D824,E824,1)</f>
        <v>0.53846156597137451</v>
      </c>
      <c r="H824" t="str">
        <f t="shared" si="25"/>
        <v/>
      </c>
    </row>
    <row r="825" spans="1:8" x14ac:dyDescent="0.2">
      <c r="A825" t="s">
        <v>51</v>
      </c>
      <c r="B825" t="s">
        <v>1</v>
      </c>
      <c r="D825" t="s">
        <v>2939</v>
      </c>
      <c r="E825" t="str" cm="1">
        <f t="array" ref="E825">IF(COUNTIF(A:A, "*" &amp; LEFT(D825, FIND(" ", D825 &amp; " ") - 1) &amp; "*") &gt; 0,INDEX(A:A,FuzzyVLookup(D825,A:A,0,,,1)),"Non-PDL")</f>
        <v>XOLAIR (omalizumab)</v>
      </c>
      <c r="F825" t="str">
        <f t="shared" si="24"/>
        <v>Preferred</v>
      </c>
      <c r="G825" s="1" cm="1">
        <f t="array" ref="G825">FuzzyPercent(D825,E825,1)</f>
        <v>0.44999998807907104</v>
      </c>
      <c r="H825" t="str">
        <f t="shared" si="25"/>
        <v/>
      </c>
    </row>
    <row r="826" spans="1:8" x14ac:dyDescent="0.2">
      <c r="A826" t="s">
        <v>53</v>
      </c>
      <c r="B826" t="s">
        <v>1</v>
      </c>
      <c r="D826" t="s">
        <v>2940</v>
      </c>
      <c r="E826" t="str" cm="1">
        <f t="array" ref="E826">IF(COUNTIF(A:A, "*" &amp; LEFT(D826, FIND(" ", D826 &amp; " ") - 1) &amp; "*") &gt; 0,INDEX(A:A,FuzzyVLookup(D826,A:A,0,,,1)),"Non-PDL")</f>
        <v>XOPENEX HFA (levalbuterol)</v>
      </c>
      <c r="F826" t="str">
        <f t="shared" si="24"/>
        <v>Non-Preferred</v>
      </c>
      <c r="G826" s="1" cm="1">
        <f t="array" ref="G826">FuzzyPercent(D826,E826,1)</f>
        <v>0.59459459781646729</v>
      </c>
      <c r="H826" t="str">
        <f t="shared" si="25"/>
        <v/>
      </c>
    </row>
    <row r="827" spans="1:8" x14ac:dyDescent="0.2">
      <c r="A827" t="s">
        <v>55</v>
      </c>
      <c r="B827" t="s">
        <v>1</v>
      </c>
      <c r="D827" t="s">
        <v>2941</v>
      </c>
      <c r="E827" t="str" cm="1">
        <f t="array" ref="E827">IF(COUNTIF(A:A, "*" &amp; LEFT(D827, FIND(" ", D827 &amp; " ") - 1) &amp; "*") &gt; 0,INDEX(A:A,FuzzyVLookup(D827,A:A,0,,,1)),"Non-PDL")</f>
        <v>XTANDI (enzalutamide)</v>
      </c>
      <c r="F827" t="str">
        <f t="shared" si="24"/>
        <v>Preferred</v>
      </c>
      <c r="G827" s="1" cm="1">
        <f t="array" ref="G827">FuzzyPercent(D827,E827,1)</f>
        <v>0.4444444477558136</v>
      </c>
      <c r="H827" t="str">
        <f t="shared" si="25"/>
        <v/>
      </c>
    </row>
    <row r="828" spans="1:8" x14ac:dyDescent="0.2">
      <c r="A828" t="s">
        <v>57</v>
      </c>
      <c r="B828" t="s">
        <v>1</v>
      </c>
      <c r="D828" t="s">
        <v>2942</v>
      </c>
      <c r="E828" t="str" cm="1">
        <f t="array" ref="E828">IF(COUNTIF(A:A, "*" &amp; LEFT(D828, FIND(" ", D828 &amp; " ") - 1) &amp; "*") &gt; 0,INDEX(A:A,FuzzyVLookup(D828,A:A,0,,,1)),"Non-PDL")</f>
        <v>Non-PDL</v>
      </c>
      <c r="F828" t="str">
        <f t="shared" si="24"/>
        <v>Non-PDL</v>
      </c>
      <c r="G828" s="1" cm="1">
        <f t="array" ref="G828">FuzzyPercent(D828,E828,1)</f>
        <v>7.6923079788684845E-2</v>
      </c>
      <c r="H828" t="str">
        <f t="shared" si="25"/>
        <v/>
      </c>
    </row>
    <row r="829" spans="1:8" x14ac:dyDescent="0.2">
      <c r="A829" t="s">
        <v>59</v>
      </c>
      <c r="B829" t="s">
        <v>1</v>
      </c>
      <c r="D829" t="s">
        <v>2943</v>
      </c>
      <c r="E829" t="str" cm="1">
        <f t="array" ref="E829">IF(COUNTIF(A:A, "*" &amp; LEFT(D829, FIND(" ", D829 &amp; " ") - 1) &amp; "*") &gt; 0,INDEX(A:A,FuzzyVLookup(D829,A:A,0,,,1)),"Non-PDL")</f>
        <v>HUMATE-P</v>
      </c>
      <c r="F829" t="str">
        <f t="shared" si="24"/>
        <v>Preferred</v>
      </c>
      <c r="G829" s="1" cm="1">
        <f t="array" ref="G829">FuzzyPercent(D829,E829,1)</f>
        <v>0.375</v>
      </c>
      <c r="H829" t="str">
        <f t="shared" si="25"/>
        <v>CHECK</v>
      </c>
    </row>
    <row r="830" spans="1:8" x14ac:dyDescent="0.2">
      <c r="A830" t="s">
        <v>61</v>
      </c>
      <c r="B830" t="s">
        <v>1</v>
      </c>
      <c r="D830" t="s">
        <v>2944</v>
      </c>
      <c r="E830" t="str" cm="1">
        <f t="array" ref="E830">IF(COUNTIF(A:A, "*" &amp; LEFT(D830, FIND(" ", D830 &amp; " ") - 1) &amp; "*") &gt; 0,INDEX(A:A,FuzzyVLookup(D830,A:A,0,,,1)),"Non-PDL")</f>
        <v>lanthanum</v>
      </c>
      <c r="F830" t="str">
        <f t="shared" si="24"/>
        <v>Non-Preferred</v>
      </c>
      <c r="G830" s="1" cm="1">
        <f t="array" ref="G830">FuzzyPercent(D830,E830,1)</f>
        <v>0.53333336114883423</v>
      </c>
      <c r="H830" t="str">
        <f t="shared" si="25"/>
        <v/>
      </c>
    </row>
    <row r="831" spans="1:8" x14ac:dyDescent="0.2">
      <c r="A831" t="s">
        <v>63</v>
      </c>
      <c r="B831" t="s">
        <v>1</v>
      </c>
      <c r="D831" t="s">
        <v>2945</v>
      </c>
      <c r="E831" t="str" cm="1">
        <f t="array" ref="E831">IF(COUNTIF(A:A, "*" &amp; LEFT(D831, FIND(" ", D831 &amp; " ") - 1) &amp; "*") &gt; 0,INDEX(A:A,FuzzyVLookup(D831,A:A,0,,,1)),"Non-PDL")</f>
        <v>XYREM (sodium oxybate)</v>
      </c>
      <c r="F831" t="str">
        <f t="shared" si="24"/>
        <v>Preferred</v>
      </c>
      <c r="G831" s="1" cm="1">
        <f t="array" ref="G831">FuzzyPercent(D831,E831,1)</f>
        <v>0.37037035822868347</v>
      </c>
      <c r="H831" t="str">
        <f t="shared" si="25"/>
        <v>CHECK</v>
      </c>
    </row>
    <row r="832" spans="1:8" x14ac:dyDescent="0.2">
      <c r="A832" t="s">
        <v>65</v>
      </c>
      <c r="B832" t="s">
        <v>1</v>
      </c>
      <c r="D832" t="s">
        <v>2946</v>
      </c>
      <c r="E832" t="str" cm="1">
        <f t="array" ref="E832">IF(COUNTIF(A:A, "*" &amp; LEFT(D832, FIND(" ", D832 &amp; " ") - 1) &amp; "*") &gt; 0,INDEX(A:A,FuzzyVLookup(D832,A:A,0,,,1)),"Non-PDL")</f>
        <v>HYQVIA</v>
      </c>
      <c r="F832" t="str">
        <f t="shared" si="24"/>
        <v>Preferred</v>
      </c>
      <c r="G832" s="1" cm="1">
        <f t="array" ref="G832">FuzzyPercent(D832,E832,1)</f>
        <v>0.36363637447357178</v>
      </c>
      <c r="H832" t="str">
        <f t="shared" si="25"/>
        <v>CHECK</v>
      </c>
    </row>
    <row r="833" spans="1:8" x14ac:dyDescent="0.2">
      <c r="A833" t="s">
        <v>67</v>
      </c>
      <c r="B833" t="s">
        <v>1</v>
      </c>
      <c r="D833" t="s">
        <v>2947</v>
      </c>
      <c r="E833" t="str" cm="1">
        <f t="array" ref="E833">IF(COUNTIF(A:A, "*" &amp; LEFT(D833, FIND(" ", D833 &amp; " ") - 1) &amp; "*") &gt; 0,INDEX(A:A,FuzzyVLookup(D833,A:A,0,,,1)),"Non-PDL")</f>
        <v>Non-PDL</v>
      </c>
      <c r="F833" t="str">
        <f t="shared" si="24"/>
        <v>Non-PDL</v>
      </c>
      <c r="G833" s="1" cm="1">
        <f t="array" ref="G833">FuzzyPercent(D833,E833,1)</f>
        <v>7.6923079788684845E-2</v>
      </c>
      <c r="H833" t="str">
        <f t="shared" si="25"/>
        <v/>
      </c>
    </row>
    <row r="834" spans="1:8" x14ac:dyDescent="0.2">
      <c r="A834" t="s">
        <v>69</v>
      </c>
      <c r="B834" t="s">
        <v>1</v>
      </c>
      <c r="D834" t="s">
        <v>2948</v>
      </c>
      <c r="E834" t="str" cm="1">
        <f t="array" ref="E834">IF(COUNTIF(A:A, "*" &amp; LEFT(D834, FIND(" ", D834 &amp; " ") - 1) &amp; "*") &gt; 0,INDEX(A:A,FuzzyVLookup(D834,A:A,0,,,1)),"Non-PDL")</f>
        <v>Non-PDL</v>
      </c>
      <c r="F834" t="str">
        <f t="shared" si="24"/>
        <v>Non-PDL</v>
      </c>
      <c r="G834" s="1" cm="1">
        <f t="array" ref="G834">FuzzyPercent(D834,E834,1)</f>
        <v>7.6923079788684845E-2</v>
      </c>
      <c r="H834" t="str">
        <f t="shared" si="25"/>
        <v/>
      </c>
    </row>
    <row r="835" spans="1:8" x14ac:dyDescent="0.2">
      <c r="A835" t="s">
        <v>71</v>
      </c>
      <c r="B835" t="s">
        <v>1</v>
      </c>
      <c r="D835" t="s">
        <v>2949</v>
      </c>
      <c r="E835" t="str" cm="1">
        <f t="array" ref="E835">IF(COUNTIF(A:A, "*" &amp; LEFT(D835, FIND(" ", D835 &amp; " ") - 1) &amp; "*") &gt; 0,INDEX(A:A,FuzzyVLookup(D835,A:A,0,,,1)),"Non-PDL")</f>
        <v>Non-PDL</v>
      </c>
      <c r="F835" t="str">
        <f t="shared" ref="F835:F867" si="26">_xlfn.IFNA(_xlfn.XLOOKUP(E835,A:A,B:B),"Non-PDL")</f>
        <v>Non-PDL</v>
      </c>
      <c r="G835" s="1" cm="1">
        <f t="array" ref="G835">FuzzyPercent(D835,E835,1)</f>
        <v>0</v>
      </c>
      <c r="H835" t="str">
        <f t="shared" ref="H835:H867" si="27">IF(F835="Non-PDL","",IF(G835&lt;0.4,"CHECK",""))</f>
        <v/>
      </c>
    </row>
    <row r="836" spans="1:8" x14ac:dyDescent="0.2">
      <c r="A836" t="s">
        <v>73</v>
      </c>
      <c r="B836" t="s">
        <v>1</v>
      </c>
      <c r="D836" t="s">
        <v>2950</v>
      </c>
      <c r="E836" t="str" cm="1">
        <f t="array" ref="E836">IF(COUNTIF(A:A, "*" &amp; LEFT(D836, FIND(" ", D836 &amp; " ") - 1) &amp; "*") &gt; 0,INDEX(A:A,FuzzyVLookup(D836,A:A,0,,,1)),"Non-PDL")</f>
        <v>YORVIPATH (palopegteriparatide)</v>
      </c>
      <c r="F836" t="str">
        <f t="shared" si="26"/>
        <v>Non-Preferred</v>
      </c>
      <c r="G836" s="1" cm="1">
        <f t="array" ref="G836">FuzzyPercent(D836,E836,1)</f>
        <v>0.44999998807907104</v>
      </c>
      <c r="H836" t="str">
        <f t="shared" si="27"/>
        <v/>
      </c>
    </row>
    <row r="837" spans="1:8" x14ac:dyDescent="0.2">
      <c r="A837" t="s">
        <v>75</v>
      </c>
      <c r="B837" t="s">
        <v>1</v>
      </c>
      <c r="D837" t="s">
        <v>2951</v>
      </c>
      <c r="E837" t="str" cm="1">
        <f t="array" ref="E837">IF(COUNTIF(A:A, "*" &amp; LEFT(D837, FIND(" ", D837 &amp; " ") - 1) &amp; "*") &gt; 0,INDEX(A:A,FuzzyVLookup(D837,A:A,0,,,1)),"Non-PDL")</f>
        <v>YUFLYMA (adalimumab-aaty)</v>
      </c>
      <c r="F837" t="str">
        <f t="shared" si="26"/>
        <v>Non-Preferred</v>
      </c>
      <c r="G837" s="1" cm="1">
        <f t="array" ref="G837">FuzzyPercent(D837,E837,1)</f>
        <v>0.4375</v>
      </c>
      <c r="H837" t="str">
        <f t="shared" si="27"/>
        <v/>
      </c>
    </row>
    <row r="838" spans="1:8" x14ac:dyDescent="0.2">
      <c r="A838" t="s">
        <v>77</v>
      </c>
      <c r="B838" t="s">
        <v>1</v>
      </c>
      <c r="D838" t="s">
        <v>2952</v>
      </c>
      <c r="E838" t="str" cm="1">
        <f t="array" ref="E838">IF(COUNTIF(A:A, "*" &amp; LEFT(D838, FIND(" ", D838 &amp; " ") - 1) &amp; "*") &gt; 0,INDEX(A:A,FuzzyVLookup(D838,A:A,0,,,1)),"Non-PDL")</f>
        <v>Non-PDL</v>
      </c>
      <c r="F838" t="str">
        <f t="shared" si="26"/>
        <v>Non-PDL</v>
      </c>
      <c r="G838" s="1" cm="1">
        <f t="array" ref="G838">FuzzyPercent(D838,E838,1)</f>
        <v>4.8780485987663269E-2</v>
      </c>
      <c r="H838" t="str">
        <f t="shared" si="27"/>
        <v/>
      </c>
    </row>
    <row r="839" spans="1:8" x14ac:dyDescent="0.2">
      <c r="A839" t="s">
        <v>79</v>
      </c>
      <c r="B839" t="s">
        <v>1</v>
      </c>
      <c r="D839" t="s">
        <v>2953</v>
      </c>
      <c r="E839" t="str" cm="1">
        <f t="array" ref="E839">IF(COUNTIF(A:A, "*" &amp; LEFT(D839, FIND(" ", D839 &amp; " ") - 1) &amp; "*") &gt; 0,INDEX(A:A,FuzzyVLookup(D839,A:A,0,,,1)),"Non-PDL")</f>
        <v>YUSIMRY (adalimumab-aqvh)</v>
      </c>
      <c r="F839" t="str">
        <f t="shared" si="26"/>
        <v>Non-Preferred</v>
      </c>
      <c r="G839" s="1" cm="1">
        <f t="array" ref="G839">FuzzyPercent(D839,E839,1)</f>
        <v>0.4375</v>
      </c>
      <c r="H839" t="str">
        <f t="shared" si="27"/>
        <v/>
      </c>
    </row>
    <row r="840" spans="1:8" x14ac:dyDescent="0.2">
      <c r="A840" t="s">
        <v>81</v>
      </c>
      <c r="B840" t="s">
        <v>1</v>
      </c>
      <c r="D840" t="s">
        <v>2954</v>
      </c>
      <c r="E840" t="str" cm="1">
        <f t="array" ref="E840">IF(COUNTIF(A:A, "*" &amp; LEFT(D840, FIND(" ", D840 &amp; " ") - 1) &amp; "*") &gt; 0,INDEX(A:A,FuzzyVLookup(D840,A:A,0,,,1)),"Non-PDL")</f>
        <v>zaleplon</v>
      </c>
      <c r="F840" t="str">
        <f t="shared" si="26"/>
        <v>Preferred</v>
      </c>
      <c r="G840" s="1" cm="1">
        <f t="array" ref="G840">FuzzyPercent(D840,E840,1)</f>
        <v>0.4285714328289032</v>
      </c>
      <c r="H840" t="str">
        <f t="shared" si="27"/>
        <v/>
      </c>
    </row>
    <row r="841" spans="1:8" x14ac:dyDescent="0.2">
      <c r="A841" t="s">
        <v>83</v>
      </c>
      <c r="B841" t="s">
        <v>1</v>
      </c>
      <c r="D841" t="s">
        <v>2955</v>
      </c>
      <c r="E841" t="str" cm="1">
        <f t="array" ref="E841">IF(COUNTIF(A:A, "*" &amp; LEFT(D841, FIND(" ", D841 &amp; " ") - 1) &amp; "*") &gt; 0,INDEX(A:A,FuzzyVLookup(D841,A:A,0,,,1)),"Non-PDL")</f>
        <v>Non-PDL</v>
      </c>
      <c r="F841" t="str">
        <f t="shared" si="26"/>
        <v>Non-PDL</v>
      </c>
      <c r="G841" s="1" cm="1">
        <f t="array" ref="G841">FuzzyPercent(D841,E841,1)</f>
        <v>0</v>
      </c>
      <c r="H841" t="str">
        <f t="shared" si="27"/>
        <v/>
      </c>
    </row>
    <row r="842" spans="1:8" x14ac:dyDescent="0.2">
      <c r="A842" t="s">
        <v>85</v>
      </c>
      <c r="B842" t="s">
        <v>1</v>
      </c>
      <c r="D842" t="s">
        <v>2956</v>
      </c>
      <c r="E842" t="str" cm="1">
        <f t="array" ref="E842">IF(COUNTIF(A:A, "*" &amp; LEFT(D842, FIND(" ", D842 &amp; " ") - 1) &amp; "*") &gt; 0,INDEX(A:A,FuzzyVLookup(D842,A:A,0,,,1)),"Non-PDL")</f>
        <v>zolpidem capsule</v>
      </c>
      <c r="F842" t="str">
        <f t="shared" si="26"/>
        <v>Non-Preferred</v>
      </c>
      <c r="G842" s="1" cm="1">
        <f t="array" ref="G842">FuzzyPercent(D842,E842,1)</f>
        <v>0.625</v>
      </c>
      <c r="H842" t="str">
        <f t="shared" si="27"/>
        <v/>
      </c>
    </row>
    <row r="843" spans="1:8" x14ac:dyDescent="0.2">
      <c r="A843" t="s">
        <v>87</v>
      </c>
      <c r="B843" t="s">
        <v>1</v>
      </c>
      <c r="D843" t="s">
        <v>2957</v>
      </c>
      <c r="E843" t="str" cm="1">
        <f t="array" ref="E843">IF(COUNTIF(A:A, "*" &amp; LEFT(D843, FIND(" ", D843 &amp; " ") - 1) &amp; "*") &gt; 0,INDEX(A:A,FuzzyVLookup(D843,A:A,0,,,1)),"Non-PDL")</f>
        <v>zolpidem tablet</v>
      </c>
      <c r="F843" t="str">
        <f t="shared" si="26"/>
        <v>Preferred</v>
      </c>
      <c r="G843" s="1" cm="1">
        <f t="array" ref="G843">FuzzyPercent(D843,E843,1)</f>
        <v>0.60000002384185791</v>
      </c>
      <c r="H843" t="str">
        <f t="shared" si="27"/>
        <v/>
      </c>
    </row>
    <row r="844" spans="1:8" x14ac:dyDescent="0.2">
      <c r="A844" t="s">
        <v>89</v>
      </c>
      <c r="B844" t="s">
        <v>1</v>
      </c>
      <c r="D844" t="s">
        <v>2958</v>
      </c>
      <c r="E844" t="str" cm="1">
        <f t="array" ref="E844">IF(COUNTIF(A:A, "*" &amp; LEFT(D844, FIND(" ", D844 &amp; " ") - 1) &amp; "*") &gt; 0,INDEX(A:A,FuzzyVLookup(D844,A:A,0,,,1)),"Non-PDL")</f>
        <v>carbidopa</v>
      </c>
      <c r="F844" t="str">
        <f t="shared" si="26"/>
        <v>Preferred</v>
      </c>
      <c r="G844" s="1" cm="1">
        <f t="array" ref="G844">FuzzyPercent(D844,E844,1)</f>
        <v>0.46666666865348816</v>
      </c>
      <c r="H844" t="str">
        <f t="shared" si="27"/>
        <v/>
      </c>
    </row>
    <row r="845" spans="1:8" x14ac:dyDescent="0.2">
      <c r="A845" t="s">
        <v>91</v>
      </c>
      <c r="B845" t="s">
        <v>1</v>
      </c>
      <c r="D845" t="s">
        <v>2959</v>
      </c>
      <c r="E845" t="str" cm="1">
        <f t="array" ref="E845">IF(COUNTIF(A:A, "*" &amp; LEFT(D845, FIND(" ", D845 &amp; " ") - 1) &amp; "*") &gt; 0,INDEX(A:A,FuzzyVLookup(D845,A:A,0,,,1)),"Non-PDL")</f>
        <v>ZAVZPRET (zavegepant)</v>
      </c>
      <c r="F845" t="str">
        <f t="shared" si="26"/>
        <v>Non-Preferred</v>
      </c>
      <c r="G845" s="1" cm="1">
        <f t="array" ref="G845">FuzzyPercent(D845,E845,1)</f>
        <v>0.5517241358757019</v>
      </c>
      <c r="H845" t="str">
        <f t="shared" si="27"/>
        <v/>
      </c>
    </row>
    <row r="846" spans="1:8" x14ac:dyDescent="0.2">
      <c r="A846" t="s">
        <v>93</v>
      </c>
      <c r="B846" t="s">
        <v>1</v>
      </c>
      <c r="D846" t="s">
        <v>2960</v>
      </c>
      <c r="E846" t="str" cm="1">
        <f t="array" ref="E846">IF(COUNTIF(A:A, "*" &amp; LEFT(D846, FIND(" ", D846 &amp; " ") - 1) &amp; "*") &gt; 0,INDEX(A:A,FuzzyVLookup(D846,A:A,0,,,1)),"Non-PDL")</f>
        <v>meperidine</v>
      </c>
      <c r="F846" t="str">
        <f t="shared" si="26"/>
        <v>Non-Preferred</v>
      </c>
      <c r="G846" s="1" cm="1">
        <f t="array" ref="G846">FuzzyPercent(D846,E846,1)</f>
        <v>0.58823531866073608</v>
      </c>
      <c r="H846" t="str">
        <f t="shared" si="27"/>
        <v/>
      </c>
    </row>
    <row r="847" spans="1:8" x14ac:dyDescent="0.2">
      <c r="A847" t="s">
        <v>95</v>
      </c>
      <c r="B847" t="s">
        <v>1</v>
      </c>
      <c r="D847" t="s">
        <v>2961</v>
      </c>
      <c r="E847" t="str" cm="1">
        <f t="array" ref="E847">IF(COUNTIF(A:A, "*" &amp; LEFT(D847, FIND(" ", D847 &amp; " ") - 1) &amp; "*") &gt; 0,INDEX(A:A,FuzzyVLookup(D847,A:A,0,,,1)),"Non-PDL")</f>
        <v>ZEJULA (niraparib)</v>
      </c>
      <c r="F847" t="str">
        <f t="shared" si="26"/>
        <v>Preferred</v>
      </c>
      <c r="G847" s="1" cm="1">
        <f t="array" ref="G847">FuzzyPercent(D847,E847,1)</f>
        <v>0.5</v>
      </c>
      <c r="H847" t="str">
        <f t="shared" si="27"/>
        <v/>
      </c>
    </row>
    <row r="848" spans="1:8" x14ac:dyDescent="0.2">
      <c r="A848" t="s">
        <v>97</v>
      </c>
      <c r="B848" t="s">
        <v>1</v>
      </c>
      <c r="D848" t="s">
        <v>2962</v>
      </c>
      <c r="E848" t="str" cm="1">
        <f t="array" ref="E848">IF(COUNTIF(A:A, "*" &amp; LEFT(D848, FIND(" ", D848 &amp; " ") - 1) &amp; "*") &gt; 0,INDEX(A:A,FuzzyVLookup(D848,A:A,0,,,1)),"Non-PDL")</f>
        <v>quazepam</v>
      </c>
      <c r="F848" t="str">
        <f t="shared" si="26"/>
        <v>Non-Preferred</v>
      </c>
      <c r="G848" s="1" cm="1">
        <f t="array" ref="G848">FuzzyPercent(D848,E848,1)</f>
        <v>0.5</v>
      </c>
      <c r="H848" t="str">
        <f t="shared" si="27"/>
        <v/>
      </c>
    </row>
    <row r="849" spans="1:8" x14ac:dyDescent="0.2">
      <c r="A849" t="s">
        <v>99</v>
      </c>
      <c r="B849" t="s">
        <v>1</v>
      </c>
      <c r="D849" t="s">
        <v>2963</v>
      </c>
      <c r="E849" t="str" cm="1">
        <f t="array" ref="E849">IF(COUNTIF(A:A, "*" &amp; LEFT(D849, FIND(" ", D849 &amp; " ") - 1) &amp; "*") &gt; 0,INDEX(A:A,FuzzyVLookup(D849,A:A,0,,,1)),"Non-PDL")</f>
        <v>ZEPOSIA (ozanimod)</v>
      </c>
      <c r="F849" t="str">
        <f t="shared" si="26"/>
        <v>Non-Preferred</v>
      </c>
      <c r="G849" s="1" cm="1">
        <f t="array" ref="G849">FuzzyPercent(D849,E849,1)</f>
        <v>0.56000000238418579</v>
      </c>
      <c r="H849" t="str">
        <f t="shared" si="27"/>
        <v/>
      </c>
    </row>
    <row r="850" spans="1:8" x14ac:dyDescent="0.2">
      <c r="A850" t="s">
        <v>101</v>
      </c>
      <c r="B850" t="s">
        <v>1</v>
      </c>
      <c r="D850" t="s">
        <v>2964</v>
      </c>
      <c r="E850" t="str" cm="1">
        <f t="array" ref="E850">IF(COUNTIF(A:A, "*" &amp; LEFT(D850, FIND(" ", D850 &amp; " ") - 1) &amp; "*") &gt; 0,INDEX(A:A,FuzzyVLookup(D850,A:A,0,,,1)),"Non-PDL")</f>
        <v>Non-PDL</v>
      </c>
      <c r="F850" t="str">
        <f t="shared" si="26"/>
        <v>Non-PDL</v>
      </c>
      <c r="G850" s="1" cm="1">
        <f t="array" ref="G850">FuzzyPercent(D850,E850,1)</f>
        <v>0.125</v>
      </c>
      <c r="H850" t="str">
        <f t="shared" si="27"/>
        <v/>
      </c>
    </row>
    <row r="851" spans="1:8" x14ac:dyDescent="0.2">
      <c r="A851" t="s">
        <v>103</v>
      </c>
      <c r="B851" t="s">
        <v>1</v>
      </c>
      <c r="D851" t="s">
        <v>2965</v>
      </c>
      <c r="E851" t="str" cm="1">
        <f t="array" ref="E851">IF(COUNTIF(A:A, "*" &amp; LEFT(D851, FIND(" ", D851 &amp; " ") - 1) &amp; "*") &gt; 0,INDEX(A:A,FuzzyVLookup(D851,A:A,0,,,1)),"Non-PDL")</f>
        <v>ZERVIATE (cetirizine)</v>
      </c>
      <c r="F851" t="str">
        <f t="shared" si="26"/>
        <v>Preferred</v>
      </c>
      <c r="G851" s="1" cm="1">
        <f t="array" ref="G851">FuzzyPercent(D851,E851,1)</f>
        <v>0.51219511032104492</v>
      </c>
      <c r="H851" t="str">
        <f t="shared" si="27"/>
        <v/>
      </c>
    </row>
    <row r="852" spans="1:8" x14ac:dyDescent="0.2">
      <c r="A852" t="s">
        <v>105</v>
      </c>
      <c r="B852" t="s">
        <v>1</v>
      </c>
      <c r="D852" t="s">
        <v>2966</v>
      </c>
      <c r="E852" t="str" cm="1">
        <f t="array" ref="E852">IF(COUNTIF(A:A, "*" &amp; LEFT(D852, FIND(" ", D852 &amp; " ") - 1) &amp; "*") &gt; 0,INDEX(A:A,FuzzyVLookup(D852,A:A,0,,,1)),"Non-PDL")</f>
        <v>zileuton</v>
      </c>
      <c r="F852" t="str">
        <f t="shared" si="26"/>
        <v>Non-Preferred</v>
      </c>
      <c r="G852" s="1" cm="1">
        <f t="array" ref="G852">FuzzyPercent(D852,E852,1)</f>
        <v>0.55555558204650879</v>
      </c>
      <c r="H852" t="str">
        <f t="shared" si="27"/>
        <v/>
      </c>
    </row>
    <row r="853" spans="1:8" x14ac:dyDescent="0.2">
      <c r="A853" t="s">
        <v>107</v>
      </c>
      <c r="B853" t="s">
        <v>1</v>
      </c>
      <c r="D853" t="s">
        <v>2967</v>
      </c>
      <c r="E853" t="str" cm="1">
        <f t="array" ref="E853">IF(COUNTIF(A:A, "*" &amp; LEFT(D853, FIND(" ", D853 &amp; " ") - 1) &amp; "*") &gt; 0,INDEX(A:A,FuzzyVLookup(D853,A:A,0,,,1)),"Non-PDL")</f>
        <v>Non-PDL</v>
      </c>
      <c r="F853" t="str">
        <f t="shared" si="26"/>
        <v>Non-PDL</v>
      </c>
      <c r="G853" s="1" cm="1">
        <f t="array" ref="G853">FuzzyPercent(D853,E853,1)</f>
        <v>0</v>
      </c>
      <c r="H853" t="str">
        <f t="shared" si="27"/>
        <v/>
      </c>
    </row>
    <row r="854" spans="1:8" x14ac:dyDescent="0.2">
      <c r="A854" t="s">
        <v>109</v>
      </c>
      <c r="B854" t="s">
        <v>1</v>
      </c>
      <c r="D854" t="s">
        <v>2968</v>
      </c>
      <c r="E854" t="str" cm="1">
        <f t="array" ref="E854">IF(COUNTIF(A:A, "*" &amp; LEFT(D854, FIND(" ", D854 &amp; " ") - 1) &amp; "*") &gt; 0,INDEX(A:A,FuzzyVLookup(D854,A:A,0,,,1)),"Non-PDL")</f>
        <v>ziprasidone</v>
      </c>
      <c r="F854" t="str">
        <f t="shared" si="26"/>
        <v>Preferred</v>
      </c>
      <c r="G854" s="1" cm="1">
        <f t="array" ref="G854">FuzzyPercent(D854,E854,1)</f>
        <v>1</v>
      </c>
      <c r="H854" t="str">
        <f t="shared" si="27"/>
        <v/>
      </c>
    </row>
    <row r="855" spans="1:8" x14ac:dyDescent="0.2">
      <c r="A855" t="s">
        <v>111</v>
      </c>
      <c r="B855" t="s">
        <v>1</v>
      </c>
      <c r="D855" t="s">
        <v>2969</v>
      </c>
      <c r="E855" t="str" cm="1">
        <f t="array" ref="E855">IF(COUNTIF(A:A, "*" &amp; LEFT(D855, FIND(" ", D855 &amp; " ") - 1) &amp; "*") &gt; 0,INDEX(A:A,FuzzyVLookup(D855,A:A,0,,,1)),"Non-PDL")</f>
        <v>Non-PDL</v>
      </c>
      <c r="F855" t="str">
        <f t="shared" si="26"/>
        <v>Non-PDL</v>
      </c>
      <c r="G855" s="1" cm="1">
        <f t="array" ref="G855">FuzzyPercent(D855,E855,1)</f>
        <v>0.1428571492433548</v>
      </c>
      <c r="H855" t="str">
        <f t="shared" si="27"/>
        <v/>
      </c>
    </row>
    <row r="856" spans="1:8" x14ac:dyDescent="0.2">
      <c r="A856" t="s">
        <v>113</v>
      </c>
      <c r="B856" t="s">
        <v>1</v>
      </c>
      <c r="D856" t="s">
        <v>2970</v>
      </c>
      <c r="E856" t="str" cm="1">
        <f t="array" ref="E856">IF(COUNTIF(A:A, "*" &amp; LEFT(D856, FIND(" ", D856 &amp; " ") - 1) &amp; "*") &gt; 0,INDEX(A:A,FuzzyVLookup(D856,A:A,0,,,1)),"Non-PDL")</f>
        <v>Non-PDL</v>
      </c>
      <c r="F856" t="str">
        <f t="shared" si="26"/>
        <v>Non-PDL</v>
      </c>
      <c r="G856" s="1" cm="1">
        <f t="array" ref="G856">FuzzyPercent(D856,E856,1)</f>
        <v>0.1111111119389534</v>
      </c>
      <c r="H856" t="str">
        <f t="shared" si="27"/>
        <v/>
      </c>
    </row>
    <row r="857" spans="1:8" x14ac:dyDescent="0.2">
      <c r="A857" t="s">
        <v>115</v>
      </c>
      <c r="B857" t="s">
        <v>1</v>
      </c>
      <c r="D857" t="s">
        <v>2971</v>
      </c>
      <c r="E857" t="str" cm="1">
        <f t="array" ref="E857">IF(COUNTIF(A:A, "*" &amp; LEFT(D857, FIND(" ", D857 &amp; " ") - 1) &amp; "*") &gt; 0,INDEX(A:A,FuzzyVLookup(D857,A:A,0,,,1)),"Non-PDL")</f>
        <v>zolpidem ER</v>
      </c>
      <c r="F857" t="str">
        <f t="shared" si="26"/>
        <v>Non-Preferred</v>
      </c>
      <c r="G857" s="1" cm="1">
        <f t="array" ref="G857">FuzzyPercent(D857,E857,1)</f>
        <v>0.84210526943206787</v>
      </c>
      <c r="H857" t="str">
        <f t="shared" si="27"/>
        <v/>
      </c>
    </row>
    <row r="858" spans="1:8" x14ac:dyDescent="0.2">
      <c r="A858" t="s">
        <v>117</v>
      </c>
      <c r="B858" t="s">
        <v>1</v>
      </c>
      <c r="D858" t="s">
        <v>2972</v>
      </c>
      <c r="E858" t="str" cm="1">
        <f t="array" ref="E858">IF(COUNTIF(A:A, "*" &amp; LEFT(D858, FIND(" ", D858 &amp; " ") - 1) &amp; "*") &gt; 0,INDEX(A:A,FuzzyVLookup(D858,A:A,0,,,1)),"Non-PDL")</f>
        <v>zolpidem ER</v>
      </c>
      <c r="F858" t="str">
        <f t="shared" si="26"/>
        <v>Non-Preferred</v>
      </c>
      <c r="G858" s="1" cm="1">
        <f t="array" ref="G858">FuzzyPercent(D858,E858,1)</f>
        <v>0.90909093618392944</v>
      </c>
      <c r="H858" t="str">
        <f t="shared" si="27"/>
        <v/>
      </c>
    </row>
    <row r="859" spans="1:8" x14ac:dyDescent="0.2">
      <c r="A859" t="s">
        <v>119</v>
      </c>
      <c r="B859" t="s">
        <v>1</v>
      </c>
      <c r="D859" t="s">
        <v>2973</v>
      </c>
      <c r="E859" t="str" cm="1">
        <f t="array" ref="E859">IF(COUNTIF(A:A, "*" &amp; LEFT(D859, FIND(" ", D859 &amp; " ") - 1) &amp; "*") &gt; 0,INDEX(A:A,FuzzyVLookup(D859,A:A,0,,,1)),"Non-PDL")</f>
        <v>zonisamide</v>
      </c>
      <c r="F859" t="str">
        <f t="shared" si="26"/>
        <v>Preferred</v>
      </c>
      <c r="G859" s="1" cm="1">
        <f t="array" ref="G859">FuzzyPercent(D859,E859,1)</f>
        <v>0.77777779102325439</v>
      </c>
      <c r="H859" t="str">
        <f t="shared" si="27"/>
        <v/>
      </c>
    </row>
    <row r="860" spans="1:8" x14ac:dyDescent="0.2">
      <c r="A860" t="s">
        <v>121</v>
      </c>
      <c r="B860" t="s">
        <v>1</v>
      </c>
      <c r="D860" t="s">
        <v>2974</v>
      </c>
      <c r="E860" t="str" cm="1">
        <f t="array" ref="E860">IF(COUNTIF(A:A, "*" &amp; LEFT(D860, FIND(" ", D860 &amp; " ") - 1) &amp; "*") &gt; 0,INDEX(A:A,FuzzyVLookup(D860,A:A,0,,,1)),"Non-PDL")</f>
        <v>miconazole cream, powder, solution OTC</v>
      </c>
      <c r="F860" t="str">
        <f t="shared" si="26"/>
        <v>Preferred</v>
      </c>
      <c r="G860" s="1" cm="1">
        <f t="array" ref="G860">FuzzyPercent(D860,E860,1)</f>
        <v>0.39473685622215271</v>
      </c>
      <c r="H860" t="str">
        <f t="shared" si="27"/>
        <v>CHECK</v>
      </c>
    </row>
    <row r="861" spans="1:8" x14ac:dyDescent="0.2">
      <c r="A861" t="s">
        <v>123</v>
      </c>
      <c r="B861" t="s">
        <v>1</v>
      </c>
      <c r="D861" t="s">
        <v>2975</v>
      </c>
      <c r="E861" t="str" cm="1">
        <f t="array" ref="E861">IF(COUNTIF(A:A, "*" &amp; LEFT(D861, FIND(" ", D861 &amp; " ") - 1) &amp; "*") &gt; 0,INDEX(A:A,FuzzyVLookup(D861,A:A,0,,,1)),"Non-PDL")</f>
        <v>lidocaine 4% cream, patch, solution</v>
      </c>
      <c r="F861" t="str">
        <f t="shared" si="26"/>
        <v>Preferred</v>
      </c>
      <c r="G861" s="1" cm="1">
        <f t="array" ref="G861">FuzzyPercent(D861,E861,1)</f>
        <v>0.3611111044883728</v>
      </c>
      <c r="H861" t="str">
        <f t="shared" si="27"/>
        <v>CHECK</v>
      </c>
    </row>
    <row r="862" spans="1:8" x14ac:dyDescent="0.2">
      <c r="A862" t="s">
        <v>125</v>
      </c>
      <c r="B862" t="s">
        <v>1</v>
      </c>
      <c r="D862" t="s">
        <v>2976</v>
      </c>
      <c r="E862" t="str" cm="1">
        <f t="array" ref="E862">IF(COUNTIF(A:A, "*" &amp; LEFT(D862, FIND(" ", D862 &amp; " ") - 1) &amp; "*") &gt; 0,INDEX(A:A,FuzzyVLookup(D862,A:A,0,,,1)),"Non-PDL")</f>
        <v>ZTALMY (ganaxolone)</v>
      </c>
      <c r="F862" t="str">
        <f t="shared" si="26"/>
        <v>Preferred</v>
      </c>
      <c r="G862" s="1" cm="1">
        <f t="array" ref="G862">FuzzyPercent(D862,E862,1)</f>
        <v>0.47999998927116394</v>
      </c>
      <c r="H862" t="str">
        <f t="shared" si="27"/>
        <v/>
      </c>
    </row>
    <row r="863" spans="1:8" x14ac:dyDescent="0.2">
      <c r="A863" t="s">
        <v>127</v>
      </c>
      <c r="B863" t="s">
        <v>1</v>
      </c>
      <c r="D863" t="s">
        <v>2977</v>
      </c>
      <c r="E863" t="str" cm="1">
        <f t="array" ref="E863">IF(COUNTIF(A:A, "*" &amp; LEFT(D863, FIND(" ", D863 &amp; " ") - 1) &amp; "*") &gt; 0,INDEX(A:A,FuzzyVLookup(D863,A:A,0,,,1)),"Non-PDL")</f>
        <v>ZURZUVAE (zuranolone)</v>
      </c>
      <c r="F863" t="str">
        <f t="shared" si="26"/>
        <v>Non-Preferred</v>
      </c>
      <c r="G863" s="1" cm="1">
        <f t="array" ref="G863">FuzzyPercent(D863,E863,1)</f>
        <v>0.5517241358757019</v>
      </c>
      <c r="H863" t="str">
        <f t="shared" si="27"/>
        <v/>
      </c>
    </row>
    <row r="864" spans="1:8" x14ac:dyDescent="0.2">
      <c r="A864" t="s">
        <v>129</v>
      </c>
      <c r="B864" t="s">
        <v>1</v>
      </c>
      <c r="D864" t="s">
        <v>2978</v>
      </c>
      <c r="E864" t="str" cm="1">
        <f t="array" ref="E864">IF(COUNTIF(A:A, "*" &amp; LEFT(D864, FIND(" ", D864 &amp; " ") - 1) &amp; "*") &gt; 0,INDEX(A:A,FuzzyVLookup(D864,A:A,0,,,1)),"Non-PDL")</f>
        <v>Non-PDL</v>
      </c>
      <c r="F864" t="str">
        <f t="shared" si="26"/>
        <v>Non-PDL</v>
      </c>
      <c r="G864" s="1" cm="1">
        <f t="array" ref="G864">FuzzyPercent(D864,E864,1)</f>
        <v>0.25</v>
      </c>
      <c r="H864" t="str">
        <f t="shared" si="27"/>
        <v/>
      </c>
    </row>
    <row r="865" spans="1:8" x14ac:dyDescent="0.2">
      <c r="A865" t="s">
        <v>131</v>
      </c>
      <c r="B865" t="s">
        <v>1</v>
      </c>
      <c r="D865" t="s">
        <v>2979</v>
      </c>
      <c r="E865" t="str" cm="1">
        <f t="array" ref="E865">IF(COUNTIF(A:A, "*" &amp; LEFT(D865, FIND(" ", D865 &amp; " ") - 1) &amp; "*") &gt; 0,INDEX(A:A,FuzzyVLookup(D865,A:A,0,,,1)),"Non-PDL")</f>
        <v>ZYPREXA (olanzapine)</v>
      </c>
      <c r="F865" t="str">
        <f t="shared" si="26"/>
        <v>Non-Preferred</v>
      </c>
      <c r="G865" s="1" cm="1">
        <f t="array" ref="G865">FuzzyPercent(D865,E865,1)</f>
        <v>0.51851850748062134</v>
      </c>
      <c r="H865" t="str">
        <f t="shared" si="27"/>
        <v/>
      </c>
    </row>
    <row r="866" spans="1:8" x14ac:dyDescent="0.2">
      <c r="A866" t="s">
        <v>133</v>
      </c>
      <c r="B866" t="s">
        <v>1</v>
      </c>
      <c r="D866" t="s">
        <v>2980</v>
      </c>
      <c r="E866" t="str" cm="1">
        <f t="array" ref="E866">IF(COUNTIF(A:A, "*" &amp; LEFT(D866, FIND(" ", D866 &amp; " ") - 1) &amp; "*") &gt; 0,INDEX(A:A,FuzzyVLookup(D866,A:A,0,,,1)),"Non-PDL")</f>
        <v>ZYPREXA ZYDIS (olanzapine)</v>
      </c>
      <c r="F866" t="str">
        <f t="shared" si="26"/>
        <v>Non-Preferred</v>
      </c>
      <c r="G866" s="1" cm="1">
        <f t="array" ref="G866">FuzzyPercent(D866,E866,1)</f>
        <v>0.66666668653488159</v>
      </c>
      <c r="H866" t="str">
        <f t="shared" si="27"/>
        <v/>
      </c>
    </row>
    <row r="867" spans="1:8" x14ac:dyDescent="0.2">
      <c r="A867" t="s">
        <v>135</v>
      </c>
      <c r="B867" t="s">
        <v>1</v>
      </c>
      <c r="D867" t="s">
        <v>2981</v>
      </c>
      <c r="E867" t="str" cm="1">
        <f t="array" ref="E867">IF(COUNTIF(A:A, "*" &amp; LEFT(D867, FIND(" ", D867 &amp; " ") - 1) &amp; "*") &gt; 0,INDEX(A:A,FuzzyVLookup(D867,A:A,0,,,1)),"Non-PDL")</f>
        <v>ZYPREXA RELPREVV (olanzapine)</v>
      </c>
      <c r="F867" t="str">
        <f t="shared" si="26"/>
        <v>Non-Preferred</v>
      </c>
      <c r="G867" s="1" cm="1">
        <f t="array" ref="G867">FuzzyPercent(D867,E867,1)</f>
        <v>0.71111112833023071</v>
      </c>
      <c r="H867" t="str">
        <f t="shared" si="27"/>
        <v/>
      </c>
    </row>
    <row r="868" spans="1:8" x14ac:dyDescent="0.2">
      <c r="A868" t="s">
        <v>137</v>
      </c>
      <c r="B868" t="s">
        <v>1</v>
      </c>
    </row>
    <row r="869" spans="1:8" x14ac:dyDescent="0.2">
      <c r="A869" t="s">
        <v>139</v>
      </c>
      <c r="B869" t="s">
        <v>1</v>
      </c>
    </row>
    <row r="870" spans="1:8" x14ac:dyDescent="0.2">
      <c r="A870" t="s">
        <v>141</v>
      </c>
      <c r="B870" t="s">
        <v>1</v>
      </c>
    </row>
    <row r="871" spans="1:8" x14ac:dyDescent="0.2">
      <c r="A871" t="s">
        <v>143</v>
      </c>
      <c r="B871" t="s">
        <v>1</v>
      </c>
    </row>
    <row r="872" spans="1:8" x14ac:dyDescent="0.2">
      <c r="A872" t="s">
        <v>145</v>
      </c>
      <c r="B872" t="s">
        <v>1</v>
      </c>
    </row>
    <row r="873" spans="1:8" x14ac:dyDescent="0.2">
      <c r="A873" t="s">
        <v>147</v>
      </c>
      <c r="B873" t="s">
        <v>1</v>
      </c>
    </row>
    <row r="874" spans="1:8" x14ac:dyDescent="0.2">
      <c r="A874" t="s">
        <v>149</v>
      </c>
      <c r="B874" t="s">
        <v>1</v>
      </c>
    </row>
    <row r="875" spans="1:8" x14ac:dyDescent="0.2">
      <c r="A875" t="s">
        <v>151</v>
      </c>
      <c r="B875" t="s">
        <v>1</v>
      </c>
    </row>
    <row r="876" spans="1:8" x14ac:dyDescent="0.2">
      <c r="A876" t="s">
        <v>153</v>
      </c>
      <c r="B876" t="s">
        <v>1</v>
      </c>
    </row>
    <row r="877" spans="1:8" x14ac:dyDescent="0.2">
      <c r="A877" t="s">
        <v>155</v>
      </c>
      <c r="B877" t="s">
        <v>1</v>
      </c>
    </row>
    <row r="878" spans="1:8" x14ac:dyDescent="0.2">
      <c r="A878" t="s">
        <v>157</v>
      </c>
      <c r="B878" t="s">
        <v>1</v>
      </c>
    </row>
    <row r="879" spans="1:8" x14ac:dyDescent="0.2">
      <c r="A879" t="s">
        <v>159</v>
      </c>
      <c r="B879" t="s">
        <v>1</v>
      </c>
    </row>
    <row r="880" spans="1:8" x14ac:dyDescent="0.2">
      <c r="A880" t="s">
        <v>161</v>
      </c>
      <c r="B880" t="s">
        <v>1</v>
      </c>
    </row>
    <row r="881" spans="1:2" x14ac:dyDescent="0.2">
      <c r="A881" t="s">
        <v>163</v>
      </c>
      <c r="B881" t="s">
        <v>1</v>
      </c>
    </row>
    <row r="882" spans="1:2" x14ac:dyDescent="0.2">
      <c r="A882" t="s">
        <v>165</v>
      </c>
      <c r="B882" t="s">
        <v>1</v>
      </c>
    </row>
    <row r="883" spans="1:2" x14ac:dyDescent="0.2">
      <c r="A883" t="s">
        <v>167</v>
      </c>
      <c r="B883" t="s">
        <v>1</v>
      </c>
    </row>
    <row r="884" spans="1:2" x14ac:dyDescent="0.2">
      <c r="A884" t="s">
        <v>169</v>
      </c>
      <c r="B884" t="s">
        <v>1</v>
      </c>
    </row>
    <row r="885" spans="1:2" x14ac:dyDescent="0.2">
      <c r="A885" t="s">
        <v>171</v>
      </c>
      <c r="B885" t="s">
        <v>1</v>
      </c>
    </row>
    <row r="886" spans="1:2" x14ac:dyDescent="0.2">
      <c r="A886" t="s">
        <v>173</v>
      </c>
      <c r="B886" t="s">
        <v>1</v>
      </c>
    </row>
    <row r="887" spans="1:2" x14ac:dyDescent="0.2">
      <c r="A887" t="s">
        <v>175</v>
      </c>
      <c r="B887" t="s">
        <v>1</v>
      </c>
    </row>
    <row r="888" spans="1:2" x14ac:dyDescent="0.2">
      <c r="A888" t="s">
        <v>177</v>
      </c>
      <c r="B888" t="s">
        <v>1</v>
      </c>
    </row>
    <row r="889" spans="1:2" x14ac:dyDescent="0.2">
      <c r="A889" t="s">
        <v>179</v>
      </c>
      <c r="B889" t="s">
        <v>1</v>
      </c>
    </row>
    <row r="890" spans="1:2" x14ac:dyDescent="0.2">
      <c r="A890" t="s">
        <v>181</v>
      </c>
      <c r="B890" t="s">
        <v>1</v>
      </c>
    </row>
    <row r="891" spans="1:2" x14ac:dyDescent="0.2">
      <c r="A891" t="s">
        <v>183</v>
      </c>
      <c r="B891" t="s">
        <v>1</v>
      </c>
    </row>
    <row r="892" spans="1:2" x14ac:dyDescent="0.2">
      <c r="A892" t="s">
        <v>185</v>
      </c>
      <c r="B892" t="s">
        <v>1</v>
      </c>
    </row>
    <row r="893" spans="1:2" x14ac:dyDescent="0.2">
      <c r="A893" t="s">
        <v>187</v>
      </c>
      <c r="B893" t="s">
        <v>1</v>
      </c>
    </row>
    <row r="894" spans="1:2" x14ac:dyDescent="0.2">
      <c r="A894" t="s">
        <v>189</v>
      </c>
      <c r="B894" t="s">
        <v>1</v>
      </c>
    </row>
    <row r="895" spans="1:2" x14ac:dyDescent="0.2">
      <c r="A895" t="s">
        <v>191</v>
      </c>
      <c r="B895" t="s">
        <v>1</v>
      </c>
    </row>
    <row r="896" spans="1:2" x14ac:dyDescent="0.2">
      <c r="A896" t="s">
        <v>193</v>
      </c>
      <c r="B896" t="s">
        <v>1</v>
      </c>
    </row>
    <row r="897" spans="1:2" x14ac:dyDescent="0.2">
      <c r="A897" t="s">
        <v>195</v>
      </c>
      <c r="B897" t="s">
        <v>1</v>
      </c>
    </row>
    <row r="898" spans="1:2" x14ac:dyDescent="0.2">
      <c r="A898" t="s">
        <v>197</v>
      </c>
      <c r="B898" t="s">
        <v>1</v>
      </c>
    </row>
    <row r="899" spans="1:2" x14ac:dyDescent="0.2">
      <c r="A899" t="s">
        <v>199</v>
      </c>
      <c r="B899" t="s">
        <v>1</v>
      </c>
    </row>
    <row r="900" spans="1:2" x14ac:dyDescent="0.2">
      <c r="A900" t="s">
        <v>201</v>
      </c>
      <c r="B900" t="s">
        <v>1</v>
      </c>
    </row>
    <row r="901" spans="1:2" x14ac:dyDescent="0.2">
      <c r="A901" t="s">
        <v>203</v>
      </c>
      <c r="B901" t="s">
        <v>1</v>
      </c>
    </row>
    <row r="902" spans="1:2" x14ac:dyDescent="0.2">
      <c r="A902" t="s">
        <v>205</v>
      </c>
      <c r="B902" t="s">
        <v>1</v>
      </c>
    </row>
    <row r="903" spans="1:2" x14ac:dyDescent="0.2">
      <c r="A903" t="s">
        <v>207</v>
      </c>
      <c r="B903" t="s">
        <v>1</v>
      </c>
    </row>
    <row r="904" spans="1:2" x14ac:dyDescent="0.2">
      <c r="A904" t="s">
        <v>209</v>
      </c>
      <c r="B904" t="s">
        <v>1</v>
      </c>
    </row>
    <row r="905" spans="1:2" x14ac:dyDescent="0.2">
      <c r="A905" t="s">
        <v>211</v>
      </c>
      <c r="B905" t="s">
        <v>1</v>
      </c>
    </row>
    <row r="906" spans="1:2" x14ac:dyDescent="0.2">
      <c r="A906" t="s">
        <v>213</v>
      </c>
      <c r="B906" t="s">
        <v>1</v>
      </c>
    </row>
    <row r="907" spans="1:2" x14ac:dyDescent="0.2">
      <c r="A907" t="s">
        <v>215</v>
      </c>
      <c r="B907" t="s">
        <v>1</v>
      </c>
    </row>
    <row r="908" spans="1:2" x14ac:dyDescent="0.2">
      <c r="A908" t="s">
        <v>217</v>
      </c>
      <c r="B908" t="s">
        <v>1</v>
      </c>
    </row>
    <row r="909" spans="1:2" x14ac:dyDescent="0.2">
      <c r="A909" t="s">
        <v>219</v>
      </c>
      <c r="B909" t="s">
        <v>1</v>
      </c>
    </row>
    <row r="910" spans="1:2" x14ac:dyDescent="0.2">
      <c r="A910" t="s">
        <v>221</v>
      </c>
      <c r="B910" t="s">
        <v>1</v>
      </c>
    </row>
    <row r="911" spans="1:2" x14ac:dyDescent="0.2">
      <c r="A911" t="s">
        <v>223</v>
      </c>
      <c r="B911" t="s">
        <v>1</v>
      </c>
    </row>
    <row r="912" spans="1:2" x14ac:dyDescent="0.2">
      <c r="A912" t="s">
        <v>225</v>
      </c>
      <c r="B912" t="s">
        <v>1</v>
      </c>
    </row>
    <row r="913" spans="1:2" x14ac:dyDescent="0.2">
      <c r="A913" t="s">
        <v>227</v>
      </c>
      <c r="B913" t="s">
        <v>1</v>
      </c>
    </row>
    <row r="914" spans="1:2" x14ac:dyDescent="0.2">
      <c r="A914" t="s">
        <v>229</v>
      </c>
      <c r="B914" t="s">
        <v>1</v>
      </c>
    </row>
    <row r="915" spans="1:2" x14ac:dyDescent="0.2">
      <c r="A915" t="s">
        <v>231</v>
      </c>
      <c r="B915" t="s">
        <v>1</v>
      </c>
    </row>
    <row r="916" spans="1:2" x14ac:dyDescent="0.2">
      <c r="A916" t="s">
        <v>233</v>
      </c>
      <c r="B916" t="s">
        <v>1</v>
      </c>
    </row>
    <row r="917" spans="1:2" x14ac:dyDescent="0.2">
      <c r="A917" t="s">
        <v>235</v>
      </c>
      <c r="B917" t="s">
        <v>1</v>
      </c>
    </row>
    <row r="918" spans="1:2" x14ac:dyDescent="0.2">
      <c r="A918" t="s">
        <v>237</v>
      </c>
      <c r="B918" t="s">
        <v>1</v>
      </c>
    </row>
    <row r="919" spans="1:2" x14ac:dyDescent="0.2">
      <c r="A919" t="s">
        <v>239</v>
      </c>
      <c r="B919" t="s">
        <v>1</v>
      </c>
    </row>
    <row r="920" spans="1:2" x14ac:dyDescent="0.2">
      <c r="A920" t="s">
        <v>241</v>
      </c>
      <c r="B920" t="s">
        <v>1</v>
      </c>
    </row>
    <row r="921" spans="1:2" x14ac:dyDescent="0.2">
      <c r="A921" t="s">
        <v>243</v>
      </c>
      <c r="B921" t="s">
        <v>1</v>
      </c>
    </row>
    <row r="922" spans="1:2" x14ac:dyDescent="0.2">
      <c r="A922" t="s">
        <v>245</v>
      </c>
      <c r="B922" t="s">
        <v>1</v>
      </c>
    </row>
    <row r="923" spans="1:2" x14ac:dyDescent="0.2">
      <c r="A923" t="s">
        <v>247</v>
      </c>
      <c r="B923" t="s">
        <v>1</v>
      </c>
    </row>
    <row r="924" spans="1:2" x14ac:dyDescent="0.2">
      <c r="A924" t="s">
        <v>249</v>
      </c>
      <c r="B924" t="s">
        <v>1</v>
      </c>
    </row>
    <row r="925" spans="1:2" x14ac:dyDescent="0.2">
      <c r="A925" t="s">
        <v>251</v>
      </c>
      <c r="B925" t="s">
        <v>1</v>
      </c>
    </row>
    <row r="926" spans="1:2" x14ac:dyDescent="0.2">
      <c r="A926" t="s">
        <v>253</v>
      </c>
      <c r="B926" t="s">
        <v>1</v>
      </c>
    </row>
    <row r="927" spans="1:2" x14ac:dyDescent="0.2">
      <c r="A927" t="s">
        <v>255</v>
      </c>
      <c r="B927" t="s">
        <v>1</v>
      </c>
    </row>
    <row r="928" spans="1:2" x14ac:dyDescent="0.2">
      <c r="A928" t="s">
        <v>257</v>
      </c>
      <c r="B928" t="s">
        <v>1</v>
      </c>
    </row>
    <row r="929" spans="1:2" x14ac:dyDescent="0.2">
      <c r="A929" t="s">
        <v>259</v>
      </c>
      <c r="B929" t="s">
        <v>1</v>
      </c>
    </row>
    <row r="930" spans="1:2" x14ac:dyDescent="0.2">
      <c r="A930" t="s">
        <v>261</v>
      </c>
      <c r="B930" t="s">
        <v>1</v>
      </c>
    </row>
    <row r="931" spans="1:2" x14ac:dyDescent="0.2">
      <c r="A931" t="s">
        <v>263</v>
      </c>
      <c r="B931" t="s">
        <v>1</v>
      </c>
    </row>
    <row r="932" spans="1:2" x14ac:dyDescent="0.2">
      <c r="A932" t="s">
        <v>265</v>
      </c>
      <c r="B932" t="s">
        <v>1</v>
      </c>
    </row>
    <row r="933" spans="1:2" x14ac:dyDescent="0.2">
      <c r="A933" t="s">
        <v>267</v>
      </c>
      <c r="B933" t="s">
        <v>1</v>
      </c>
    </row>
    <row r="934" spans="1:2" x14ac:dyDescent="0.2">
      <c r="A934" t="s">
        <v>269</v>
      </c>
      <c r="B934" t="s">
        <v>1</v>
      </c>
    </row>
    <row r="935" spans="1:2" x14ac:dyDescent="0.2">
      <c r="A935" t="s">
        <v>271</v>
      </c>
      <c r="B935" t="s">
        <v>1</v>
      </c>
    </row>
    <row r="936" spans="1:2" x14ac:dyDescent="0.2">
      <c r="A936" t="s">
        <v>273</v>
      </c>
      <c r="B936" t="s">
        <v>1</v>
      </c>
    </row>
    <row r="937" spans="1:2" x14ac:dyDescent="0.2">
      <c r="A937" t="s">
        <v>275</v>
      </c>
      <c r="B937" t="s">
        <v>1</v>
      </c>
    </row>
    <row r="938" spans="1:2" x14ac:dyDescent="0.2">
      <c r="A938" t="s">
        <v>277</v>
      </c>
      <c r="B938" t="s">
        <v>1</v>
      </c>
    </row>
    <row r="939" spans="1:2" x14ac:dyDescent="0.2">
      <c r="A939" t="s">
        <v>279</v>
      </c>
      <c r="B939" t="s">
        <v>1</v>
      </c>
    </row>
    <row r="940" spans="1:2" x14ac:dyDescent="0.2">
      <c r="A940" t="s">
        <v>281</v>
      </c>
      <c r="B940" t="s">
        <v>1</v>
      </c>
    </row>
    <row r="941" spans="1:2" x14ac:dyDescent="0.2">
      <c r="A941" t="s">
        <v>283</v>
      </c>
      <c r="B941" t="s">
        <v>1</v>
      </c>
    </row>
    <row r="942" spans="1:2" x14ac:dyDescent="0.2">
      <c r="A942" t="s">
        <v>285</v>
      </c>
      <c r="B942" t="s">
        <v>1</v>
      </c>
    </row>
    <row r="943" spans="1:2" x14ac:dyDescent="0.2">
      <c r="A943" t="s">
        <v>287</v>
      </c>
      <c r="B943" t="s">
        <v>1</v>
      </c>
    </row>
    <row r="944" spans="1:2" x14ac:dyDescent="0.2">
      <c r="A944" t="s">
        <v>289</v>
      </c>
      <c r="B944" t="s">
        <v>1</v>
      </c>
    </row>
    <row r="945" spans="1:2" x14ac:dyDescent="0.2">
      <c r="A945" t="s">
        <v>291</v>
      </c>
      <c r="B945" t="s">
        <v>1</v>
      </c>
    </row>
    <row r="946" spans="1:2" x14ac:dyDescent="0.2">
      <c r="A946" t="s">
        <v>293</v>
      </c>
      <c r="B946" t="s">
        <v>1</v>
      </c>
    </row>
    <row r="947" spans="1:2" x14ac:dyDescent="0.2">
      <c r="A947" t="s">
        <v>295</v>
      </c>
      <c r="B947" t="s">
        <v>1</v>
      </c>
    </row>
    <row r="948" spans="1:2" x14ac:dyDescent="0.2">
      <c r="A948" t="s">
        <v>297</v>
      </c>
      <c r="B948" t="s">
        <v>1</v>
      </c>
    </row>
    <row r="949" spans="1:2" x14ac:dyDescent="0.2">
      <c r="A949" t="s">
        <v>299</v>
      </c>
      <c r="B949" t="s">
        <v>1</v>
      </c>
    </row>
    <row r="950" spans="1:2" x14ac:dyDescent="0.2">
      <c r="A950" t="s">
        <v>301</v>
      </c>
      <c r="B950" t="s">
        <v>1</v>
      </c>
    </row>
    <row r="951" spans="1:2" x14ac:dyDescent="0.2">
      <c r="A951" t="s">
        <v>303</v>
      </c>
      <c r="B951" t="s">
        <v>1</v>
      </c>
    </row>
    <row r="952" spans="1:2" x14ac:dyDescent="0.2">
      <c r="A952" t="s">
        <v>305</v>
      </c>
      <c r="B952" t="s">
        <v>1</v>
      </c>
    </row>
    <row r="953" spans="1:2" x14ac:dyDescent="0.2">
      <c r="A953" t="s">
        <v>307</v>
      </c>
      <c r="B953" t="s">
        <v>1</v>
      </c>
    </row>
    <row r="954" spans="1:2" x14ac:dyDescent="0.2">
      <c r="A954" t="s">
        <v>309</v>
      </c>
      <c r="B954" t="s">
        <v>1</v>
      </c>
    </row>
    <row r="955" spans="1:2" x14ac:dyDescent="0.2">
      <c r="A955" t="s">
        <v>311</v>
      </c>
      <c r="B955" t="s">
        <v>1</v>
      </c>
    </row>
    <row r="956" spans="1:2" x14ac:dyDescent="0.2">
      <c r="A956" t="s">
        <v>313</v>
      </c>
      <c r="B956" t="s">
        <v>1</v>
      </c>
    </row>
    <row r="957" spans="1:2" x14ac:dyDescent="0.2">
      <c r="A957" t="s">
        <v>315</v>
      </c>
      <c r="B957" t="s">
        <v>1</v>
      </c>
    </row>
    <row r="958" spans="1:2" x14ac:dyDescent="0.2">
      <c r="A958" t="s">
        <v>317</v>
      </c>
      <c r="B958" t="s">
        <v>1</v>
      </c>
    </row>
    <row r="959" spans="1:2" x14ac:dyDescent="0.2">
      <c r="A959" t="s">
        <v>319</v>
      </c>
      <c r="B959" t="s">
        <v>1</v>
      </c>
    </row>
    <row r="960" spans="1:2" x14ac:dyDescent="0.2">
      <c r="A960" t="s">
        <v>321</v>
      </c>
      <c r="B960" t="s">
        <v>1</v>
      </c>
    </row>
    <row r="961" spans="1:2" x14ac:dyDescent="0.2">
      <c r="A961" t="s">
        <v>323</v>
      </c>
      <c r="B961" t="s">
        <v>1</v>
      </c>
    </row>
    <row r="962" spans="1:2" x14ac:dyDescent="0.2">
      <c r="A962" t="s">
        <v>325</v>
      </c>
      <c r="B962" t="s">
        <v>1</v>
      </c>
    </row>
    <row r="963" spans="1:2" x14ac:dyDescent="0.2">
      <c r="A963" t="s">
        <v>327</v>
      </c>
      <c r="B963" t="s">
        <v>1</v>
      </c>
    </row>
    <row r="964" spans="1:2" x14ac:dyDescent="0.2">
      <c r="A964" t="s">
        <v>329</v>
      </c>
      <c r="B964" t="s">
        <v>1</v>
      </c>
    </row>
    <row r="965" spans="1:2" x14ac:dyDescent="0.2">
      <c r="A965" t="s">
        <v>331</v>
      </c>
      <c r="B965" t="s">
        <v>1</v>
      </c>
    </row>
    <row r="966" spans="1:2" x14ac:dyDescent="0.2">
      <c r="A966" t="s">
        <v>333</v>
      </c>
      <c r="B966" t="s">
        <v>1</v>
      </c>
    </row>
    <row r="967" spans="1:2" x14ac:dyDescent="0.2">
      <c r="A967" t="s">
        <v>335</v>
      </c>
      <c r="B967" t="s">
        <v>1</v>
      </c>
    </row>
    <row r="968" spans="1:2" x14ac:dyDescent="0.2">
      <c r="A968" t="s">
        <v>337</v>
      </c>
      <c r="B968" t="s">
        <v>1</v>
      </c>
    </row>
    <row r="969" spans="1:2" x14ac:dyDescent="0.2">
      <c r="A969" t="s">
        <v>339</v>
      </c>
      <c r="B969" t="s">
        <v>1</v>
      </c>
    </row>
    <row r="970" spans="1:2" x14ac:dyDescent="0.2">
      <c r="A970" t="s">
        <v>341</v>
      </c>
      <c r="B970" t="s">
        <v>1</v>
      </c>
    </row>
    <row r="971" spans="1:2" x14ac:dyDescent="0.2">
      <c r="A971" t="s">
        <v>343</v>
      </c>
      <c r="B971" t="s">
        <v>1</v>
      </c>
    </row>
    <row r="972" spans="1:2" x14ac:dyDescent="0.2">
      <c r="A972" t="s">
        <v>345</v>
      </c>
      <c r="B972" t="s">
        <v>1</v>
      </c>
    </row>
    <row r="973" spans="1:2" x14ac:dyDescent="0.2">
      <c r="A973" t="s">
        <v>347</v>
      </c>
      <c r="B973" t="s">
        <v>1</v>
      </c>
    </row>
    <row r="974" spans="1:2" x14ac:dyDescent="0.2">
      <c r="A974" t="s">
        <v>349</v>
      </c>
      <c r="B974" t="s">
        <v>1</v>
      </c>
    </row>
    <row r="975" spans="1:2" x14ac:dyDescent="0.2">
      <c r="A975" t="s">
        <v>188</v>
      </c>
      <c r="B975" t="s">
        <v>1</v>
      </c>
    </row>
    <row r="976" spans="1:2" x14ac:dyDescent="0.2">
      <c r="A976" t="s">
        <v>352</v>
      </c>
      <c r="B976" t="s">
        <v>1</v>
      </c>
    </row>
    <row r="977" spans="1:2" x14ac:dyDescent="0.2">
      <c r="A977" t="s">
        <v>354</v>
      </c>
      <c r="B977" t="s">
        <v>1</v>
      </c>
    </row>
    <row r="978" spans="1:2" x14ac:dyDescent="0.2">
      <c r="A978" t="s">
        <v>356</v>
      </c>
      <c r="B978" t="s">
        <v>1</v>
      </c>
    </row>
    <row r="979" spans="1:2" x14ac:dyDescent="0.2">
      <c r="A979" t="s">
        <v>358</v>
      </c>
      <c r="B979" t="s">
        <v>1</v>
      </c>
    </row>
    <row r="980" spans="1:2" x14ac:dyDescent="0.2">
      <c r="A980" t="s">
        <v>360</v>
      </c>
      <c r="B980" t="s">
        <v>1</v>
      </c>
    </row>
    <row r="981" spans="1:2" x14ac:dyDescent="0.2">
      <c r="A981" t="s">
        <v>362</v>
      </c>
      <c r="B981" t="s">
        <v>1</v>
      </c>
    </row>
    <row r="982" spans="1:2" x14ac:dyDescent="0.2">
      <c r="A982" t="s">
        <v>363</v>
      </c>
      <c r="B982" t="s">
        <v>1</v>
      </c>
    </row>
    <row r="983" spans="1:2" x14ac:dyDescent="0.2">
      <c r="A983" t="s">
        <v>365</v>
      </c>
      <c r="B983" t="s">
        <v>1</v>
      </c>
    </row>
    <row r="984" spans="1:2" x14ac:dyDescent="0.2">
      <c r="A984" t="s">
        <v>367</v>
      </c>
      <c r="B984" t="s">
        <v>1</v>
      </c>
    </row>
    <row r="985" spans="1:2" x14ac:dyDescent="0.2">
      <c r="A985" t="s">
        <v>369</v>
      </c>
      <c r="B985" t="s">
        <v>1</v>
      </c>
    </row>
    <row r="986" spans="1:2" x14ac:dyDescent="0.2">
      <c r="A986" t="s">
        <v>371</v>
      </c>
      <c r="B986" t="s">
        <v>1</v>
      </c>
    </row>
    <row r="987" spans="1:2" x14ac:dyDescent="0.2">
      <c r="A987" t="s">
        <v>373</v>
      </c>
      <c r="B987" t="s">
        <v>1</v>
      </c>
    </row>
    <row r="988" spans="1:2" x14ac:dyDescent="0.2">
      <c r="A988" t="s">
        <v>375</v>
      </c>
      <c r="B988" t="s">
        <v>1</v>
      </c>
    </row>
    <row r="989" spans="1:2" x14ac:dyDescent="0.2">
      <c r="A989" t="s">
        <v>377</v>
      </c>
      <c r="B989" t="s">
        <v>1</v>
      </c>
    </row>
    <row r="990" spans="1:2" x14ac:dyDescent="0.2">
      <c r="A990" t="s">
        <v>379</v>
      </c>
      <c r="B990" t="s">
        <v>1</v>
      </c>
    </row>
    <row r="991" spans="1:2" x14ac:dyDescent="0.2">
      <c r="A991" t="s">
        <v>381</v>
      </c>
      <c r="B991" t="s">
        <v>1</v>
      </c>
    </row>
    <row r="992" spans="1:2" x14ac:dyDescent="0.2">
      <c r="A992" t="s">
        <v>383</v>
      </c>
      <c r="B992" t="s">
        <v>1</v>
      </c>
    </row>
    <row r="993" spans="1:2" x14ac:dyDescent="0.2">
      <c r="A993" t="s">
        <v>385</v>
      </c>
      <c r="B993" t="s">
        <v>1</v>
      </c>
    </row>
    <row r="994" spans="1:2" x14ac:dyDescent="0.2">
      <c r="A994" t="s">
        <v>387</v>
      </c>
      <c r="B994" t="s">
        <v>1</v>
      </c>
    </row>
    <row r="995" spans="1:2" x14ac:dyDescent="0.2">
      <c r="A995" t="s">
        <v>389</v>
      </c>
      <c r="B995" t="s">
        <v>1</v>
      </c>
    </row>
    <row r="996" spans="1:2" x14ac:dyDescent="0.2">
      <c r="A996" t="s">
        <v>391</v>
      </c>
      <c r="B996" t="s">
        <v>1</v>
      </c>
    </row>
    <row r="997" spans="1:2" x14ac:dyDescent="0.2">
      <c r="A997" t="s">
        <v>393</v>
      </c>
      <c r="B997" t="s">
        <v>1</v>
      </c>
    </row>
    <row r="998" spans="1:2" x14ac:dyDescent="0.2">
      <c r="A998" t="s">
        <v>395</v>
      </c>
      <c r="B998" t="s">
        <v>1</v>
      </c>
    </row>
    <row r="999" spans="1:2" x14ac:dyDescent="0.2">
      <c r="A999" t="s">
        <v>397</v>
      </c>
      <c r="B999" t="s">
        <v>1</v>
      </c>
    </row>
    <row r="1000" spans="1:2" x14ac:dyDescent="0.2">
      <c r="A1000" t="s">
        <v>399</v>
      </c>
      <c r="B1000" t="s">
        <v>1</v>
      </c>
    </row>
    <row r="1001" spans="1:2" x14ac:dyDescent="0.2">
      <c r="A1001" t="s">
        <v>401</v>
      </c>
      <c r="B1001" t="s">
        <v>1</v>
      </c>
    </row>
    <row r="1002" spans="1:2" x14ac:dyDescent="0.2">
      <c r="A1002" t="s">
        <v>403</v>
      </c>
      <c r="B1002" t="s">
        <v>1</v>
      </c>
    </row>
    <row r="1003" spans="1:2" x14ac:dyDescent="0.2">
      <c r="A1003" t="s">
        <v>405</v>
      </c>
      <c r="B1003" t="s">
        <v>1</v>
      </c>
    </row>
    <row r="1004" spans="1:2" x14ac:dyDescent="0.2">
      <c r="A1004" t="s">
        <v>407</v>
      </c>
      <c r="B1004" t="s">
        <v>1</v>
      </c>
    </row>
    <row r="1005" spans="1:2" x14ac:dyDescent="0.2">
      <c r="A1005" t="s">
        <v>409</v>
      </c>
      <c r="B1005" t="s">
        <v>1</v>
      </c>
    </row>
    <row r="1006" spans="1:2" x14ac:dyDescent="0.2">
      <c r="A1006" t="s">
        <v>411</v>
      </c>
      <c r="B1006" t="s">
        <v>1</v>
      </c>
    </row>
    <row r="1007" spans="1:2" x14ac:dyDescent="0.2">
      <c r="A1007" t="s">
        <v>413</v>
      </c>
      <c r="B1007" t="s">
        <v>1</v>
      </c>
    </row>
    <row r="1008" spans="1:2" x14ac:dyDescent="0.2">
      <c r="A1008" t="s">
        <v>415</v>
      </c>
      <c r="B1008" t="s">
        <v>1</v>
      </c>
    </row>
    <row r="1009" spans="1:2" x14ac:dyDescent="0.2">
      <c r="A1009" t="s">
        <v>417</v>
      </c>
      <c r="B1009" t="s">
        <v>1</v>
      </c>
    </row>
    <row r="1010" spans="1:2" x14ac:dyDescent="0.2">
      <c r="A1010" t="s">
        <v>419</v>
      </c>
      <c r="B1010" t="s">
        <v>1</v>
      </c>
    </row>
    <row r="1011" spans="1:2" x14ac:dyDescent="0.2">
      <c r="A1011" t="s">
        <v>421</v>
      </c>
      <c r="B1011" t="s">
        <v>1</v>
      </c>
    </row>
    <row r="1012" spans="1:2" x14ac:dyDescent="0.2">
      <c r="A1012" t="s">
        <v>423</v>
      </c>
      <c r="B1012" t="s">
        <v>1</v>
      </c>
    </row>
    <row r="1013" spans="1:2" x14ac:dyDescent="0.2">
      <c r="A1013" t="s">
        <v>425</v>
      </c>
      <c r="B1013" t="s">
        <v>1</v>
      </c>
    </row>
    <row r="1014" spans="1:2" x14ac:dyDescent="0.2">
      <c r="A1014" t="s">
        <v>427</v>
      </c>
      <c r="B1014" t="s">
        <v>1</v>
      </c>
    </row>
    <row r="1015" spans="1:2" x14ac:dyDescent="0.2">
      <c r="A1015" t="s">
        <v>429</v>
      </c>
      <c r="B1015" t="s">
        <v>1</v>
      </c>
    </row>
    <row r="1016" spans="1:2" x14ac:dyDescent="0.2">
      <c r="A1016" t="s">
        <v>431</v>
      </c>
      <c r="B1016" t="s">
        <v>1</v>
      </c>
    </row>
    <row r="1017" spans="1:2" x14ac:dyDescent="0.2">
      <c r="A1017" t="s">
        <v>433</v>
      </c>
      <c r="B1017" t="s">
        <v>1</v>
      </c>
    </row>
    <row r="1018" spans="1:2" x14ac:dyDescent="0.2">
      <c r="A1018" t="s">
        <v>435</v>
      </c>
      <c r="B1018" t="s">
        <v>1</v>
      </c>
    </row>
    <row r="1019" spans="1:2" x14ac:dyDescent="0.2">
      <c r="A1019" t="s">
        <v>437</v>
      </c>
      <c r="B1019" t="s">
        <v>1</v>
      </c>
    </row>
    <row r="1020" spans="1:2" x14ac:dyDescent="0.2">
      <c r="A1020" t="s">
        <v>439</v>
      </c>
      <c r="B1020" t="s">
        <v>1</v>
      </c>
    </row>
    <row r="1021" spans="1:2" x14ac:dyDescent="0.2">
      <c r="A1021" t="s">
        <v>441</v>
      </c>
      <c r="B1021" t="s">
        <v>1</v>
      </c>
    </row>
    <row r="1022" spans="1:2" x14ac:dyDescent="0.2">
      <c r="A1022" t="s">
        <v>443</v>
      </c>
      <c r="B1022" t="s">
        <v>1</v>
      </c>
    </row>
    <row r="1023" spans="1:2" x14ac:dyDescent="0.2">
      <c r="A1023" t="s">
        <v>445</v>
      </c>
      <c r="B1023" t="s">
        <v>1</v>
      </c>
    </row>
    <row r="1024" spans="1:2" x14ac:dyDescent="0.2">
      <c r="A1024" t="s">
        <v>447</v>
      </c>
      <c r="B1024" t="s">
        <v>1</v>
      </c>
    </row>
    <row r="1025" spans="1:2" x14ac:dyDescent="0.2">
      <c r="A1025" t="s">
        <v>449</v>
      </c>
      <c r="B1025" t="s">
        <v>1</v>
      </c>
    </row>
    <row r="1026" spans="1:2" x14ac:dyDescent="0.2">
      <c r="A1026" t="s">
        <v>451</v>
      </c>
      <c r="B1026" t="s">
        <v>1</v>
      </c>
    </row>
    <row r="1027" spans="1:2" x14ac:dyDescent="0.2">
      <c r="A1027" t="s">
        <v>453</v>
      </c>
      <c r="B1027" t="s">
        <v>1</v>
      </c>
    </row>
    <row r="1028" spans="1:2" x14ac:dyDescent="0.2">
      <c r="A1028" t="s">
        <v>455</v>
      </c>
      <c r="B1028" t="s">
        <v>1</v>
      </c>
    </row>
    <row r="1029" spans="1:2" x14ac:dyDescent="0.2">
      <c r="A1029" t="s">
        <v>457</v>
      </c>
      <c r="B1029" t="s">
        <v>1</v>
      </c>
    </row>
    <row r="1030" spans="1:2" x14ac:dyDescent="0.2">
      <c r="A1030" t="s">
        <v>459</v>
      </c>
      <c r="B1030" t="s">
        <v>1</v>
      </c>
    </row>
    <row r="1031" spans="1:2" x14ac:dyDescent="0.2">
      <c r="A1031" t="s">
        <v>461</v>
      </c>
      <c r="B1031" t="s">
        <v>1</v>
      </c>
    </row>
    <row r="1032" spans="1:2" x14ac:dyDescent="0.2">
      <c r="A1032" t="s">
        <v>463</v>
      </c>
      <c r="B1032" t="s">
        <v>1</v>
      </c>
    </row>
    <row r="1033" spans="1:2" x14ac:dyDescent="0.2">
      <c r="A1033" t="s">
        <v>465</v>
      </c>
      <c r="B1033" t="s">
        <v>1</v>
      </c>
    </row>
    <row r="1034" spans="1:2" x14ac:dyDescent="0.2">
      <c r="A1034" t="s">
        <v>467</v>
      </c>
      <c r="B1034" t="s">
        <v>1</v>
      </c>
    </row>
    <row r="1035" spans="1:2" x14ac:dyDescent="0.2">
      <c r="A1035" t="s">
        <v>469</v>
      </c>
      <c r="B1035" t="s">
        <v>1</v>
      </c>
    </row>
    <row r="1036" spans="1:2" x14ac:dyDescent="0.2">
      <c r="A1036" t="s">
        <v>471</v>
      </c>
      <c r="B1036" t="s">
        <v>1</v>
      </c>
    </row>
    <row r="1037" spans="1:2" x14ac:dyDescent="0.2">
      <c r="A1037" t="s">
        <v>473</v>
      </c>
      <c r="B1037" t="s">
        <v>1</v>
      </c>
    </row>
    <row r="1038" spans="1:2" x14ac:dyDescent="0.2">
      <c r="A1038" t="s">
        <v>475</v>
      </c>
      <c r="B1038" t="s">
        <v>1</v>
      </c>
    </row>
    <row r="1039" spans="1:2" x14ac:dyDescent="0.2">
      <c r="A1039" t="s">
        <v>477</v>
      </c>
      <c r="B1039" t="s">
        <v>1</v>
      </c>
    </row>
    <row r="1040" spans="1:2" x14ac:dyDescent="0.2">
      <c r="A1040" t="s">
        <v>479</v>
      </c>
      <c r="B1040" t="s">
        <v>1</v>
      </c>
    </row>
    <row r="1041" spans="1:2" x14ac:dyDescent="0.2">
      <c r="A1041" t="s">
        <v>481</v>
      </c>
      <c r="B1041" t="s">
        <v>1</v>
      </c>
    </row>
    <row r="1042" spans="1:2" x14ac:dyDescent="0.2">
      <c r="A1042" t="s">
        <v>483</v>
      </c>
      <c r="B1042" t="s">
        <v>1</v>
      </c>
    </row>
    <row r="1043" spans="1:2" x14ac:dyDescent="0.2">
      <c r="A1043" t="s">
        <v>485</v>
      </c>
      <c r="B1043" t="s">
        <v>1</v>
      </c>
    </row>
    <row r="1044" spans="1:2" x14ac:dyDescent="0.2">
      <c r="A1044" t="s">
        <v>487</v>
      </c>
      <c r="B1044" t="s">
        <v>1</v>
      </c>
    </row>
    <row r="1045" spans="1:2" x14ac:dyDescent="0.2">
      <c r="A1045" t="s">
        <v>489</v>
      </c>
      <c r="B1045" t="s">
        <v>1</v>
      </c>
    </row>
    <row r="1046" spans="1:2" x14ac:dyDescent="0.2">
      <c r="A1046" t="s">
        <v>491</v>
      </c>
      <c r="B1046" t="s">
        <v>1</v>
      </c>
    </row>
    <row r="1047" spans="1:2" x14ac:dyDescent="0.2">
      <c r="A1047" t="s">
        <v>493</v>
      </c>
      <c r="B1047" t="s">
        <v>1</v>
      </c>
    </row>
    <row r="1048" spans="1:2" x14ac:dyDescent="0.2">
      <c r="A1048" t="s">
        <v>495</v>
      </c>
      <c r="B1048" t="s">
        <v>1</v>
      </c>
    </row>
    <row r="1049" spans="1:2" x14ac:dyDescent="0.2">
      <c r="A1049" t="s">
        <v>497</v>
      </c>
      <c r="B1049" t="s">
        <v>1</v>
      </c>
    </row>
    <row r="1050" spans="1:2" x14ac:dyDescent="0.2">
      <c r="A1050" t="s">
        <v>499</v>
      </c>
      <c r="B1050" t="s">
        <v>1</v>
      </c>
    </row>
    <row r="1051" spans="1:2" x14ac:dyDescent="0.2">
      <c r="A1051" t="s">
        <v>501</v>
      </c>
      <c r="B1051" t="s">
        <v>1</v>
      </c>
    </row>
    <row r="1052" spans="1:2" x14ac:dyDescent="0.2">
      <c r="A1052" t="s">
        <v>503</v>
      </c>
      <c r="B1052" t="s">
        <v>1</v>
      </c>
    </row>
    <row r="1053" spans="1:2" x14ac:dyDescent="0.2">
      <c r="A1053" t="s">
        <v>505</v>
      </c>
      <c r="B1053" t="s">
        <v>1</v>
      </c>
    </row>
    <row r="1054" spans="1:2" x14ac:dyDescent="0.2">
      <c r="A1054" t="s">
        <v>507</v>
      </c>
      <c r="B1054" t="s">
        <v>1</v>
      </c>
    </row>
    <row r="1055" spans="1:2" x14ac:dyDescent="0.2">
      <c r="A1055" t="s">
        <v>509</v>
      </c>
      <c r="B1055" t="s">
        <v>1</v>
      </c>
    </row>
    <row r="1056" spans="1:2" x14ac:dyDescent="0.2">
      <c r="A1056" t="s">
        <v>511</v>
      </c>
      <c r="B1056" t="s">
        <v>1</v>
      </c>
    </row>
    <row r="1057" spans="1:2" x14ac:dyDescent="0.2">
      <c r="A1057" t="s">
        <v>513</v>
      </c>
      <c r="B1057" t="s">
        <v>1</v>
      </c>
    </row>
    <row r="1058" spans="1:2" x14ac:dyDescent="0.2">
      <c r="A1058" t="s">
        <v>515</v>
      </c>
      <c r="B1058" t="s">
        <v>1</v>
      </c>
    </row>
    <row r="1059" spans="1:2" x14ac:dyDescent="0.2">
      <c r="A1059" t="s">
        <v>517</v>
      </c>
      <c r="B1059" t="s">
        <v>1</v>
      </c>
    </row>
    <row r="1060" spans="1:2" x14ac:dyDescent="0.2">
      <c r="A1060" t="s">
        <v>519</v>
      </c>
      <c r="B1060" t="s">
        <v>1</v>
      </c>
    </row>
    <row r="1061" spans="1:2" x14ac:dyDescent="0.2">
      <c r="A1061" t="s">
        <v>521</v>
      </c>
      <c r="B1061" t="s">
        <v>1</v>
      </c>
    </row>
    <row r="1062" spans="1:2" x14ac:dyDescent="0.2">
      <c r="A1062" t="s">
        <v>523</v>
      </c>
      <c r="B1062" t="s">
        <v>1</v>
      </c>
    </row>
    <row r="1063" spans="1:2" x14ac:dyDescent="0.2">
      <c r="A1063" t="s">
        <v>525</v>
      </c>
      <c r="B1063" t="s">
        <v>1</v>
      </c>
    </row>
    <row r="1064" spans="1:2" x14ac:dyDescent="0.2">
      <c r="A1064" t="s">
        <v>527</v>
      </c>
      <c r="B1064" t="s">
        <v>1</v>
      </c>
    </row>
    <row r="1065" spans="1:2" x14ac:dyDescent="0.2">
      <c r="A1065" t="s">
        <v>529</v>
      </c>
      <c r="B1065" t="s">
        <v>1</v>
      </c>
    </row>
    <row r="1066" spans="1:2" x14ac:dyDescent="0.2">
      <c r="A1066" t="s">
        <v>531</v>
      </c>
      <c r="B1066" t="s">
        <v>1</v>
      </c>
    </row>
    <row r="1067" spans="1:2" x14ac:dyDescent="0.2">
      <c r="A1067" t="s">
        <v>533</v>
      </c>
      <c r="B1067" t="s">
        <v>1</v>
      </c>
    </row>
    <row r="1068" spans="1:2" x14ac:dyDescent="0.2">
      <c r="A1068" t="s">
        <v>535</v>
      </c>
      <c r="B1068" t="s">
        <v>1</v>
      </c>
    </row>
    <row r="1069" spans="1:2" x14ac:dyDescent="0.2">
      <c r="A1069" t="s">
        <v>537</v>
      </c>
      <c r="B1069" t="s">
        <v>1</v>
      </c>
    </row>
    <row r="1070" spans="1:2" x14ac:dyDescent="0.2">
      <c r="A1070" t="s">
        <v>539</v>
      </c>
      <c r="B1070" t="s">
        <v>1</v>
      </c>
    </row>
    <row r="1071" spans="1:2" x14ac:dyDescent="0.2">
      <c r="A1071" t="s">
        <v>541</v>
      </c>
      <c r="B1071" t="s">
        <v>1</v>
      </c>
    </row>
    <row r="1072" spans="1:2" x14ac:dyDescent="0.2">
      <c r="A1072" t="s">
        <v>543</v>
      </c>
      <c r="B1072" t="s">
        <v>1</v>
      </c>
    </row>
    <row r="1073" spans="1:2" x14ac:dyDescent="0.2">
      <c r="A1073" t="s">
        <v>545</v>
      </c>
      <c r="B1073" t="s">
        <v>1</v>
      </c>
    </row>
    <row r="1074" spans="1:2" x14ac:dyDescent="0.2">
      <c r="A1074" t="s">
        <v>547</v>
      </c>
      <c r="B1074" t="s">
        <v>1</v>
      </c>
    </row>
    <row r="1075" spans="1:2" x14ac:dyDescent="0.2">
      <c r="A1075" t="s">
        <v>549</v>
      </c>
      <c r="B1075" t="s">
        <v>1</v>
      </c>
    </row>
    <row r="1076" spans="1:2" x14ac:dyDescent="0.2">
      <c r="A1076" t="s">
        <v>551</v>
      </c>
      <c r="B1076" t="s">
        <v>1</v>
      </c>
    </row>
    <row r="1077" spans="1:2" x14ac:dyDescent="0.2">
      <c r="A1077" t="s">
        <v>553</v>
      </c>
      <c r="B1077" t="s">
        <v>1</v>
      </c>
    </row>
    <row r="1078" spans="1:2" x14ac:dyDescent="0.2">
      <c r="A1078" t="s">
        <v>555</v>
      </c>
      <c r="B1078" t="s">
        <v>1</v>
      </c>
    </row>
    <row r="1079" spans="1:2" x14ac:dyDescent="0.2">
      <c r="A1079" t="s">
        <v>557</v>
      </c>
      <c r="B1079" t="s">
        <v>1</v>
      </c>
    </row>
    <row r="1080" spans="1:2" x14ac:dyDescent="0.2">
      <c r="A1080" t="s">
        <v>559</v>
      </c>
      <c r="B1080" t="s">
        <v>1</v>
      </c>
    </row>
    <row r="1081" spans="1:2" x14ac:dyDescent="0.2">
      <c r="A1081" t="s">
        <v>561</v>
      </c>
      <c r="B1081" t="s">
        <v>1</v>
      </c>
    </row>
    <row r="1082" spans="1:2" x14ac:dyDescent="0.2">
      <c r="A1082" t="s">
        <v>563</v>
      </c>
      <c r="B1082" t="s">
        <v>1</v>
      </c>
    </row>
    <row r="1083" spans="1:2" x14ac:dyDescent="0.2">
      <c r="A1083" t="s">
        <v>565</v>
      </c>
      <c r="B1083" t="s">
        <v>1</v>
      </c>
    </row>
    <row r="1084" spans="1:2" x14ac:dyDescent="0.2">
      <c r="A1084" t="s">
        <v>567</v>
      </c>
      <c r="B1084" t="s">
        <v>1</v>
      </c>
    </row>
    <row r="1085" spans="1:2" x14ac:dyDescent="0.2">
      <c r="A1085" t="s">
        <v>569</v>
      </c>
      <c r="B1085" t="s">
        <v>1</v>
      </c>
    </row>
    <row r="1086" spans="1:2" x14ac:dyDescent="0.2">
      <c r="A1086" t="s">
        <v>571</v>
      </c>
      <c r="B1086" t="s">
        <v>1</v>
      </c>
    </row>
    <row r="1087" spans="1:2" x14ac:dyDescent="0.2">
      <c r="A1087" t="s">
        <v>573</v>
      </c>
      <c r="B1087" t="s">
        <v>1</v>
      </c>
    </row>
    <row r="1088" spans="1:2" x14ac:dyDescent="0.2">
      <c r="A1088" t="s">
        <v>575</v>
      </c>
      <c r="B1088" t="s">
        <v>1</v>
      </c>
    </row>
    <row r="1089" spans="1:2" x14ac:dyDescent="0.2">
      <c r="A1089" t="s">
        <v>577</v>
      </c>
      <c r="B1089" t="s">
        <v>1</v>
      </c>
    </row>
    <row r="1090" spans="1:2" x14ac:dyDescent="0.2">
      <c r="A1090" t="s">
        <v>579</v>
      </c>
      <c r="B1090" t="s">
        <v>1</v>
      </c>
    </row>
    <row r="1091" spans="1:2" x14ac:dyDescent="0.2">
      <c r="A1091" t="s">
        <v>581</v>
      </c>
      <c r="B1091" t="s">
        <v>1</v>
      </c>
    </row>
    <row r="1092" spans="1:2" x14ac:dyDescent="0.2">
      <c r="A1092" t="s">
        <v>583</v>
      </c>
      <c r="B1092" t="s">
        <v>1</v>
      </c>
    </row>
    <row r="1093" spans="1:2" x14ac:dyDescent="0.2">
      <c r="A1093" t="s">
        <v>585</v>
      </c>
      <c r="B1093" t="s">
        <v>1</v>
      </c>
    </row>
    <row r="1094" spans="1:2" x14ac:dyDescent="0.2">
      <c r="A1094" t="s">
        <v>587</v>
      </c>
      <c r="B1094" t="s">
        <v>1</v>
      </c>
    </row>
    <row r="1095" spans="1:2" x14ac:dyDescent="0.2">
      <c r="A1095" t="s">
        <v>589</v>
      </c>
      <c r="B1095" t="s">
        <v>1</v>
      </c>
    </row>
    <row r="1096" spans="1:2" x14ac:dyDescent="0.2">
      <c r="A1096" t="s">
        <v>591</v>
      </c>
      <c r="B1096" t="s">
        <v>1</v>
      </c>
    </row>
    <row r="1097" spans="1:2" x14ac:dyDescent="0.2">
      <c r="A1097" t="s">
        <v>593</v>
      </c>
      <c r="B1097" t="s">
        <v>1</v>
      </c>
    </row>
    <row r="1098" spans="1:2" x14ac:dyDescent="0.2">
      <c r="A1098" t="s">
        <v>595</v>
      </c>
      <c r="B1098" t="s">
        <v>1</v>
      </c>
    </row>
    <row r="1099" spans="1:2" x14ac:dyDescent="0.2">
      <c r="A1099" t="s">
        <v>597</v>
      </c>
      <c r="B1099" t="s">
        <v>1</v>
      </c>
    </row>
    <row r="1100" spans="1:2" x14ac:dyDescent="0.2">
      <c r="A1100" t="s">
        <v>599</v>
      </c>
      <c r="B1100" t="s">
        <v>1</v>
      </c>
    </row>
    <row r="1101" spans="1:2" x14ac:dyDescent="0.2">
      <c r="A1101" t="s">
        <v>601</v>
      </c>
      <c r="B1101" t="s">
        <v>1</v>
      </c>
    </row>
    <row r="1102" spans="1:2" x14ac:dyDescent="0.2">
      <c r="A1102" t="s">
        <v>603</v>
      </c>
      <c r="B1102" t="s">
        <v>1</v>
      </c>
    </row>
    <row r="1103" spans="1:2" x14ac:dyDescent="0.2">
      <c r="A1103" t="s">
        <v>605</v>
      </c>
      <c r="B1103" t="s">
        <v>1</v>
      </c>
    </row>
    <row r="1104" spans="1:2" x14ac:dyDescent="0.2">
      <c r="A1104" t="s">
        <v>607</v>
      </c>
      <c r="B1104" t="s">
        <v>1</v>
      </c>
    </row>
    <row r="1105" spans="1:2" x14ac:dyDescent="0.2">
      <c r="A1105" t="s">
        <v>609</v>
      </c>
      <c r="B1105" t="s">
        <v>1</v>
      </c>
    </row>
    <row r="1106" spans="1:2" x14ac:dyDescent="0.2">
      <c r="A1106" t="s">
        <v>611</v>
      </c>
      <c r="B1106" t="s">
        <v>1</v>
      </c>
    </row>
    <row r="1107" spans="1:2" x14ac:dyDescent="0.2">
      <c r="A1107" t="s">
        <v>613</v>
      </c>
      <c r="B1107" t="s">
        <v>1</v>
      </c>
    </row>
    <row r="1108" spans="1:2" x14ac:dyDescent="0.2">
      <c r="A1108" t="s">
        <v>615</v>
      </c>
      <c r="B1108" t="s">
        <v>1</v>
      </c>
    </row>
    <row r="1109" spans="1:2" x14ac:dyDescent="0.2">
      <c r="A1109" t="s">
        <v>617</v>
      </c>
      <c r="B1109" t="s">
        <v>1</v>
      </c>
    </row>
    <row r="1110" spans="1:2" x14ac:dyDescent="0.2">
      <c r="A1110" t="s">
        <v>619</v>
      </c>
      <c r="B1110" t="s">
        <v>1</v>
      </c>
    </row>
    <row r="1111" spans="1:2" x14ac:dyDescent="0.2">
      <c r="A1111" t="s">
        <v>621</v>
      </c>
      <c r="B1111" t="s">
        <v>1</v>
      </c>
    </row>
    <row r="1112" spans="1:2" x14ac:dyDescent="0.2">
      <c r="A1112" t="s">
        <v>623</v>
      </c>
      <c r="B1112" t="s">
        <v>1</v>
      </c>
    </row>
    <row r="1113" spans="1:2" x14ac:dyDescent="0.2">
      <c r="A1113" t="s">
        <v>625</v>
      </c>
      <c r="B1113" t="s">
        <v>1</v>
      </c>
    </row>
    <row r="1114" spans="1:2" x14ac:dyDescent="0.2">
      <c r="A1114" t="s">
        <v>627</v>
      </c>
      <c r="B1114" t="s">
        <v>1</v>
      </c>
    </row>
    <row r="1115" spans="1:2" x14ac:dyDescent="0.2">
      <c r="A1115" t="s">
        <v>629</v>
      </c>
      <c r="B1115" t="s">
        <v>1</v>
      </c>
    </row>
    <row r="1116" spans="1:2" x14ac:dyDescent="0.2">
      <c r="A1116" t="s">
        <v>631</v>
      </c>
      <c r="B1116" t="s">
        <v>1</v>
      </c>
    </row>
    <row r="1117" spans="1:2" x14ac:dyDescent="0.2">
      <c r="A1117" t="s">
        <v>633</v>
      </c>
      <c r="B1117" t="s">
        <v>1</v>
      </c>
    </row>
    <row r="1118" spans="1:2" x14ac:dyDescent="0.2">
      <c r="A1118" t="s">
        <v>635</v>
      </c>
      <c r="B1118" t="s">
        <v>1</v>
      </c>
    </row>
    <row r="1119" spans="1:2" x14ac:dyDescent="0.2">
      <c r="A1119" t="s">
        <v>637</v>
      </c>
      <c r="B1119" t="s">
        <v>1</v>
      </c>
    </row>
    <row r="1120" spans="1:2" x14ac:dyDescent="0.2">
      <c r="A1120" t="s">
        <v>639</v>
      </c>
      <c r="B1120" t="s">
        <v>1</v>
      </c>
    </row>
    <row r="1121" spans="1:2" x14ac:dyDescent="0.2">
      <c r="A1121" t="s">
        <v>641</v>
      </c>
      <c r="B1121" t="s">
        <v>1</v>
      </c>
    </row>
    <row r="1122" spans="1:2" x14ac:dyDescent="0.2">
      <c r="A1122" t="s">
        <v>643</v>
      </c>
      <c r="B1122" t="s">
        <v>1</v>
      </c>
    </row>
    <row r="1123" spans="1:2" x14ac:dyDescent="0.2">
      <c r="A1123" t="s">
        <v>645</v>
      </c>
      <c r="B1123" t="s">
        <v>1</v>
      </c>
    </row>
    <row r="1124" spans="1:2" x14ac:dyDescent="0.2">
      <c r="A1124" t="s">
        <v>647</v>
      </c>
      <c r="B1124" t="s">
        <v>1</v>
      </c>
    </row>
    <row r="1125" spans="1:2" x14ac:dyDescent="0.2">
      <c r="A1125" t="s">
        <v>649</v>
      </c>
      <c r="B1125" t="s">
        <v>1</v>
      </c>
    </row>
    <row r="1126" spans="1:2" x14ac:dyDescent="0.2">
      <c r="A1126" t="s">
        <v>651</v>
      </c>
      <c r="B1126" t="s">
        <v>1</v>
      </c>
    </row>
    <row r="1127" spans="1:2" x14ac:dyDescent="0.2">
      <c r="A1127" t="s">
        <v>653</v>
      </c>
      <c r="B1127" t="s">
        <v>1</v>
      </c>
    </row>
    <row r="1128" spans="1:2" x14ac:dyDescent="0.2">
      <c r="A1128" t="s">
        <v>655</v>
      </c>
      <c r="B1128" t="s">
        <v>1</v>
      </c>
    </row>
    <row r="1129" spans="1:2" x14ac:dyDescent="0.2">
      <c r="A1129" t="s">
        <v>657</v>
      </c>
      <c r="B1129" t="s">
        <v>1</v>
      </c>
    </row>
    <row r="1130" spans="1:2" x14ac:dyDescent="0.2">
      <c r="A1130" t="s">
        <v>659</v>
      </c>
      <c r="B1130" t="s">
        <v>1</v>
      </c>
    </row>
    <row r="1131" spans="1:2" x14ac:dyDescent="0.2">
      <c r="A1131" t="s">
        <v>661</v>
      </c>
      <c r="B1131" t="s">
        <v>1</v>
      </c>
    </row>
    <row r="1132" spans="1:2" x14ac:dyDescent="0.2">
      <c r="A1132" t="s">
        <v>663</v>
      </c>
      <c r="B1132" t="s">
        <v>1</v>
      </c>
    </row>
    <row r="1133" spans="1:2" x14ac:dyDescent="0.2">
      <c r="A1133" t="s">
        <v>353</v>
      </c>
      <c r="B1133" t="s">
        <v>1</v>
      </c>
    </row>
    <row r="1134" spans="1:2" x14ac:dyDescent="0.2">
      <c r="A1134" t="s">
        <v>666</v>
      </c>
      <c r="B1134" t="s">
        <v>1</v>
      </c>
    </row>
    <row r="1135" spans="1:2" x14ac:dyDescent="0.2">
      <c r="A1135" t="s">
        <v>364</v>
      </c>
      <c r="B1135" t="s">
        <v>1</v>
      </c>
    </row>
    <row r="1136" spans="1:2" x14ac:dyDescent="0.2">
      <c r="A1136" t="s">
        <v>669</v>
      </c>
      <c r="B1136" t="s">
        <v>1</v>
      </c>
    </row>
    <row r="1137" spans="1:2" x14ac:dyDescent="0.2">
      <c r="A1137" t="s">
        <v>671</v>
      </c>
      <c r="B1137" t="s">
        <v>1</v>
      </c>
    </row>
    <row r="1138" spans="1:2" x14ac:dyDescent="0.2">
      <c r="A1138" t="s">
        <v>673</v>
      </c>
      <c r="B1138" t="s">
        <v>1</v>
      </c>
    </row>
    <row r="1139" spans="1:2" x14ac:dyDescent="0.2">
      <c r="A1139" t="s">
        <v>675</v>
      </c>
      <c r="B1139" t="s">
        <v>1</v>
      </c>
    </row>
    <row r="1140" spans="1:2" x14ac:dyDescent="0.2">
      <c r="A1140" t="s">
        <v>677</v>
      </c>
      <c r="B1140" t="s">
        <v>1</v>
      </c>
    </row>
    <row r="1141" spans="1:2" x14ac:dyDescent="0.2">
      <c r="A1141" t="s">
        <v>353</v>
      </c>
      <c r="B1141" t="s">
        <v>1</v>
      </c>
    </row>
    <row r="1142" spans="1:2" x14ac:dyDescent="0.2">
      <c r="A1142" t="s">
        <v>680</v>
      </c>
      <c r="B1142" t="s">
        <v>1</v>
      </c>
    </row>
    <row r="1143" spans="1:2" x14ac:dyDescent="0.2">
      <c r="A1143" t="s">
        <v>682</v>
      </c>
      <c r="B1143" t="s">
        <v>1</v>
      </c>
    </row>
    <row r="1144" spans="1:2" x14ac:dyDescent="0.2">
      <c r="A1144" t="s">
        <v>684</v>
      </c>
      <c r="B1144" t="s">
        <v>1</v>
      </c>
    </row>
    <row r="1145" spans="1:2" x14ac:dyDescent="0.2">
      <c r="A1145" t="s">
        <v>686</v>
      </c>
      <c r="B1145" t="s">
        <v>1</v>
      </c>
    </row>
    <row r="1146" spans="1:2" x14ac:dyDescent="0.2">
      <c r="A1146" t="s">
        <v>688</v>
      </c>
      <c r="B1146" t="s">
        <v>1</v>
      </c>
    </row>
    <row r="1147" spans="1:2" x14ac:dyDescent="0.2">
      <c r="A1147" t="s">
        <v>669</v>
      </c>
      <c r="B1147" t="s">
        <v>1</v>
      </c>
    </row>
    <row r="1148" spans="1:2" x14ac:dyDescent="0.2">
      <c r="A1148" t="s">
        <v>691</v>
      </c>
      <c r="B1148" t="s">
        <v>1</v>
      </c>
    </row>
    <row r="1149" spans="1:2" x14ac:dyDescent="0.2">
      <c r="A1149" t="s">
        <v>693</v>
      </c>
      <c r="B1149" t="s">
        <v>1</v>
      </c>
    </row>
    <row r="1150" spans="1:2" x14ac:dyDescent="0.2">
      <c r="A1150" t="s">
        <v>695</v>
      </c>
      <c r="B1150" t="s">
        <v>1</v>
      </c>
    </row>
    <row r="1151" spans="1:2" x14ac:dyDescent="0.2">
      <c r="A1151" t="s">
        <v>697</v>
      </c>
      <c r="B1151" t="s">
        <v>1</v>
      </c>
    </row>
    <row r="1152" spans="1:2" x14ac:dyDescent="0.2">
      <c r="A1152" t="s">
        <v>699</v>
      </c>
      <c r="B1152" t="s">
        <v>1</v>
      </c>
    </row>
    <row r="1153" spans="1:2" x14ac:dyDescent="0.2">
      <c r="A1153" t="s">
        <v>701</v>
      </c>
      <c r="B1153" t="s">
        <v>1</v>
      </c>
    </row>
    <row r="1154" spans="1:2" x14ac:dyDescent="0.2">
      <c r="A1154" t="s">
        <v>703</v>
      </c>
      <c r="B1154" t="s">
        <v>1</v>
      </c>
    </row>
    <row r="1155" spans="1:2" x14ac:dyDescent="0.2">
      <c r="A1155" t="s">
        <v>705</v>
      </c>
      <c r="B1155" t="s">
        <v>1</v>
      </c>
    </row>
    <row r="1156" spans="1:2" x14ac:dyDescent="0.2">
      <c r="A1156" t="s">
        <v>707</v>
      </c>
      <c r="B1156" t="s">
        <v>1</v>
      </c>
    </row>
    <row r="1157" spans="1:2" x14ac:dyDescent="0.2">
      <c r="A1157" t="s">
        <v>709</v>
      </c>
      <c r="B1157" t="s">
        <v>1</v>
      </c>
    </row>
    <row r="1158" spans="1:2" x14ac:dyDescent="0.2">
      <c r="A1158" t="s">
        <v>711</v>
      </c>
      <c r="B1158" t="s">
        <v>1</v>
      </c>
    </row>
    <row r="1159" spans="1:2" x14ac:dyDescent="0.2">
      <c r="A1159" t="s">
        <v>713</v>
      </c>
      <c r="B1159" t="s">
        <v>1</v>
      </c>
    </row>
    <row r="1160" spans="1:2" x14ac:dyDescent="0.2">
      <c r="A1160" t="s">
        <v>715</v>
      </c>
      <c r="B1160" t="s">
        <v>1</v>
      </c>
    </row>
    <row r="1161" spans="1:2" x14ac:dyDescent="0.2">
      <c r="A1161" t="s">
        <v>717</v>
      </c>
      <c r="B1161" t="s">
        <v>1</v>
      </c>
    </row>
    <row r="1162" spans="1:2" x14ac:dyDescent="0.2">
      <c r="A1162" t="s">
        <v>719</v>
      </c>
      <c r="B1162" t="s">
        <v>1</v>
      </c>
    </row>
    <row r="1163" spans="1:2" x14ac:dyDescent="0.2">
      <c r="A1163" t="s">
        <v>721</v>
      </c>
      <c r="B1163" t="s">
        <v>1</v>
      </c>
    </row>
    <row r="1164" spans="1:2" x14ac:dyDescent="0.2">
      <c r="A1164" t="s">
        <v>723</v>
      </c>
      <c r="B1164" t="s">
        <v>1</v>
      </c>
    </row>
    <row r="1165" spans="1:2" x14ac:dyDescent="0.2">
      <c r="A1165" t="s">
        <v>725</v>
      </c>
      <c r="B1165" t="s">
        <v>1</v>
      </c>
    </row>
    <row r="1166" spans="1:2" x14ac:dyDescent="0.2">
      <c r="A1166" t="s">
        <v>727</v>
      </c>
      <c r="B1166" t="s">
        <v>1</v>
      </c>
    </row>
    <row r="1167" spans="1:2" x14ac:dyDescent="0.2">
      <c r="A1167" t="s">
        <v>729</v>
      </c>
      <c r="B1167" t="s">
        <v>1</v>
      </c>
    </row>
    <row r="1168" spans="1:2" x14ac:dyDescent="0.2">
      <c r="A1168" t="s">
        <v>731</v>
      </c>
      <c r="B1168" t="s">
        <v>1</v>
      </c>
    </row>
    <row r="1169" spans="1:2" x14ac:dyDescent="0.2">
      <c r="A1169" t="s">
        <v>733</v>
      </c>
      <c r="B1169" t="s">
        <v>1</v>
      </c>
    </row>
    <row r="1170" spans="1:2" x14ac:dyDescent="0.2">
      <c r="A1170" t="s">
        <v>735</v>
      </c>
      <c r="B1170" t="s">
        <v>1</v>
      </c>
    </row>
    <row r="1171" spans="1:2" x14ac:dyDescent="0.2">
      <c r="A1171" t="s">
        <v>737</v>
      </c>
      <c r="B1171" t="s">
        <v>1</v>
      </c>
    </row>
    <row r="1172" spans="1:2" x14ac:dyDescent="0.2">
      <c r="A1172" t="s">
        <v>739</v>
      </c>
      <c r="B1172" t="s">
        <v>1</v>
      </c>
    </row>
    <row r="1173" spans="1:2" x14ac:dyDescent="0.2">
      <c r="A1173" t="s">
        <v>741</v>
      </c>
      <c r="B1173" t="s">
        <v>1</v>
      </c>
    </row>
    <row r="1174" spans="1:2" x14ac:dyDescent="0.2">
      <c r="A1174" t="s">
        <v>743</v>
      </c>
      <c r="B1174" t="s">
        <v>1</v>
      </c>
    </row>
    <row r="1175" spans="1:2" x14ac:dyDescent="0.2">
      <c r="A1175" t="s">
        <v>745</v>
      </c>
      <c r="B1175" t="s">
        <v>1</v>
      </c>
    </row>
    <row r="1176" spans="1:2" x14ac:dyDescent="0.2">
      <c r="A1176" t="s">
        <v>747</v>
      </c>
      <c r="B1176" t="s">
        <v>1</v>
      </c>
    </row>
    <row r="1177" spans="1:2" x14ac:dyDescent="0.2">
      <c r="A1177" t="s">
        <v>749</v>
      </c>
      <c r="B1177" t="s">
        <v>1</v>
      </c>
    </row>
    <row r="1178" spans="1:2" x14ac:dyDescent="0.2">
      <c r="A1178" t="s">
        <v>751</v>
      </c>
      <c r="B1178" t="s">
        <v>1</v>
      </c>
    </row>
    <row r="1179" spans="1:2" x14ac:dyDescent="0.2">
      <c r="A1179" t="s">
        <v>753</v>
      </c>
      <c r="B1179" t="s">
        <v>1</v>
      </c>
    </row>
    <row r="1180" spans="1:2" x14ac:dyDescent="0.2">
      <c r="A1180" t="s">
        <v>755</v>
      </c>
      <c r="B1180" t="s">
        <v>1</v>
      </c>
    </row>
    <row r="1181" spans="1:2" x14ac:dyDescent="0.2">
      <c r="A1181" t="s">
        <v>757</v>
      </c>
      <c r="B1181" t="s">
        <v>1</v>
      </c>
    </row>
    <row r="1182" spans="1:2" x14ac:dyDescent="0.2">
      <c r="A1182" t="s">
        <v>759</v>
      </c>
      <c r="B1182" t="s">
        <v>1</v>
      </c>
    </row>
    <row r="1183" spans="1:2" x14ac:dyDescent="0.2">
      <c r="A1183" t="s">
        <v>761</v>
      </c>
      <c r="B1183" t="s">
        <v>1</v>
      </c>
    </row>
    <row r="1184" spans="1:2" x14ac:dyDescent="0.2">
      <c r="A1184" t="s">
        <v>763</v>
      </c>
      <c r="B1184" t="s">
        <v>1</v>
      </c>
    </row>
    <row r="1185" spans="1:2" x14ac:dyDescent="0.2">
      <c r="A1185" t="s">
        <v>765</v>
      </c>
      <c r="B1185" t="s">
        <v>1</v>
      </c>
    </row>
    <row r="1186" spans="1:2" x14ac:dyDescent="0.2">
      <c r="A1186" t="s">
        <v>767</v>
      </c>
      <c r="B1186" t="s">
        <v>1</v>
      </c>
    </row>
    <row r="1187" spans="1:2" x14ac:dyDescent="0.2">
      <c r="A1187" t="s">
        <v>769</v>
      </c>
      <c r="B1187" t="s">
        <v>1</v>
      </c>
    </row>
    <row r="1188" spans="1:2" x14ac:dyDescent="0.2">
      <c r="A1188" t="s">
        <v>771</v>
      </c>
      <c r="B1188" t="s">
        <v>1</v>
      </c>
    </row>
    <row r="1189" spans="1:2" x14ac:dyDescent="0.2">
      <c r="A1189" t="s">
        <v>773</v>
      </c>
      <c r="B1189" t="s">
        <v>1</v>
      </c>
    </row>
    <row r="1190" spans="1:2" x14ac:dyDescent="0.2">
      <c r="A1190" t="s">
        <v>775</v>
      </c>
      <c r="B1190" t="s">
        <v>1</v>
      </c>
    </row>
    <row r="1191" spans="1:2" x14ac:dyDescent="0.2">
      <c r="A1191" t="s">
        <v>777</v>
      </c>
      <c r="B1191" t="s">
        <v>1</v>
      </c>
    </row>
    <row r="1192" spans="1:2" x14ac:dyDescent="0.2">
      <c r="A1192" t="s">
        <v>779</v>
      </c>
      <c r="B1192" t="s">
        <v>1</v>
      </c>
    </row>
    <row r="1193" spans="1:2" x14ac:dyDescent="0.2">
      <c r="A1193" t="s">
        <v>781</v>
      </c>
      <c r="B1193" t="s">
        <v>1</v>
      </c>
    </row>
    <row r="1194" spans="1:2" x14ac:dyDescent="0.2">
      <c r="A1194" t="s">
        <v>783</v>
      </c>
      <c r="B1194" t="s">
        <v>1</v>
      </c>
    </row>
    <row r="1195" spans="1:2" x14ac:dyDescent="0.2">
      <c r="A1195" t="s">
        <v>785</v>
      </c>
      <c r="B1195" t="s">
        <v>1</v>
      </c>
    </row>
    <row r="1196" spans="1:2" x14ac:dyDescent="0.2">
      <c r="A1196" t="s">
        <v>787</v>
      </c>
      <c r="B1196" t="s">
        <v>1</v>
      </c>
    </row>
    <row r="1197" spans="1:2" x14ac:dyDescent="0.2">
      <c r="A1197" t="s">
        <v>789</v>
      </c>
      <c r="B1197" t="s">
        <v>1</v>
      </c>
    </row>
    <row r="1198" spans="1:2" x14ac:dyDescent="0.2">
      <c r="A1198" t="s">
        <v>791</v>
      </c>
      <c r="B1198" t="s">
        <v>1</v>
      </c>
    </row>
    <row r="1199" spans="1:2" x14ac:dyDescent="0.2">
      <c r="A1199" t="s">
        <v>793</v>
      </c>
      <c r="B1199" t="s">
        <v>1</v>
      </c>
    </row>
    <row r="1200" spans="1:2" x14ac:dyDescent="0.2">
      <c r="A1200" t="s">
        <v>795</v>
      </c>
      <c r="B1200" t="s">
        <v>1</v>
      </c>
    </row>
    <row r="1201" spans="1:2" x14ac:dyDescent="0.2">
      <c r="A1201" t="s">
        <v>797</v>
      </c>
      <c r="B1201" t="s">
        <v>1</v>
      </c>
    </row>
    <row r="1202" spans="1:2" x14ac:dyDescent="0.2">
      <c r="A1202" t="s">
        <v>799</v>
      </c>
      <c r="B1202" t="s">
        <v>1</v>
      </c>
    </row>
    <row r="1203" spans="1:2" x14ac:dyDescent="0.2">
      <c r="A1203" t="s">
        <v>801</v>
      </c>
      <c r="B1203" t="s">
        <v>1</v>
      </c>
    </row>
    <row r="1204" spans="1:2" x14ac:dyDescent="0.2">
      <c r="A1204" t="s">
        <v>803</v>
      </c>
      <c r="B1204" t="s">
        <v>1</v>
      </c>
    </row>
    <row r="1205" spans="1:2" x14ac:dyDescent="0.2">
      <c r="A1205" t="s">
        <v>805</v>
      </c>
      <c r="B1205" t="s">
        <v>1</v>
      </c>
    </row>
    <row r="1206" spans="1:2" x14ac:dyDescent="0.2">
      <c r="A1206" t="s">
        <v>807</v>
      </c>
      <c r="B1206" t="s">
        <v>1</v>
      </c>
    </row>
    <row r="1207" spans="1:2" x14ac:dyDescent="0.2">
      <c r="A1207" t="s">
        <v>809</v>
      </c>
      <c r="B1207" t="s">
        <v>1</v>
      </c>
    </row>
    <row r="1208" spans="1:2" x14ac:dyDescent="0.2">
      <c r="A1208" t="s">
        <v>811</v>
      </c>
      <c r="B1208" t="s">
        <v>1</v>
      </c>
    </row>
    <row r="1209" spans="1:2" x14ac:dyDescent="0.2">
      <c r="A1209" t="s">
        <v>813</v>
      </c>
      <c r="B1209" t="s">
        <v>1</v>
      </c>
    </row>
    <row r="1210" spans="1:2" x14ac:dyDescent="0.2">
      <c r="A1210" t="s">
        <v>815</v>
      </c>
      <c r="B1210" t="s">
        <v>1</v>
      </c>
    </row>
    <row r="1211" spans="1:2" x14ac:dyDescent="0.2">
      <c r="A1211" t="s">
        <v>817</v>
      </c>
      <c r="B1211" t="s">
        <v>1</v>
      </c>
    </row>
    <row r="1212" spans="1:2" x14ac:dyDescent="0.2">
      <c r="A1212" t="s">
        <v>819</v>
      </c>
      <c r="B1212" t="s">
        <v>1</v>
      </c>
    </row>
    <row r="1213" spans="1:2" x14ac:dyDescent="0.2">
      <c r="A1213" t="s">
        <v>821</v>
      </c>
      <c r="B1213" t="s">
        <v>1</v>
      </c>
    </row>
    <row r="1214" spans="1:2" x14ac:dyDescent="0.2">
      <c r="A1214" t="s">
        <v>823</v>
      </c>
      <c r="B1214" t="s">
        <v>1</v>
      </c>
    </row>
    <row r="1215" spans="1:2" x14ac:dyDescent="0.2">
      <c r="A1215" t="s">
        <v>825</v>
      </c>
      <c r="B1215" t="s">
        <v>1</v>
      </c>
    </row>
    <row r="1216" spans="1:2" x14ac:dyDescent="0.2">
      <c r="A1216" t="s">
        <v>827</v>
      </c>
      <c r="B1216" t="s">
        <v>1</v>
      </c>
    </row>
    <row r="1217" spans="1:2" x14ac:dyDescent="0.2">
      <c r="A1217" t="s">
        <v>829</v>
      </c>
      <c r="B1217" t="s">
        <v>1</v>
      </c>
    </row>
    <row r="1218" spans="1:2" x14ac:dyDescent="0.2">
      <c r="A1218" t="s">
        <v>831</v>
      </c>
      <c r="B1218" t="s">
        <v>1</v>
      </c>
    </row>
    <row r="1219" spans="1:2" x14ac:dyDescent="0.2">
      <c r="A1219" t="s">
        <v>833</v>
      </c>
      <c r="B1219" t="s">
        <v>1</v>
      </c>
    </row>
    <row r="1220" spans="1:2" x14ac:dyDescent="0.2">
      <c r="A1220" t="s">
        <v>835</v>
      </c>
      <c r="B1220" t="s">
        <v>1</v>
      </c>
    </row>
    <row r="1221" spans="1:2" x14ac:dyDescent="0.2">
      <c r="A1221" t="s">
        <v>837</v>
      </c>
      <c r="B1221" t="s">
        <v>1</v>
      </c>
    </row>
    <row r="1222" spans="1:2" x14ac:dyDescent="0.2">
      <c r="A1222" t="s">
        <v>839</v>
      </c>
      <c r="B1222" t="s">
        <v>1</v>
      </c>
    </row>
    <row r="1223" spans="1:2" x14ac:dyDescent="0.2">
      <c r="A1223" t="s">
        <v>841</v>
      </c>
      <c r="B1223" t="s">
        <v>1</v>
      </c>
    </row>
    <row r="1224" spans="1:2" x14ac:dyDescent="0.2">
      <c r="A1224" t="s">
        <v>843</v>
      </c>
      <c r="B1224" t="s">
        <v>1</v>
      </c>
    </row>
    <row r="1225" spans="1:2" x14ac:dyDescent="0.2">
      <c r="A1225" t="s">
        <v>845</v>
      </c>
      <c r="B1225" t="s">
        <v>1</v>
      </c>
    </row>
    <row r="1226" spans="1:2" x14ac:dyDescent="0.2">
      <c r="A1226" t="s">
        <v>847</v>
      </c>
      <c r="B1226" t="s">
        <v>1</v>
      </c>
    </row>
    <row r="1227" spans="1:2" x14ac:dyDescent="0.2">
      <c r="A1227" t="s">
        <v>849</v>
      </c>
      <c r="B1227" t="s">
        <v>1</v>
      </c>
    </row>
    <row r="1228" spans="1:2" x14ac:dyDescent="0.2">
      <c r="A1228" t="s">
        <v>851</v>
      </c>
      <c r="B1228" t="s">
        <v>1</v>
      </c>
    </row>
    <row r="1229" spans="1:2" x14ac:dyDescent="0.2">
      <c r="A1229" t="s">
        <v>853</v>
      </c>
      <c r="B1229" t="s">
        <v>1</v>
      </c>
    </row>
    <row r="1230" spans="1:2" x14ac:dyDescent="0.2">
      <c r="A1230" t="s">
        <v>855</v>
      </c>
      <c r="B1230" t="s">
        <v>1</v>
      </c>
    </row>
    <row r="1231" spans="1:2" x14ac:dyDescent="0.2">
      <c r="A1231" t="s">
        <v>857</v>
      </c>
      <c r="B1231" t="s">
        <v>1</v>
      </c>
    </row>
    <row r="1232" spans="1:2" x14ac:dyDescent="0.2">
      <c r="A1232" t="s">
        <v>859</v>
      </c>
      <c r="B1232" t="s">
        <v>1</v>
      </c>
    </row>
    <row r="1233" spans="1:2" x14ac:dyDescent="0.2">
      <c r="A1233" t="s">
        <v>861</v>
      </c>
      <c r="B1233" t="s">
        <v>1</v>
      </c>
    </row>
    <row r="1234" spans="1:2" x14ac:dyDescent="0.2">
      <c r="A1234" t="s">
        <v>863</v>
      </c>
      <c r="B1234" t="s">
        <v>1</v>
      </c>
    </row>
    <row r="1235" spans="1:2" x14ac:dyDescent="0.2">
      <c r="A1235" t="s">
        <v>865</v>
      </c>
      <c r="B1235" t="s">
        <v>1</v>
      </c>
    </row>
    <row r="1236" spans="1:2" x14ac:dyDescent="0.2">
      <c r="A1236" t="s">
        <v>867</v>
      </c>
      <c r="B1236" t="s">
        <v>1</v>
      </c>
    </row>
    <row r="1237" spans="1:2" x14ac:dyDescent="0.2">
      <c r="A1237" t="s">
        <v>869</v>
      </c>
      <c r="B1237" t="s">
        <v>1</v>
      </c>
    </row>
    <row r="1238" spans="1:2" x14ac:dyDescent="0.2">
      <c r="A1238" t="s">
        <v>871</v>
      </c>
      <c r="B1238" t="s">
        <v>1</v>
      </c>
    </row>
    <row r="1239" spans="1:2" x14ac:dyDescent="0.2">
      <c r="A1239" t="s">
        <v>873</v>
      </c>
      <c r="B1239" t="s">
        <v>1</v>
      </c>
    </row>
    <row r="1240" spans="1:2" x14ac:dyDescent="0.2">
      <c r="A1240" t="s">
        <v>875</v>
      </c>
      <c r="B1240" t="s">
        <v>1</v>
      </c>
    </row>
    <row r="1241" spans="1:2" x14ac:dyDescent="0.2">
      <c r="A1241" t="s">
        <v>877</v>
      </c>
      <c r="B1241" t="s">
        <v>1</v>
      </c>
    </row>
    <row r="1242" spans="1:2" x14ac:dyDescent="0.2">
      <c r="A1242" t="s">
        <v>879</v>
      </c>
      <c r="B1242" t="s">
        <v>1</v>
      </c>
    </row>
    <row r="1243" spans="1:2" x14ac:dyDescent="0.2">
      <c r="A1243" t="s">
        <v>881</v>
      </c>
      <c r="B1243" t="s">
        <v>1</v>
      </c>
    </row>
    <row r="1244" spans="1:2" x14ac:dyDescent="0.2">
      <c r="A1244" t="s">
        <v>883</v>
      </c>
      <c r="B1244" t="s">
        <v>1</v>
      </c>
    </row>
    <row r="1245" spans="1:2" x14ac:dyDescent="0.2">
      <c r="A1245" t="s">
        <v>885</v>
      </c>
      <c r="B1245" t="s">
        <v>1</v>
      </c>
    </row>
    <row r="1246" spans="1:2" x14ac:dyDescent="0.2">
      <c r="A1246" t="s">
        <v>887</v>
      </c>
      <c r="B1246" t="s">
        <v>1</v>
      </c>
    </row>
    <row r="1247" spans="1:2" x14ac:dyDescent="0.2">
      <c r="A1247" t="s">
        <v>889</v>
      </c>
      <c r="B1247" t="s">
        <v>1</v>
      </c>
    </row>
    <row r="1248" spans="1:2" x14ac:dyDescent="0.2">
      <c r="A1248" t="s">
        <v>891</v>
      </c>
      <c r="B1248" t="s">
        <v>1</v>
      </c>
    </row>
    <row r="1249" spans="1:2" x14ac:dyDescent="0.2">
      <c r="A1249" t="s">
        <v>893</v>
      </c>
      <c r="B1249" t="s">
        <v>1</v>
      </c>
    </row>
    <row r="1250" spans="1:2" x14ac:dyDescent="0.2">
      <c r="A1250" t="s">
        <v>895</v>
      </c>
      <c r="B1250" t="s">
        <v>1</v>
      </c>
    </row>
    <row r="1251" spans="1:2" x14ac:dyDescent="0.2">
      <c r="A1251" t="s">
        <v>897</v>
      </c>
      <c r="B1251" t="s">
        <v>1</v>
      </c>
    </row>
    <row r="1252" spans="1:2" x14ac:dyDescent="0.2">
      <c r="A1252" t="s">
        <v>899</v>
      </c>
      <c r="B1252" t="s">
        <v>1</v>
      </c>
    </row>
    <row r="1253" spans="1:2" x14ac:dyDescent="0.2">
      <c r="A1253" t="s">
        <v>901</v>
      </c>
      <c r="B1253" t="s">
        <v>1</v>
      </c>
    </row>
    <row r="1254" spans="1:2" x14ac:dyDescent="0.2">
      <c r="A1254" t="s">
        <v>903</v>
      </c>
      <c r="B1254" t="s">
        <v>1</v>
      </c>
    </row>
    <row r="1255" spans="1:2" x14ac:dyDescent="0.2">
      <c r="A1255" t="s">
        <v>905</v>
      </c>
      <c r="B1255" t="s">
        <v>1</v>
      </c>
    </row>
    <row r="1256" spans="1:2" x14ac:dyDescent="0.2">
      <c r="A1256" t="s">
        <v>907</v>
      </c>
      <c r="B1256" t="s">
        <v>1</v>
      </c>
    </row>
    <row r="1257" spans="1:2" x14ac:dyDescent="0.2">
      <c r="A1257" t="s">
        <v>909</v>
      </c>
      <c r="B1257" t="s">
        <v>1</v>
      </c>
    </row>
    <row r="1258" spans="1:2" x14ac:dyDescent="0.2">
      <c r="A1258" t="s">
        <v>911</v>
      </c>
      <c r="B1258" t="s">
        <v>1</v>
      </c>
    </row>
    <row r="1259" spans="1:2" x14ac:dyDescent="0.2">
      <c r="A1259" t="s">
        <v>913</v>
      </c>
      <c r="B1259" t="s">
        <v>1</v>
      </c>
    </row>
    <row r="1260" spans="1:2" x14ac:dyDescent="0.2">
      <c r="A1260" t="s">
        <v>915</v>
      </c>
      <c r="B1260" t="s">
        <v>1</v>
      </c>
    </row>
    <row r="1261" spans="1:2" x14ac:dyDescent="0.2">
      <c r="A1261" t="s">
        <v>917</v>
      </c>
      <c r="B1261" t="s">
        <v>1</v>
      </c>
    </row>
    <row r="1262" spans="1:2" x14ac:dyDescent="0.2">
      <c r="A1262" t="s">
        <v>919</v>
      </c>
      <c r="B1262" t="s">
        <v>1</v>
      </c>
    </row>
    <row r="1263" spans="1:2" x14ac:dyDescent="0.2">
      <c r="A1263" t="s">
        <v>921</v>
      </c>
      <c r="B1263" t="s">
        <v>1</v>
      </c>
    </row>
    <row r="1264" spans="1:2" x14ac:dyDescent="0.2">
      <c r="A1264" t="s">
        <v>923</v>
      </c>
      <c r="B1264" t="s">
        <v>1</v>
      </c>
    </row>
    <row r="1265" spans="1:2" x14ac:dyDescent="0.2">
      <c r="A1265" t="s">
        <v>925</v>
      </c>
      <c r="B1265" t="s">
        <v>1</v>
      </c>
    </row>
    <row r="1266" spans="1:2" x14ac:dyDescent="0.2">
      <c r="A1266" t="s">
        <v>927</v>
      </c>
      <c r="B1266" t="s">
        <v>1</v>
      </c>
    </row>
    <row r="1267" spans="1:2" x14ac:dyDescent="0.2">
      <c r="A1267" t="s">
        <v>929</v>
      </c>
      <c r="B1267" t="s">
        <v>1</v>
      </c>
    </row>
    <row r="1268" spans="1:2" x14ac:dyDescent="0.2">
      <c r="A1268" t="s">
        <v>931</v>
      </c>
      <c r="B1268" t="s">
        <v>1</v>
      </c>
    </row>
    <row r="1269" spans="1:2" x14ac:dyDescent="0.2">
      <c r="A1269" t="s">
        <v>933</v>
      </c>
      <c r="B1269" t="s">
        <v>1</v>
      </c>
    </row>
    <row r="1270" spans="1:2" x14ac:dyDescent="0.2">
      <c r="A1270" t="s">
        <v>935</v>
      </c>
      <c r="B1270" t="s">
        <v>1</v>
      </c>
    </row>
    <row r="1271" spans="1:2" x14ac:dyDescent="0.2">
      <c r="A1271" t="s">
        <v>937</v>
      </c>
      <c r="B1271" t="s">
        <v>1</v>
      </c>
    </row>
    <row r="1272" spans="1:2" x14ac:dyDescent="0.2">
      <c r="A1272" t="s">
        <v>939</v>
      </c>
      <c r="B1272" t="s">
        <v>1</v>
      </c>
    </row>
    <row r="1273" spans="1:2" x14ac:dyDescent="0.2">
      <c r="A1273" t="s">
        <v>941</v>
      </c>
      <c r="B1273" t="s">
        <v>1</v>
      </c>
    </row>
    <row r="1274" spans="1:2" x14ac:dyDescent="0.2">
      <c r="A1274" t="s">
        <v>500</v>
      </c>
      <c r="B1274" t="s">
        <v>1</v>
      </c>
    </row>
    <row r="1275" spans="1:2" x14ac:dyDescent="0.2">
      <c r="A1275" t="s">
        <v>944</v>
      </c>
      <c r="B1275" t="s">
        <v>1</v>
      </c>
    </row>
    <row r="1276" spans="1:2" x14ac:dyDescent="0.2">
      <c r="A1276" t="s">
        <v>946</v>
      </c>
      <c r="B1276" t="s">
        <v>1</v>
      </c>
    </row>
    <row r="1277" spans="1:2" x14ac:dyDescent="0.2">
      <c r="A1277" t="s">
        <v>518</v>
      </c>
      <c r="B1277" t="s">
        <v>1</v>
      </c>
    </row>
    <row r="1278" spans="1:2" x14ac:dyDescent="0.2">
      <c r="A1278" t="s">
        <v>949</v>
      </c>
      <c r="B1278" t="s">
        <v>1</v>
      </c>
    </row>
    <row r="1279" spans="1:2" x14ac:dyDescent="0.2">
      <c r="A1279" t="s">
        <v>951</v>
      </c>
      <c r="B1279" t="s">
        <v>1</v>
      </c>
    </row>
    <row r="1280" spans="1:2" x14ac:dyDescent="0.2">
      <c r="A1280" t="s">
        <v>953</v>
      </c>
      <c r="B1280" t="s">
        <v>1</v>
      </c>
    </row>
    <row r="1281" spans="1:2" x14ac:dyDescent="0.2">
      <c r="A1281" t="s">
        <v>955</v>
      </c>
      <c r="B1281" t="s">
        <v>1</v>
      </c>
    </row>
    <row r="1282" spans="1:2" x14ac:dyDescent="0.2">
      <c r="A1282" t="s">
        <v>957</v>
      </c>
      <c r="B1282" t="s">
        <v>1</v>
      </c>
    </row>
    <row r="1283" spans="1:2" x14ac:dyDescent="0.2">
      <c r="A1283" t="s">
        <v>959</v>
      </c>
      <c r="B1283" t="s">
        <v>1</v>
      </c>
    </row>
    <row r="1284" spans="1:2" x14ac:dyDescent="0.2">
      <c r="A1284" t="s">
        <v>961</v>
      </c>
      <c r="B1284" t="s">
        <v>1</v>
      </c>
    </row>
    <row r="1285" spans="1:2" x14ac:dyDescent="0.2">
      <c r="A1285" t="s">
        <v>963</v>
      </c>
      <c r="B1285" t="s">
        <v>1</v>
      </c>
    </row>
    <row r="1286" spans="1:2" x14ac:dyDescent="0.2">
      <c r="A1286" t="s">
        <v>965</v>
      </c>
      <c r="B1286" t="s">
        <v>1</v>
      </c>
    </row>
    <row r="1287" spans="1:2" x14ac:dyDescent="0.2">
      <c r="A1287" t="s">
        <v>967</v>
      </c>
      <c r="B1287" t="s">
        <v>1</v>
      </c>
    </row>
    <row r="1288" spans="1:2" x14ac:dyDescent="0.2">
      <c r="A1288" t="s">
        <v>969</v>
      </c>
      <c r="B1288" t="s">
        <v>1</v>
      </c>
    </row>
    <row r="1289" spans="1:2" x14ac:dyDescent="0.2">
      <c r="A1289" t="s">
        <v>971</v>
      </c>
      <c r="B1289" t="s">
        <v>1</v>
      </c>
    </row>
    <row r="1290" spans="1:2" x14ac:dyDescent="0.2">
      <c r="A1290" t="s">
        <v>941</v>
      </c>
      <c r="B1290" t="s">
        <v>1</v>
      </c>
    </row>
    <row r="1291" spans="1:2" x14ac:dyDescent="0.2">
      <c r="A1291" t="s">
        <v>974</v>
      </c>
      <c r="B1291" t="s">
        <v>1</v>
      </c>
    </row>
    <row r="1292" spans="1:2" x14ac:dyDescent="0.2">
      <c r="A1292" t="s">
        <v>976</v>
      </c>
      <c r="B1292" t="s">
        <v>1</v>
      </c>
    </row>
    <row r="1293" spans="1:2" x14ac:dyDescent="0.2">
      <c r="A1293" t="s">
        <v>978</v>
      </c>
      <c r="B1293" t="s">
        <v>1</v>
      </c>
    </row>
    <row r="1294" spans="1:2" x14ac:dyDescent="0.2">
      <c r="A1294" t="s">
        <v>980</v>
      </c>
      <c r="B1294" t="s">
        <v>1</v>
      </c>
    </row>
    <row r="1295" spans="1:2" x14ac:dyDescent="0.2">
      <c r="A1295" t="s">
        <v>982</v>
      </c>
      <c r="B1295" t="s">
        <v>1</v>
      </c>
    </row>
    <row r="1296" spans="1:2" x14ac:dyDescent="0.2">
      <c r="A1296" t="s">
        <v>984</v>
      </c>
      <c r="B1296" t="s">
        <v>1</v>
      </c>
    </row>
    <row r="1297" spans="1:2" x14ac:dyDescent="0.2">
      <c r="A1297" t="s">
        <v>986</v>
      </c>
      <c r="B1297" t="s">
        <v>1</v>
      </c>
    </row>
    <row r="1298" spans="1:2" x14ac:dyDescent="0.2">
      <c r="A1298" t="s">
        <v>988</v>
      </c>
      <c r="B1298" t="s">
        <v>1</v>
      </c>
    </row>
    <row r="1299" spans="1:2" x14ac:dyDescent="0.2">
      <c r="A1299" t="s">
        <v>990</v>
      </c>
      <c r="B1299" t="s">
        <v>1</v>
      </c>
    </row>
    <row r="1300" spans="1:2" x14ac:dyDescent="0.2">
      <c r="A1300" t="s">
        <v>992</v>
      </c>
      <c r="B1300" t="s">
        <v>1</v>
      </c>
    </row>
    <row r="1301" spans="1:2" x14ac:dyDescent="0.2">
      <c r="A1301" t="s">
        <v>994</v>
      </c>
      <c r="B1301" t="s">
        <v>1</v>
      </c>
    </row>
    <row r="1302" spans="1:2" x14ac:dyDescent="0.2">
      <c r="A1302" t="s">
        <v>996</v>
      </c>
      <c r="B1302" t="s">
        <v>1</v>
      </c>
    </row>
    <row r="1303" spans="1:2" x14ac:dyDescent="0.2">
      <c r="A1303" t="s">
        <v>998</v>
      </c>
      <c r="B1303" t="s">
        <v>1</v>
      </c>
    </row>
    <row r="1304" spans="1:2" x14ac:dyDescent="0.2">
      <c r="A1304" t="s">
        <v>1000</v>
      </c>
      <c r="B1304" t="s">
        <v>1</v>
      </c>
    </row>
    <row r="1305" spans="1:2" x14ac:dyDescent="0.2">
      <c r="A1305" t="s">
        <v>1002</v>
      </c>
      <c r="B1305" t="s">
        <v>1</v>
      </c>
    </row>
    <row r="1306" spans="1:2" x14ac:dyDescent="0.2">
      <c r="A1306" t="s">
        <v>1004</v>
      </c>
      <c r="B1306" t="s">
        <v>1</v>
      </c>
    </row>
    <row r="1307" spans="1:2" x14ac:dyDescent="0.2">
      <c r="A1307" t="s">
        <v>949</v>
      </c>
      <c r="B1307" t="s">
        <v>1</v>
      </c>
    </row>
    <row r="1308" spans="1:2" x14ac:dyDescent="0.2">
      <c r="A1308" t="s">
        <v>1007</v>
      </c>
      <c r="B1308" t="s">
        <v>1</v>
      </c>
    </row>
    <row r="1309" spans="1:2" x14ac:dyDescent="0.2">
      <c r="A1309" t="s">
        <v>1009</v>
      </c>
      <c r="B1309" t="s">
        <v>1</v>
      </c>
    </row>
    <row r="1310" spans="1:2" x14ac:dyDescent="0.2">
      <c r="A1310" t="s">
        <v>1011</v>
      </c>
      <c r="B1310" t="s">
        <v>1</v>
      </c>
    </row>
    <row r="1311" spans="1:2" x14ac:dyDescent="0.2">
      <c r="A1311" t="s">
        <v>1013</v>
      </c>
      <c r="B1311" t="s">
        <v>1</v>
      </c>
    </row>
    <row r="1312" spans="1:2" x14ac:dyDescent="0.2">
      <c r="A1312" t="s">
        <v>1015</v>
      </c>
      <c r="B1312" t="s">
        <v>1</v>
      </c>
    </row>
    <row r="1313" spans="1:2" x14ac:dyDescent="0.2">
      <c r="A1313" t="s">
        <v>1017</v>
      </c>
      <c r="B1313" t="s">
        <v>1</v>
      </c>
    </row>
    <row r="1314" spans="1:2" x14ac:dyDescent="0.2">
      <c r="A1314" t="s">
        <v>1019</v>
      </c>
      <c r="B1314" t="s">
        <v>1</v>
      </c>
    </row>
    <row r="1315" spans="1:2" x14ac:dyDescent="0.2">
      <c r="A1315" t="s">
        <v>1021</v>
      </c>
      <c r="B1315" t="s">
        <v>1</v>
      </c>
    </row>
    <row r="1316" spans="1:2" x14ac:dyDescent="0.2">
      <c r="A1316" t="s">
        <v>1023</v>
      </c>
      <c r="B1316" t="s">
        <v>1</v>
      </c>
    </row>
    <row r="1317" spans="1:2" x14ac:dyDescent="0.2">
      <c r="A1317" t="s">
        <v>1025</v>
      </c>
      <c r="B1317" t="s">
        <v>1</v>
      </c>
    </row>
    <row r="1318" spans="1:2" x14ac:dyDescent="0.2">
      <c r="A1318" t="s">
        <v>1027</v>
      </c>
      <c r="B1318" t="s">
        <v>1</v>
      </c>
    </row>
    <row r="1319" spans="1:2" x14ac:dyDescent="0.2">
      <c r="A1319" t="s">
        <v>1029</v>
      </c>
      <c r="B1319" t="s">
        <v>1</v>
      </c>
    </row>
    <row r="1320" spans="1:2" x14ac:dyDescent="0.2">
      <c r="A1320" t="s">
        <v>1031</v>
      </c>
      <c r="B1320" t="s">
        <v>1</v>
      </c>
    </row>
    <row r="1321" spans="1:2" x14ac:dyDescent="0.2">
      <c r="A1321" t="s">
        <v>1033</v>
      </c>
      <c r="B1321" t="s">
        <v>1</v>
      </c>
    </row>
    <row r="1322" spans="1:2" x14ac:dyDescent="0.2">
      <c r="A1322" t="s">
        <v>1035</v>
      </c>
      <c r="B1322" t="s">
        <v>1</v>
      </c>
    </row>
    <row r="1323" spans="1:2" x14ac:dyDescent="0.2">
      <c r="A1323" t="s">
        <v>1037</v>
      </c>
      <c r="B1323" t="s">
        <v>1</v>
      </c>
    </row>
    <row r="1324" spans="1:2" x14ac:dyDescent="0.2">
      <c r="A1324" t="s">
        <v>1039</v>
      </c>
      <c r="B1324" t="s">
        <v>1</v>
      </c>
    </row>
    <row r="1325" spans="1:2" x14ac:dyDescent="0.2">
      <c r="A1325" t="s">
        <v>1041</v>
      </c>
      <c r="B1325" t="s">
        <v>1</v>
      </c>
    </row>
    <row r="1326" spans="1:2" x14ac:dyDescent="0.2">
      <c r="A1326" t="s">
        <v>1043</v>
      </c>
      <c r="B1326" t="s">
        <v>1</v>
      </c>
    </row>
    <row r="1327" spans="1:2" x14ac:dyDescent="0.2">
      <c r="A1327" t="s">
        <v>1045</v>
      </c>
      <c r="B1327" t="s">
        <v>1</v>
      </c>
    </row>
    <row r="1328" spans="1:2" x14ac:dyDescent="0.2">
      <c r="A1328" t="s">
        <v>1047</v>
      </c>
      <c r="B1328" t="s">
        <v>1</v>
      </c>
    </row>
    <row r="1329" spans="1:2" x14ac:dyDescent="0.2">
      <c r="A1329" t="s">
        <v>1049</v>
      </c>
      <c r="B1329" t="s">
        <v>1</v>
      </c>
    </row>
    <row r="1330" spans="1:2" x14ac:dyDescent="0.2">
      <c r="A1330" t="s">
        <v>1051</v>
      </c>
      <c r="B1330" t="s">
        <v>1</v>
      </c>
    </row>
    <row r="1331" spans="1:2" x14ac:dyDescent="0.2">
      <c r="A1331" t="s">
        <v>1052</v>
      </c>
      <c r="B1331" t="s">
        <v>1</v>
      </c>
    </row>
    <row r="1332" spans="1:2" x14ac:dyDescent="0.2">
      <c r="A1332" t="s">
        <v>1054</v>
      </c>
      <c r="B1332" t="s">
        <v>1</v>
      </c>
    </row>
    <row r="1333" spans="1:2" x14ac:dyDescent="0.2">
      <c r="A1333" t="s">
        <v>1056</v>
      </c>
      <c r="B1333" t="s">
        <v>1</v>
      </c>
    </row>
    <row r="1334" spans="1:2" x14ac:dyDescent="0.2">
      <c r="A1334" t="s">
        <v>1058</v>
      </c>
      <c r="B1334" t="s">
        <v>1</v>
      </c>
    </row>
    <row r="1335" spans="1:2" x14ac:dyDescent="0.2">
      <c r="A1335" t="s">
        <v>1060</v>
      </c>
      <c r="B1335" t="s">
        <v>1</v>
      </c>
    </row>
    <row r="1336" spans="1:2" x14ac:dyDescent="0.2">
      <c r="A1336" t="s">
        <v>1062</v>
      </c>
      <c r="B1336" t="s">
        <v>1</v>
      </c>
    </row>
    <row r="1337" spans="1:2" x14ac:dyDescent="0.2">
      <c r="A1337" t="s">
        <v>1064</v>
      </c>
      <c r="B1337" t="s">
        <v>1</v>
      </c>
    </row>
    <row r="1338" spans="1:2" x14ac:dyDescent="0.2">
      <c r="A1338" t="s">
        <v>1065</v>
      </c>
      <c r="B1338" t="s">
        <v>1</v>
      </c>
    </row>
    <row r="1339" spans="1:2" x14ac:dyDescent="0.2">
      <c r="A1339" t="s">
        <v>1067</v>
      </c>
      <c r="B1339" t="s">
        <v>1</v>
      </c>
    </row>
    <row r="1340" spans="1:2" x14ac:dyDescent="0.2">
      <c r="A1340" t="s">
        <v>1069</v>
      </c>
      <c r="B1340" t="s">
        <v>1</v>
      </c>
    </row>
    <row r="1341" spans="1:2" x14ac:dyDescent="0.2">
      <c r="A1341" t="s">
        <v>1071</v>
      </c>
      <c r="B1341" t="s">
        <v>1</v>
      </c>
    </row>
    <row r="1342" spans="1:2" x14ac:dyDescent="0.2">
      <c r="A1342" t="s">
        <v>1073</v>
      </c>
      <c r="B1342" t="s">
        <v>1</v>
      </c>
    </row>
    <row r="1343" spans="1:2" x14ac:dyDescent="0.2">
      <c r="A1343" t="s">
        <v>1075</v>
      </c>
      <c r="B1343" t="s">
        <v>1</v>
      </c>
    </row>
    <row r="1344" spans="1:2" x14ac:dyDescent="0.2">
      <c r="A1344" t="s">
        <v>1077</v>
      </c>
      <c r="B1344" t="s">
        <v>1</v>
      </c>
    </row>
    <row r="1345" spans="1:2" x14ac:dyDescent="0.2">
      <c r="A1345" t="s">
        <v>1079</v>
      </c>
      <c r="B1345" t="s">
        <v>1</v>
      </c>
    </row>
    <row r="1346" spans="1:2" x14ac:dyDescent="0.2">
      <c r="A1346" t="s">
        <v>1081</v>
      </c>
      <c r="B1346" t="s">
        <v>1</v>
      </c>
    </row>
    <row r="1347" spans="1:2" x14ac:dyDescent="0.2">
      <c r="A1347" t="s">
        <v>1083</v>
      </c>
      <c r="B1347" t="s">
        <v>1</v>
      </c>
    </row>
    <row r="1348" spans="1:2" x14ac:dyDescent="0.2">
      <c r="A1348" t="s">
        <v>1085</v>
      </c>
      <c r="B1348" t="s">
        <v>1</v>
      </c>
    </row>
    <row r="1349" spans="1:2" x14ac:dyDescent="0.2">
      <c r="A1349" t="s">
        <v>1087</v>
      </c>
      <c r="B1349" t="s">
        <v>1</v>
      </c>
    </row>
    <row r="1350" spans="1:2" x14ac:dyDescent="0.2">
      <c r="A1350" t="s">
        <v>584</v>
      </c>
      <c r="B1350" t="s">
        <v>1</v>
      </c>
    </row>
    <row r="1351" spans="1:2" x14ac:dyDescent="0.2">
      <c r="A1351" t="s">
        <v>1090</v>
      </c>
      <c r="B1351" t="s">
        <v>1</v>
      </c>
    </row>
    <row r="1352" spans="1:2" x14ac:dyDescent="0.2">
      <c r="A1352" t="s">
        <v>1092</v>
      </c>
      <c r="B1352" t="s">
        <v>1</v>
      </c>
    </row>
    <row r="1353" spans="1:2" x14ac:dyDescent="0.2">
      <c r="A1353" t="s">
        <v>1094</v>
      </c>
      <c r="B1353" t="s">
        <v>1</v>
      </c>
    </row>
    <row r="1354" spans="1:2" x14ac:dyDescent="0.2">
      <c r="A1354" t="s">
        <v>1096</v>
      </c>
      <c r="B1354" t="s">
        <v>1</v>
      </c>
    </row>
    <row r="1355" spans="1:2" x14ac:dyDescent="0.2">
      <c r="A1355" t="s">
        <v>1098</v>
      </c>
      <c r="B1355" t="s">
        <v>1</v>
      </c>
    </row>
    <row r="1356" spans="1:2" x14ac:dyDescent="0.2">
      <c r="A1356" t="s">
        <v>1100</v>
      </c>
      <c r="B1356" t="s">
        <v>1</v>
      </c>
    </row>
    <row r="1357" spans="1:2" x14ac:dyDescent="0.2">
      <c r="A1357" t="s">
        <v>1102</v>
      </c>
      <c r="B1357" t="s">
        <v>1</v>
      </c>
    </row>
    <row r="1358" spans="1:2" x14ac:dyDescent="0.2">
      <c r="A1358" t="s">
        <v>1104</v>
      </c>
      <c r="B1358" t="s">
        <v>1</v>
      </c>
    </row>
    <row r="1359" spans="1:2" x14ac:dyDescent="0.2">
      <c r="A1359" t="s">
        <v>1106</v>
      </c>
      <c r="B1359" t="s">
        <v>1</v>
      </c>
    </row>
    <row r="1360" spans="1:2" x14ac:dyDescent="0.2">
      <c r="A1360" t="s">
        <v>1108</v>
      </c>
      <c r="B1360" t="s">
        <v>1</v>
      </c>
    </row>
    <row r="1361" spans="1:2" x14ac:dyDescent="0.2">
      <c r="A1361" t="s">
        <v>1110</v>
      </c>
      <c r="B1361" t="s">
        <v>1</v>
      </c>
    </row>
    <row r="1362" spans="1:2" x14ac:dyDescent="0.2">
      <c r="A1362" t="s">
        <v>1112</v>
      </c>
      <c r="B1362" t="s">
        <v>1</v>
      </c>
    </row>
    <row r="1363" spans="1:2" x14ac:dyDescent="0.2">
      <c r="A1363" t="s">
        <v>1114</v>
      </c>
      <c r="B1363" t="s">
        <v>1</v>
      </c>
    </row>
    <row r="1364" spans="1:2" x14ac:dyDescent="0.2">
      <c r="A1364" t="s">
        <v>1116</v>
      </c>
      <c r="B1364" t="s">
        <v>1</v>
      </c>
    </row>
    <row r="1365" spans="1:2" x14ac:dyDescent="0.2">
      <c r="A1365" t="s">
        <v>1118</v>
      </c>
      <c r="B1365" t="s">
        <v>1</v>
      </c>
    </row>
    <row r="1366" spans="1:2" x14ac:dyDescent="0.2">
      <c r="A1366" t="s">
        <v>1120</v>
      </c>
      <c r="B1366" t="s">
        <v>1</v>
      </c>
    </row>
    <row r="1367" spans="1:2" x14ac:dyDescent="0.2">
      <c r="A1367" t="s">
        <v>1122</v>
      </c>
      <c r="B1367" t="s">
        <v>1</v>
      </c>
    </row>
    <row r="1368" spans="1:2" x14ac:dyDescent="0.2">
      <c r="A1368" t="s">
        <v>1124</v>
      </c>
      <c r="B1368" t="s">
        <v>1</v>
      </c>
    </row>
    <row r="1369" spans="1:2" x14ac:dyDescent="0.2">
      <c r="A1369" t="s">
        <v>1126</v>
      </c>
      <c r="B1369" t="s">
        <v>1</v>
      </c>
    </row>
    <row r="1370" spans="1:2" x14ac:dyDescent="0.2">
      <c r="A1370" t="s">
        <v>1128</v>
      </c>
      <c r="B1370" t="s">
        <v>1</v>
      </c>
    </row>
    <row r="1371" spans="1:2" x14ac:dyDescent="0.2">
      <c r="A1371" t="s">
        <v>1130</v>
      </c>
      <c r="B1371" t="s">
        <v>1</v>
      </c>
    </row>
    <row r="1372" spans="1:2" x14ac:dyDescent="0.2">
      <c r="A1372" t="s">
        <v>1132</v>
      </c>
      <c r="B1372" t="s">
        <v>1</v>
      </c>
    </row>
    <row r="1373" spans="1:2" x14ac:dyDescent="0.2">
      <c r="A1373" t="s">
        <v>1134</v>
      </c>
      <c r="B1373" t="s">
        <v>1</v>
      </c>
    </row>
    <row r="1374" spans="1:2" x14ac:dyDescent="0.2">
      <c r="A1374" t="s">
        <v>1136</v>
      </c>
      <c r="B1374" t="s">
        <v>1</v>
      </c>
    </row>
    <row r="1375" spans="1:2" x14ac:dyDescent="0.2">
      <c r="A1375" t="s">
        <v>1138</v>
      </c>
      <c r="B1375" t="s">
        <v>1</v>
      </c>
    </row>
    <row r="1376" spans="1:2" x14ac:dyDescent="0.2">
      <c r="A1376" t="s">
        <v>1140</v>
      </c>
      <c r="B1376" t="s">
        <v>1</v>
      </c>
    </row>
    <row r="1377" spans="1:2" x14ac:dyDescent="0.2">
      <c r="A1377" t="s">
        <v>1142</v>
      </c>
      <c r="B1377" t="s">
        <v>1</v>
      </c>
    </row>
    <row r="1378" spans="1:2" x14ac:dyDescent="0.2">
      <c r="A1378" t="s">
        <v>1144</v>
      </c>
      <c r="B1378" t="s">
        <v>1</v>
      </c>
    </row>
    <row r="1379" spans="1:2" x14ac:dyDescent="0.2">
      <c r="A1379" t="s">
        <v>1146</v>
      </c>
      <c r="B1379" t="s">
        <v>1</v>
      </c>
    </row>
    <row r="1380" spans="1:2" x14ac:dyDescent="0.2">
      <c r="A1380" t="s">
        <v>1148</v>
      </c>
      <c r="B1380" t="s">
        <v>1</v>
      </c>
    </row>
    <row r="1381" spans="1:2" x14ac:dyDescent="0.2">
      <c r="A1381" t="s">
        <v>1150</v>
      </c>
      <c r="B1381" t="s">
        <v>1</v>
      </c>
    </row>
    <row r="1382" spans="1:2" x14ac:dyDescent="0.2">
      <c r="A1382" t="s">
        <v>1152</v>
      </c>
      <c r="B1382" t="s">
        <v>1</v>
      </c>
    </row>
    <row r="1383" spans="1:2" x14ac:dyDescent="0.2">
      <c r="A1383" t="s">
        <v>1154</v>
      </c>
      <c r="B1383" t="s">
        <v>1</v>
      </c>
    </row>
    <row r="1384" spans="1:2" x14ac:dyDescent="0.2">
      <c r="A1384" t="s">
        <v>1156</v>
      </c>
      <c r="B1384" t="s">
        <v>1</v>
      </c>
    </row>
    <row r="1385" spans="1:2" x14ac:dyDescent="0.2">
      <c r="A1385" t="s">
        <v>1158</v>
      </c>
      <c r="B1385" t="s">
        <v>1</v>
      </c>
    </row>
    <row r="1386" spans="1:2" x14ac:dyDescent="0.2">
      <c r="A1386" t="s">
        <v>1160</v>
      </c>
      <c r="B1386" t="s">
        <v>1</v>
      </c>
    </row>
    <row r="1387" spans="1:2" x14ac:dyDescent="0.2">
      <c r="A1387" t="s">
        <v>1162</v>
      </c>
      <c r="B1387" t="s">
        <v>1</v>
      </c>
    </row>
    <row r="1388" spans="1:2" x14ac:dyDescent="0.2">
      <c r="A1388" t="s">
        <v>1164</v>
      </c>
      <c r="B1388" t="s">
        <v>1</v>
      </c>
    </row>
    <row r="1389" spans="1:2" x14ac:dyDescent="0.2">
      <c r="A1389" t="s">
        <v>1166</v>
      </c>
      <c r="B1389" t="s">
        <v>1</v>
      </c>
    </row>
    <row r="1390" spans="1:2" x14ac:dyDescent="0.2">
      <c r="A1390" t="s">
        <v>1168</v>
      </c>
      <c r="B1390" t="s">
        <v>1</v>
      </c>
    </row>
    <row r="1391" spans="1:2" x14ac:dyDescent="0.2">
      <c r="A1391" t="s">
        <v>1170</v>
      </c>
      <c r="B1391" t="s">
        <v>1</v>
      </c>
    </row>
    <row r="1392" spans="1:2" x14ac:dyDescent="0.2">
      <c r="A1392" t="s">
        <v>1172</v>
      </c>
      <c r="B1392" t="s">
        <v>1</v>
      </c>
    </row>
    <row r="1393" spans="1:2" x14ac:dyDescent="0.2">
      <c r="A1393" t="s">
        <v>1174</v>
      </c>
      <c r="B1393" t="s">
        <v>1</v>
      </c>
    </row>
    <row r="1394" spans="1:2" x14ac:dyDescent="0.2">
      <c r="A1394" t="s">
        <v>1176</v>
      </c>
      <c r="B1394" t="s">
        <v>1</v>
      </c>
    </row>
    <row r="1395" spans="1:2" x14ac:dyDescent="0.2">
      <c r="A1395" t="s">
        <v>1178</v>
      </c>
      <c r="B1395" t="s">
        <v>1</v>
      </c>
    </row>
    <row r="1396" spans="1:2" x14ac:dyDescent="0.2">
      <c r="A1396" t="s">
        <v>1180</v>
      </c>
      <c r="B1396" t="s">
        <v>1</v>
      </c>
    </row>
    <row r="1397" spans="1:2" x14ac:dyDescent="0.2">
      <c r="A1397" t="s">
        <v>1182</v>
      </c>
      <c r="B1397" t="s">
        <v>1</v>
      </c>
    </row>
    <row r="1398" spans="1:2" x14ac:dyDescent="0.2">
      <c r="A1398" t="s">
        <v>1184</v>
      </c>
      <c r="B1398" t="s">
        <v>1</v>
      </c>
    </row>
    <row r="1399" spans="1:2" x14ac:dyDescent="0.2">
      <c r="A1399" t="s">
        <v>1186</v>
      </c>
      <c r="B1399" t="s">
        <v>1</v>
      </c>
    </row>
    <row r="1400" spans="1:2" x14ac:dyDescent="0.2">
      <c r="A1400" t="s">
        <v>1188</v>
      </c>
      <c r="B1400" t="s">
        <v>1</v>
      </c>
    </row>
    <row r="1401" spans="1:2" x14ac:dyDescent="0.2">
      <c r="A1401" t="s">
        <v>1190</v>
      </c>
      <c r="B1401" t="s">
        <v>1</v>
      </c>
    </row>
    <row r="1402" spans="1:2" x14ac:dyDescent="0.2">
      <c r="A1402" t="s">
        <v>1192</v>
      </c>
      <c r="B1402" t="s">
        <v>1</v>
      </c>
    </row>
    <row r="1403" spans="1:2" x14ac:dyDescent="0.2">
      <c r="A1403" t="s">
        <v>1194</v>
      </c>
      <c r="B1403" t="s">
        <v>1</v>
      </c>
    </row>
    <row r="1404" spans="1:2" x14ac:dyDescent="0.2">
      <c r="A1404" t="s">
        <v>1196</v>
      </c>
      <c r="B1404" t="s">
        <v>1</v>
      </c>
    </row>
    <row r="1405" spans="1:2" x14ac:dyDescent="0.2">
      <c r="A1405" t="s">
        <v>1198</v>
      </c>
      <c r="B1405" t="s">
        <v>1</v>
      </c>
    </row>
    <row r="1406" spans="1:2" x14ac:dyDescent="0.2">
      <c r="A1406" t="s">
        <v>1200</v>
      </c>
      <c r="B1406" t="s">
        <v>1</v>
      </c>
    </row>
    <row r="1407" spans="1:2" x14ac:dyDescent="0.2">
      <c r="A1407" t="s">
        <v>1202</v>
      </c>
      <c r="B1407" t="s">
        <v>1</v>
      </c>
    </row>
    <row r="1408" spans="1:2" x14ac:dyDescent="0.2">
      <c r="A1408" t="s">
        <v>1204</v>
      </c>
      <c r="B1408" t="s">
        <v>1</v>
      </c>
    </row>
    <row r="1409" spans="1:2" x14ac:dyDescent="0.2">
      <c r="A1409" t="s">
        <v>1206</v>
      </c>
      <c r="B1409" t="s">
        <v>1</v>
      </c>
    </row>
    <row r="1410" spans="1:2" x14ac:dyDescent="0.2">
      <c r="A1410" t="s">
        <v>1208</v>
      </c>
      <c r="B1410" t="s">
        <v>1</v>
      </c>
    </row>
    <row r="1411" spans="1:2" x14ac:dyDescent="0.2">
      <c r="A1411" t="s">
        <v>1209</v>
      </c>
      <c r="B1411" t="s">
        <v>1</v>
      </c>
    </row>
    <row r="1412" spans="1:2" x14ac:dyDescent="0.2">
      <c r="A1412" t="s">
        <v>1211</v>
      </c>
      <c r="B1412" t="s">
        <v>1</v>
      </c>
    </row>
    <row r="1413" spans="1:2" x14ac:dyDescent="0.2">
      <c r="A1413" t="s">
        <v>1213</v>
      </c>
      <c r="B1413" t="s">
        <v>1</v>
      </c>
    </row>
    <row r="1414" spans="1:2" x14ac:dyDescent="0.2">
      <c r="A1414" t="s">
        <v>1215</v>
      </c>
      <c r="B1414" t="s">
        <v>1</v>
      </c>
    </row>
    <row r="1415" spans="1:2" x14ac:dyDescent="0.2">
      <c r="A1415" t="s">
        <v>1217</v>
      </c>
      <c r="B1415" t="s">
        <v>1</v>
      </c>
    </row>
    <row r="1416" spans="1:2" x14ac:dyDescent="0.2">
      <c r="A1416" t="s">
        <v>1219</v>
      </c>
      <c r="B1416" t="s">
        <v>1</v>
      </c>
    </row>
    <row r="1417" spans="1:2" x14ac:dyDescent="0.2">
      <c r="A1417" t="s">
        <v>1221</v>
      </c>
      <c r="B1417" t="s">
        <v>1</v>
      </c>
    </row>
    <row r="1418" spans="1:2" x14ac:dyDescent="0.2">
      <c r="A1418" t="s">
        <v>1223</v>
      </c>
      <c r="B1418" t="s">
        <v>1</v>
      </c>
    </row>
    <row r="1419" spans="1:2" x14ac:dyDescent="0.2">
      <c r="A1419" t="s">
        <v>1225</v>
      </c>
      <c r="B1419" t="s">
        <v>1</v>
      </c>
    </row>
    <row r="1420" spans="1:2" x14ac:dyDescent="0.2">
      <c r="A1420" t="s">
        <v>1227</v>
      </c>
      <c r="B1420" t="s">
        <v>1</v>
      </c>
    </row>
    <row r="1421" spans="1:2" x14ac:dyDescent="0.2">
      <c r="A1421" t="s">
        <v>1229</v>
      </c>
      <c r="B1421" t="s">
        <v>1</v>
      </c>
    </row>
    <row r="1422" spans="1:2" x14ac:dyDescent="0.2">
      <c r="A1422" t="s">
        <v>1231</v>
      </c>
      <c r="B1422" t="s">
        <v>1</v>
      </c>
    </row>
    <row r="1423" spans="1:2" x14ac:dyDescent="0.2">
      <c r="A1423" t="s">
        <v>1233</v>
      </c>
      <c r="B1423" t="s">
        <v>1</v>
      </c>
    </row>
    <row r="1424" spans="1:2" x14ac:dyDescent="0.2">
      <c r="A1424" t="s">
        <v>1235</v>
      </c>
      <c r="B1424" t="s">
        <v>1</v>
      </c>
    </row>
    <row r="1425" spans="1:2" x14ac:dyDescent="0.2">
      <c r="A1425" t="s">
        <v>1237</v>
      </c>
      <c r="B1425" t="s">
        <v>1</v>
      </c>
    </row>
    <row r="1426" spans="1:2" x14ac:dyDescent="0.2">
      <c r="A1426" t="s">
        <v>1239</v>
      </c>
      <c r="B1426" t="s">
        <v>1</v>
      </c>
    </row>
    <row r="1427" spans="1:2" x14ac:dyDescent="0.2">
      <c r="A1427" t="s">
        <v>1241</v>
      </c>
      <c r="B1427" t="s">
        <v>1</v>
      </c>
    </row>
    <row r="1428" spans="1:2" x14ac:dyDescent="0.2">
      <c r="A1428" t="s">
        <v>1242</v>
      </c>
      <c r="B1428" t="s">
        <v>1</v>
      </c>
    </row>
    <row r="1429" spans="1:2" x14ac:dyDescent="0.2">
      <c r="A1429" t="s">
        <v>1244</v>
      </c>
      <c r="B1429" t="s">
        <v>1</v>
      </c>
    </row>
    <row r="1430" spans="1:2" x14ac:dyDescent="0.2">
      <c r="A1430" t="s">
        <v>1245</v>
      </c>
      <c r="B1430" t="s">
        <v>1</v>
      </c>
    </row>
    <row r="1431" spans="1:2" x14ac:dyDescent="0.2">
      <c r="A1431" t="s">
        <v>1247</v>
      </c>
      <c r="B1431" t="s">
        <v>1</v>
      </c>
    </row>
    <row r="1432" spans="1:2" x14ac:dyDescent="0.2">
      <c r="A1432" t="s">
        <v>1249</v>
      </c>
      <c r="B1432" t="s">
        <v>1</v>
      </c>
    </row>
    <row r="1433" spans="1:2" x14ac:dyDescent="0.2">
      <c r="A1433" t="s">
        <v>1251</v>
      </c>
      <c r="B1433" t="s">
        <v>1</v>
      </c>
    </row>
    <row r="1434" spans="1:2" x14ac:dyDescent="0.2">
      <c r="A1434" t="s">
        <v>1253</v>
      </c>
      <c r="B1434" t="s">
        <v>1</v>
      </c>
    </row>
    <row r="1435" spans="1:2" x14ac:dyDescent="0.2">
      <c r="A1435" t="s">
        <v>1255</v>
      </c>
      <c r="B1435" t="s">
        <v>1</v>
      </c>
    </row>
    <row r="1436" spans="1:2" x14ac:dyDescent="0.2">
      <c r="A1436" t="s">
        <v>1257</v>
      </c>
      <c r="B1436" t="s">
        <v>1</v>
      </c>
    </row>
    <row r="1437" spans="1:2" x14ac:dyDescent="0.2">
      <c r="A1437" t="s">
        <v>1259</v>
      </c>
      <c r="B1437" t="s">
        <v>1</v>
      </c>
    </row>
    <row r="1438" spans="1:2" x14ac:dyDescent="0.2">
      <c r="A1438" t="s">
        <v>1261</v>
      </c>
      <c r="B1438" t="s">
        <v>1</v>
      </c>
    </row>
    <row r="1439" spans="1:2" x14ac:dyDescent="0.2">
      <c r="A1439" t="s">
        <v>1263</v>
      </c>
      <c r="B1439" t="s">
        <v>1</v>
      </c>
    </row>
    <row r="1440" spans="1:2" x14ac:dyDescent="0.2">
      <c r="A1440" t="s">
        <v>1265</v>
      </c>
      <c r="B1440" t="s">
        <v>1</v>
      </c>
    </row>
    <row r="1441" spans="1:2" x14ac:dyDescent="0.2">
      <c r="A1441" t="s">
        <v>1267</v>
      </c>
      <c r="B1441" t="s">
        <v>1</v>
      </c>
    </row>
    <row r="1442" spans="1:2" x14ac:dyDescent="0.2">
      <c r="A1442" t="s">
        <v>1269</v>
      </c>
      <c r="B1442" t="s">
        <v>1</v>
      </c>
    </row>
    <row r="1443" spans="1:2" x14ac:dyDescent="0.2">
      <c r="A1443" t="s">
        <v>1271</v>
      </c>
      <c r="B1443" t="s">
        <v>1</v>
      </c>
    </row>
    <row r="1444" spans="1:2" x14ac:dyDescent="0.2">
      <c r="A1444" t="s">
        <v>1273</v>
      </c>
      <c r="B1444" t="s">
        <v>1</v>
      </c>
    </row>
    <row r="1445" spans="1:2" x14ac:dyDescent="0.2">
      <c r="A1445" t="s">
        <v>1275</v>
      </c>
      <c r="B1445" t="s">
        <v>1</v>
      </c>
    </row>
    <row r="1446" spans="1:2" x14ac:dyDescent="0.2">
      <c r="A1446" t="s">
        <v>1277</v>
      </c>
      <c r="B1446" t="s">
        <v>1</v>
      </c>
    </row>
    <row r="1447" spans="1:2" x14ac:dyDescent="0.2">
      <c r="A1447" t="s">
        <v>1279</v>
      </c>
      <c r="B1447" t="s">
        <v>1</v>
      </c>
    </row>
    <row r="1448" spans="1:2" x14ac:dyDescent="0.2">
      <c r="A1448" t="s">
        <v>1281</v>
      </c>
      <c r="B1448" t="s">
        <v>1</v>
      </c>
    </row>
    <row r="1449" spans="1:2" x14ac:dyDescent="0.2">
      <c r="A1449" t="s">
        <v>1283</v>
      </c>
      <c r="B1449" t="s">
        <v>1</v>
      </c>
    </row>
    <row r="1450" spans="1:2" x14ac:dyDescent="0.2">
      <c r="A1450" t="s">
        <v>1285</v>
      </c>
      <c r="B1450" t="s">
        <v>1</v>
      </c>
    </row>
    <row r="1451" spans="1:2" x14ac:dyDescent="0.2">
      <c r="A1451" t="s">
        <v>1287</v>
      </c>
      <c r="B1451" t="s">
        <v>1</v>
      </c>
    </row>
    <row r="1452" spans="1:2" x14ac:dyDescent="0.2">
      <c r="A1452" t="s">
        <v>1289</v>
      </c>
      <c r="B1452" t="s">
        <v>1</v>
      </c>
    </row>
    <row r="1453" spans="1:2" x14ac:dyDescent="0.2">
      <c r="A1453" t="s">
        <v>1290</v>
      </c>
      <c r="B1453" t="s">
        <v>1</v>
      </c>
    </row>
    <row r="1454" spans="1:2" x14ac:dyDescent="0.2">
      <c r="A1454" t="s">
        <v>1292</v>
      </c>
      <c r="B1454" t="s">
        <v>1</v>
      </c>
    </row>
    <row r="1455" spans="1:2" x14ac:dyDescent="0.2">
      <c r="A1455" t="s">
        <v>1294</v>
      </c>
      <c r="B1455" t="s">
        <v>1</v>
      </c>
    </row>
    <row r="1456" spans="1:2" x14ac:dyDescent="0.2">
      <c r="A1456" t="s">
        <v>1296</v>
      </c>
      <c r="B1456" t="s">
        <v>1</v>
      </c>
    </row>
    <row r="1457" spans="1:2" x14ac:dyDescent="0.2">
      <c r="A1457" t="s">
        <v>1298</v>
      </c>
      <c r="B1457" t="s">
        <v>1</v>
      </c>
    </row>
    <row r="1458" spans="1:2" x14ac:dyDescent="0.2">
      <c r="A1458" t="s">
        <v>1300</v>
      </c>
      <c r="B1458" t="s">
        <v>1</v>
      </c>
    </row>
    <row r="1459" spans="1:2" x14ac:dyDescent="0.2">
      <c r="A1459" t="s">
        <v>1302</v>
      </c>
      <c r="B1459" t="s">
        <v>1</v>
      </c>
    </row>
    <row r="1460" spans="1:2" x14ac:dyDescent="0.2">
      <c r="A1460" t="s">
        <v>1304</v>
      </c>
      <c r="B1460" t="s">
        <v>1</v>
      </c>
    </row>
    <row r="1461" spans="1:2" x14ac:dyDescent="0.2">
      <c r="A1461" t="s">
        <v>1306</v>
      </c>
      <c r="B1461" t="s">
        <v>1</v>
      </c>
    </row>
    <row r="1462" spans="1:2" x14ac:dyDescent="0.2">
      <c r="A1462" t="s">
        <v>1308</v>
      </c>
      <c r="B1462" t="s">
        <v>1</v>
      </c>
    </row>
    <row r="1463" spans="1:2" x14ac:dyDescent="0.2">
      <c r="A1463" t="s">
        <v>1310</v>
      </c>
      <c r="B1463" t="s">
        <v>1</v>
      </c>
    </row>
    <row r="1464" spans="1:2" x14ac:dyDescent="0.2">
      <c r="A1464" t="s">
        <v>1312</v>
      </c>
      <c r="B1464" t="s">
        <v>1</v>
      </c>
    </row>
    <row r="1465" spans="1:2" x14ac:dyDescent="0.2">
      <c r="A1465" t="s">
        <v>1314</v>
      </c>
      <c r="B1465" t="s">
        <v>1</v>
      </c>
    </row>
    <row r="1466" spans="1:2" x14ac:dyDescent="0.2">
      <c r="A1466" t="s">
        <v>1316</v>
      </c>
      <c r="B1466" t="s">
        <v>1</v>
      </c>
    </row>
    <row r="1467" spans="1:2" x14ac:dyDescent="0.2">
      <c r="A1467" t="s">
        <v>1318</v>
      </c>
      <c r="B1467" t="s">
        <v>1</v>
      </c>
    </row>
    <row r="1468" spans="1:2" x14ac:dyDescent="0.2">
      <c r="A1468" t="s">
        <v>1320</v>
      </c>
      <c r="B1468" t="s">
        <v>1</v>
      </c>
    </row>
    <row r="1469" spans="1:2" x14ac:dyDescent="0.2">
      <c r="A1469" t="s">
        <v>1322</v>
      </c>
      <c r="B1469" t="s">
        <v>1</v>
      </c>
    </row>
    <row r="1470" spans="1:2" x14ac:dyDescent="0.2">
      <c r="A1470" t="s">
        <v>1324</v>
      </c>
      <c r="B1470" t="s">
        <v>1</v>
      </c>
    </row>
    <row r="1471" spans="1:2" x14ac:dyDescent="0.2">
      <c r="A1471" t="s">
        <v>1326</v>
      </c>
      <c r="B1471" t="s">
        <v>1</v>
      </c>
    </row>
    <row r="1472" spans="1:2" x14ac:dyDescent="0.2">
      <c r="A1472" t="s">
        <v>1328</v>
      </c>
      <c r="B1472" t="s">
        <v>1</v>
      </c>
    </row>
    <row r="1473" spans="1:2" x14ac:dyDescent="0.2">
      <c r="A1473" t="s">
        <v>1330</v>
      </c>
      <c r="B1473" t="s">
        <v>1</v>
      </c>
    </row>
    <row r="1474" spans="1:2" x14ac:dyDescent="0.2">
      <c r="A1474" t="s">
        <v>1332</v>
      </c>
      <c r="B1474" t="s">
        <v>1</v>
      </c>
    </row>
    <row r="1475" spans="1:2" x14ac:dyDescent="0.2">
      <c r="A1475" t="s">
        <v>1334</v>
      </c>
      <c r="B1475" t="s">
        <v>1</v>
      </c>
    </row>
    <row r="1476" spans="1:2" x14ac:dyDescent="0.2">
      <c r="A1476" t="s">
        <v>1336</v>
      </c>
      <c r="B1476" t="s">
        <v>1</v>
      </c>
    </row>
    <row r="1477" spans="1:2" x14ac:dyDescent="0.2">
      <c r="A1477" t="s">
        <v>1338</v>
      </c>
      <c r="B1477" t="s">
        <v>1</v>
      </c>
    </row>
    <row r="1478" spans="1:2" x14ac:dyDescent="0.2">
      <c r="A1478" t="s">
        <v>1340</v>
      </c>
      <c r="B1478" t="s">
        <v>1</v>
      </c>
    </row>
    <row r="1479" spans="1:2" x14ac:dyDescent="0.2">
      <c r="A1479" t="s">
        <v>1342</v>
      </c>
      <c r="B1479" t="s">
        <v>1</v>
      </c>
    </row>
    <row r="1480" spans="1:2" x14ac:dyDescent="0.2">
      <c r="A1480" t="s">
        <v>1344</v>
      </c>
      <c r="B1480" t="s">
        <v>1</v>
      </c>
    </row>
    <row r="1481" spans="1:2" x14ac:dyDescent="0.2">
      <c r="A1481" t="s">
        <v>1346</v>
      </c>
      <c r="B1481" t="s">
        <v>1</v>
      </c>
    </row>
    <row r="1482" spans="1:2" x14ac:dyDescent="0.2">
      <c r="A1482" t="s">
        <v>1348</v>
      </c>
      <c r="B1482" t="s">
        <v>1</v>
      </c>
    </row>
    <row r="1483" spans="1:2" x14ac:dyDescent="0.2">
      <c r="A1483" t="s">
        <v>1350</v>
      </c>
      <c r="B1483" t="s">
        <v>1</v>
      </c>
    </row>
    <row r="1484" spans="1:2" x14ac:dyDescent="0.2">
      <c r="A1484" t="s">
        <v>1352</v>
      </c>
      <c r="B1484" t="s">
        <v>1</v>
      </c>
    </row>
    <row r="1485" spans="1:2" x14ac:dyDescent="0.2">
      <c r="A1485" t="s">
        <v>1354</v>
      </c>
      <c r="B1485" t="s">
        <v>1</v>
      </c>
    </row>
    <row r="1486" spans="1:2" x14ac:dyDescent="0.2">
      <c r="A1486" t="s">
        <v>1356</v>
      </c>
      <c r="B1486" t="s">
        <v>1</v>
      </c>
    </row>
    <row r="1487" spans="1:2" x14ac:dyDescent="0.2">
      <c r="A1487" t="s">
        <v>1358</v>
      </c>
      <c r="B1487" t="s">
        <v>1</v>
      </c>
    </row>
    <row r="1488" spans="1:2" x14ac:dyDescent="0.2">
      <c r="A1488" t="s">
        <v>1360</v>
      </c>
      <c r="B1488" t="s">
        <v>1</v>
      </c>
    </row>
    <row r="1489" spans="1:2" x14ac:dyDescent="0.2">
      <c r="A1489" t="s">
        <v>1362</v>
      </c>
      <c r="B1489" t="s">
        <v>1</v>
      </c>
    </row>
    <row r="1490" spans="1:2" x14ac:dyDescent="0.2">
      <c r="A1490" t="s">
        <v>1364</v>
      </c>
      <c r="B1490" t="s">
        <v>1</v>
      </c>
    </row>
    <row r="1491" spans="1:2" x14ac:dyDescent="0.2">
      <c r="A1491" t="s">
        <v>1366</v>
      </c>
      <c r="B1491" t="s">
        <v>1</v>
      </c>
    </row>
    <row r="1492" spans="1:2" x14ac:dyDescent="0.2">
      <c r="A1492" t="s">
        <v>1368</v>
      </c>
      <c r="B1492" t="s">
        <v>1</v>
      </c>
    </row>
    <row r="1493" spans="1:2" x14ac:dyDescent="0.2">
      <c r="A1493" t="s">
        <v>1370</v>
      </c>
      <c r="B1493" t="s">
        <v>1</v>
      </c>
    </row>
    <row r="1494" spans="1:2" x14ac:dyDescent="0.2">
      <c r="A1494" t="s">
        <v>1372</v>
      </c>
      <c r="B1494" t="s">
        <v>1</v>
      </c>
    </row>
    <row r="1495" spans="1:2" x14ac:dyDescent="0.2">
      <c r="A1495" t="s">
        <v>1374</v>
      </c>
      <c r="B1495" t="s">
        <v>1</v>
      </c>
    </row>
    <row r="1496" spans="1:2" x14ac:dyDescent="0.2">
      <c r="A1496" t="s">
        <v>1376</v>
      </c>
      <c r="B1496" t="s">
        <v>1</v>
      </c>
    </row>
    <row r="1497" spans="1:2" x14ac:dyDescent="0.2">
      <c r="A1497" t="s">
        <v>1378</v>
      </c>
      <c r="B1497" t="s">
        <v>1</v>
      </c>
    </row>
    <row r="1498" spans="1:2" x14ac:dyDescent="0.2">
      <c r="A1498" t="s">
        <v>1380</v>
      </c>
      <c r="B1498" t="s">
        <v>1</v>
      </c>
    </row>
    <row r="1499" spans="1:2" x14ac:dyDescent="0.2">
      <c r="A1499" t="s">
        <v>1382</v>
      </c>
      <c r="B1499" t="s">
        <v>1</v>
      </c>
    </row>
    <row r="1500" spans="1:2" x14ac:dyDescent="0.2">
      <c r="A1500" t="s">
        <v>1383</v>
      </c>
      <c r="B1500" t="s">
        <v>1</v>
      </c>
    </row>
    <row r="1501" spans="1:2" x14ac:dyDescent="0.2">
      <c r="A1501" t="s">
        <v>1385</v>
      </c>
      <c r="B1501" t="s">
        <v>1</v>
      </c>
    </row>
    <row r="1502" spans="1:2" x14ac:dyDescent="0.2">
      <c r="A1502" t="s">
        <v>1387</v>
      </c>
      <c r="B1502" t="s">
        <v>1</v>
      </c>
    </row>
    <row r="1503" spans="1:2" x14ac:dyDescent="0.2">
      <c r="A1503" t="s">
        <v>1389</v>
      </c>
      <c r="B1503" t="s">
        <v>1</v>
      </c>
    </row>
    <row r="1504" spans="1:2" x14ac:dyDescent="0.2">
      <c r="A1504" t="s">
        <v>1391</v>
      </c>
      <c r="B1504" t="s">
        <v>1</v>
      </c>
    </row>
    <row r="1505" spans="1:2" x14ac:dyDescent="0.2">
      <c r="A1505" t="s">
        <v>1393</v>
      </c>
      <c r="B1505" t="s">
        <v>1</v>
      </c>
    </row>
    <row r="1506" spans="1:2" x14ac:dyDescent="0.2">
      <c r="A1506" t="s">
        <v>1395</v>
      </c>
      <c r="B1506" t="s">
        <v>1</v>
      </c>
    </row>
    <row r="1507" spans="1:2" x14ac:dyDescent="0.2">
      <c r="A1507" t="s">
        <v>1397</v>
      </c>
      <c r="B1507" t="s">
        <v>1</v>
      </c>
    </row>
    <row r="1508" spans="1:2" x14ac:dyDescent="0.2">
      <c r="A1508" t="s">
        <v>1399</v>
      </c>
      <c r="B1508" t="s">
        <v>1</v>
      </c>
    </row>
    <row r="1509" spans="1:2" x14ac:dyDescent="0.2">
      <c r="A1509" t="s">
        <v>1401</v>
      </c>
      <c r="B1509" t="s">
        <v>1</v>
      </c>
    </row>
    <row r="1510" spans="1:2" x14ac:dyDescent="0.2">
      <c r="A1510" t="s">
        <v>1403</v>
      </c>
      <c r="B1510" t="s">
        <v>1</v>
      </c>
    </row>
    <row r="1511" spans="1:2" x14ac:dyDescent="0.2">
      <c r="A1511" t="s">
        <v>1405</v>
      </c>
      <c r="B1511" t="s">
        <v>1</v>
      </c>
    </row>
    <row r="1512" spans="1:2" x14ac:dyDescent="0.2">
      <c r="A1512" t="s">
        <v>1407</v>
      </c>
      <c r="B1512" t="s">
        <v>1</v>
      </c>
    </row>
    <row r="1513" spans="1:2" x14ac:dyDescent="0.2">
      <c r="A1513" t="s">
        <v>1409</v>
      </c>
      <c r="B1513" t="s">
        <v>1</v>
      </c>
    </row>
    <row r="1514" spans="1:2" x14ac:dyDescent="0.2">
      <c r="A1514" t="s">
        <v>1411</v>
      </c>
      <c r="B1514" t="s">
        <v>1</v>
      </c>
    </row>
    <row r="1515" spans="1:2" x14ac:dyDescent="0.2">
      <c r="A1515" t="s">
        <v>1413</v>
      </c>
      <c r="B1515" t="s">
        <v>1</v>
      </c>
    </row>
    <row r="1516" spans="1:2" x14ac:dyDescent="0.2">
      <c r="A1516" t="s">
        <v>1415</v>
      </c>
      <c r="B1516" t="s">
        <v>1</v>
      </c>
    </row>
    <row r="1517" spans="1:2" x14ac:dyDescent="0.2">
      <c r="A1517" t="s">
        <v>1417</v>
      </c>
      <c r="B1517" t="s">
        <v>1</v>
      </c>
    </row>
    <row r="1518" spans="1:2" x14ac:dyDescent="0.2">
      <c r="A1518" t="s">
        <v>1419</v>
      </c>
      <c r="B1518" t="s">
        <v>1</v>
      </c>
    </row>
    <row r="1519" spans="1:2" x14ac:dyDescent="0.2">
      <c r="A1519" t="s">
        <v>1421</v>
      </c>
      <c r="B1519" t="s">
        <v>1</v>
      </c>
    </row>
    <row r="1520" spans="1:2" x14ac:dyDescent="0.2">
      <c r="A1520" t="s">
        <v>1423</v>
      </c>
      <c r="B1520" t="s">
        <v>1</v>
      </c>
    </row>
    <row r="1521" spans="1:2" x14ac:dyDescent="0.2">
      <c r="A1521" t="s">
        <v>1425</v>
      </c>
      <c r="B1521" t="s">
        <v>1</v>
      </c>
    </row>
    <row r="1522" spans="1:2" x14ac:dyDescent="0.2">
      <c r="A1522" t="s">
        <v>1427</v>
      </c>
      <c r="B1522" t="s">
        <v>1</v>
      </c>
    </row>
    <row r="1523" spans="1:2" x14ac:dyDescent="0.2">
      <c r="A1523" t="s">
        <v>1429</v>
      </c>
      <c r="B1523" t="s">
        <v>1</v>
      </c>
    </row>
    <row r="1524" spans="1:2" x14ac:dyDescent="0.2">
      <c r="A1524" t="s">
        <v>1431</v>
      </c>
      <c r="B1524" t="s">
        <v>1</v>
      </c>
    </row>
    <row r="1525" spans="1:2" x14ac:dyDescent="0.2">
      <c r="A1525" t="s">
        <v>1433</v>
      </c>
      <c r="B1525" t="s">
        <v>1</v>
      </c>
    </row>
    <row r="1526" spans="1:2" x14ac:dyDescent="0.2">
      <c r="A1526" t="s">
        <v>1435</v>
      </c>
      <c r="B1526" t="s">
        <v>1</v>
      </c>
    </row>
    <row r="1527" spans="1:2" x14ac:dyDescent="0.2">
      <c r="A1527" t="s">
        <v>1437</v>
      </c>
      <c r="B1527" t="s">
        <v>1</v>
      </c>
    </row>
    <row r="1528" spans="1:2" x14ac:dyDescent="0.2">
      <c r="A1528" t="s">
        <v>1439</v>
      </c>
      <c r="B1528" t="s">
        <v>1</v>
      </c>
    </row>
    <row r="1529" spans="1:2" x14ac:dyDescent="0.2">
      <c r="A1529" t="s">
        <v>1441</v>
      </c>
      <c r="B1529" t="s">
        <v>1</v>
      </c>
    </row>
    <row r="1530" spans="1:2" x14ac:dyDescent="0.2">
      <c r="A1530" t="s">
        <v>1443</v>
      </c>
      <c r="B1530" t="s">
        <v>1</v>
      </c>
    </row>
    <row r="1531" spans="1:2" x14ac:dyDescent="0.2">
      <c r="A1531" t="s">
        <v>1445</v>
      </c>
      <c r="B1531" t="s">
        <v>1</v>
      </c>
    </row>
    <row r="1532" spans="1:2" x14ac:dyDescent="0.2">
      <c r="A1532" t="s">
        <v>1447</v>
      </c>
      <c r="B1532" t="s">
        <v>1</v>
      </c>
    </row>
    <row r="1533" spans="1:2" x14ac:dyDescent="0.2">
      <c r="A1533" t="s">
        <v>1449</v>
      </c>
      <c r="B1533" t="s">
        <v>1</v>
      </c>
    </row>
    <row r="1534" spans="1:2" x14ac:dyDescent="0.2">
      <c r="A1534" t="s">
        <v>1451</v>
      </c>
      <c r="B1534" t="s">
        <v>1</v>
      </c>
    </row>
    <row r="1535" spans="1:2" x14ac:dyDescent="0.2">
      <c r="A1535" t="s">
        <v>1453</v>
      </c>
      <c r="B1535" t="s">
        <v>1</v>
      </c>
    </row>
    <row r="1536" spans="1:2" x14ac:dyDescent="0.2">
      <c r="A1536" t="s">
        <v>1455</v>
      </c>
      <c r="B1536" t="s">
        <v>1</v>
      </c>
    </row>
    <row r="1537" spans="1:2" x14ac:dyDescent="0.2">
      <c r="A1537" t="s">
        <v>1457</v>
      </c>
      <c r="B1537" t="s">
        <v>1</v>
      </c>
    </row>
    <row r="1538" spans="1:2" x14ac:dyDescent="0.2">
      <c r="A1538" t="s">
        <v>1459</v>
      </c>
      <c r="B1538" t="s">
        <v>1</v>
      </c>
    </row>
    <row r="1539" spans="1:2" x14ac:dyDescent="0.2">
      <c r="A1539" t="s">
        <v>1461</v>
      </c>
      <c r="B1539" t="s">
        <v>1</v>
      </c>
    </row>
    <row r="1540" spans="1:2" x14ac:dyDescent="0.2">
      <c r="A1540" t="s">
        <v>1463</v>
      </c>
      <c r="B1540" t="s">
        <v>1</v>
      </c>
    </row>
    <row r="1541" spans="1:2" x14ac:dyDescent="0.2">
      <c r="A1541" t="s">
        <v>1465</v>
      </c>
      <c r="B1541" t="s">
        <v>1</v>
      </c>
    </row>
    <row r="1542" spans="1:2" x14ac:dyDescent="0.2">
      <c r="A1542" t="s">
        <v>1467</v>
      </c>
      <c r="B1542" t="s">
        <v>1</v>
      </c>
    </row>
    <row r="1543" spans="1:2" x14ac:dyDescent="0.2">
      <c r="A1543" t="s">
        <v>1469</v>
      </c>
      <c r="B1543" t="s">
        <v>1</v>
      </c>
    </row>
    <row r="1544" spans="1:2" x14ac:dyDescent="0.2">
      <c r="A1544" t="s">
        <v>1471</v>
      </c>
      <c r="B1544" t="s">
        <v>1</v>
      </c>
    </row>
    <row r="1545" spans="1:2" x14ac:dyDescent="0.2">
      <c r="A1545" t="s">
        <v>1473</v>
      </c>
      <c r="B1545" t="s">
        <v>1</v>
      </c>
    </row>
    <row r="1546" spans="1:2" x14ac:dyDescent="0.2">
      <c r="A1546" t="s">
        <v>1475</v>
      </c>
      <c r="B1546" t="s">
        <v>1</v>
      </c>
    </row>
    <row r="1547" spans="1:2" x14ac:dyDescent="0.2">
      <c r="A1547" t="s">
        <v>1477</v>
      </c>
      <c r="B1547" t="s">
        <v>1</v>
      </c>
    </row>
    <row r="1548" spans="1:2" x14ac:dyDescent="0.2">
      <c r="A1548" t="s">
        <v>1479</v>
      </c>
      <c r="B1548" t="s">
        <v>1</v>
      </c>
    </row>
    <row r="1549" spans="1:2" x14ac:dyDescent="0.2">
      <c r="A1549" t="s">
        <v>1481</v>
      </c>
      <c r="B1549" t="s">
        <v>1</v>
      </c>
    </row>
    <row r="1550" spans="1:2" x14ac:dyDescent="0.2">
      <c r="A1550" t="s">
        <v>1483</v>
      </c>
      <c r="B1550" t="s">
        <v>1</v>
      </c>
    </row>
    <row r="1551" spans="1:2" x14ac:dyDescent="0.2">
      <c r="A1551" t="s">
        <v>1485</v>
      </c>
      <c r="B1551" t="s">
        <v>1</v>
      </c>
    </row>
    <row r="1552" spans="1:2" x14ac:dyDescent="0.2">
      <c r="A1552" t="s">
        <v>1487</v>
      </c>
      <c r="B1552" t="s">
        <v>1</v>
      </c>
    </row>
    <row r="1553" spans="1:2" x14ac:dyDescent="0.2">
      <c r="A1553" t="s">
        <v>1488</v>
      </c>
      <c r="B1553" t="s">
        <v>1</v>
      </c>
    </row>
    <row r="1554" spans="1:2" x14ac:dyDescent="0.2">
      <c r="A1554" t="s">
        <v>1490</v>
      </c>
      <c r="B1554" t="s">
        <v>1</v>
      </c>
    </row>
    <row r="1555" spans="1:2" x14ac:dyDescent="0.2">
      <c r="A1555" t="s">
        <v>1492</v>
      </c>
      <c r="B1555" t="s">
        <v>1</v>
      </c>
    </row>
    <row r="1556" spans="1:2" x14ac:dyDescent="0.2">
      <c r="A1556" t="s">
        <v>1494</v>
      </c>
      <c r="B1556" t="s">
        <v>1</v>
      </c>
    </row>
    <row r="1557" spans="1:2" x14ac:dyDescent="0.2">
      <c r="A1557" t="s">
        <v>1496</v>
      </c>
      <c r="B1557" t="s">
        <v>1</v>
      </c>
    </row>
    <row r="1558" spans="1:2" x14ac:dyDescent="0.2">
      <c r="A1558" t="s">
        <v>1498</v>
      </c>
      <c r="B1558" t="s">
        <v>1</v>
      </c>
    </row>
    <row r="1559" spans="1:2" x14ac:dyDescent="0.2">
      <c r="A1559" t="s">
        <v>1500</v>
      </c>
      <c r="B1559" t="s">
        <v>1</v>
      </c>
    </row>
    <row r="1560" spans="1:2" x14ac:dyDescent="0.2">
      <c r="A1560" t="s">
        <v>1502</v>
      </c>
      <c r="B1560" t="s">
        <v>1</v>
      </c>
    </row>
    <row r="1561" spans="1:2" x14ac:dyDescent="0.2">
      <c r="A1561" t="s">
        <v>1504</v>
      </c>
      <c r="B1561" t="s">
        <v>1</v>
      </c>
    </row>
    <row r="1562" spans="1:2" x14ac:dyDescent="0.2">
      <c r="A1562" t="s">
        <v>1506</v>
      </c>
      <c r="B1562" t="s">
        <v>1</v>
      </c>
    </row>
    <row r="1563" spans="1:2" x14ac:dyDescent="0.2">
      <c r="A1563" t="s">
        <v>1508</v>
      </c>
      <c r="B1563" t="s">
        <v>1</v>
      </c>
    </row>
    <row r="1564" spans="1:2" x14ac:dyDescent="0.2">
      <c r="A1564" t="s">
        <v>1510</v>
      </c>
      <c r="B1564" t="s">
        <v>1</v>
      </c>
    </row>
    <row r="1565" spans="1:2" x14ac:dyDescent="0.2">
      <c r="A1565" t="s">
        <v>1512</v>
      </c>
      <c r="B1565" t="s">
        <v>1</v>
      </c>
    </row>
    <row r="1566" spans="1:2" x14ac:dyDescent="0.2">
      <c r="A1566" t="s">
        <v>1514</v>
      </c>
      <c r="B1566" t="s">
        <v>1</v>
      </c>
    </row>
    <row r="1567" spans="1:2" x14ac:dyDescent="0.2">
      <c r="A1567" t="s">
        <v>1516</v>
      </c>
      <c r="B1567" t="s">
        <v>1</v>
      </c>
    </row>
    <row r="1568" spans="1:2" x14ac:dyDescent="0.2">
      <c r="A1568" t="s">
        <v>1518</v>
      </c>
      <c r="B1568" t="s">
        <v>1</v>
      </c>
    </row>
    <row r="1569" spans="1:2" x14ac:dyDescent="0.2">
      <c r="A1569" t="s">
        <v>1520</v>
      </c>
      <c r="B1569" t="s">
        <v>1</v>
      </c>
    </row>
    <row r="1570" spans="1:2" x14ac:dyDescent="0.2">
      <c r="A1570" t="s">
        <v>1212</v>
      </c>
      <c r="B1570" t="s">
        <v>1</v>
      </c>
    </row>
    <row r="1571" spans="1:2" x14ac:dyDescent="0.2">
      <c r="A1571" t="s">
        <v>1214</v>
      </c>
      <c r="B1571" t="s">
        <v>1</v>
      </c>
    </row>
    <row r="1572" spans="1:2" x14ac:dyDescent="0.2">
      <c r="A1572" t="s">
        <v>1524</v>
      </c>
      <c r="B1572" t="s">
        <v>1</v>
      </c>
    </row>
    <row r="1573" spans="1:2" x14ac:dyDescent="0.2">
      <c r="A1573" t="s">
        <v>1526</v>
      </c>
      <c r="B1573" t="s">
        <v>1</v>
      </c>
    </row>
    <row r="1574" spans="1:2" x14ac:dyDescent="0.2">
      <c r="A1574" t="s">
        <v>1528</v>
      </c>
      <c r="B1574" t="s">
        <v>1</v>
      </c>
    </row>
    <row r="1575" spans="1:2" x14ac:dyDescent="0.2">
      <c r="A1575" t="s">
        <v>1530</v>
      </c>
      <c r="B1575" t="s">
        <v>1</v>
      </c>
    </row>
    <row r="1576" spans="1:2" x14ac:dyDescent="0.2">
      <c r="A1576" t="s">
        <v>1532</v>
      </c>
      <c r="B1576" t="s">
        <v>1</v>
      </c>
    </row>
    <row r="1577" spans="1:2" x14ac:dyDescent="0.2">
      <c r="A1577" t="s">
        <v>1534</v>
      </c>
      <c r="B1577" t="s">
        <v>1</v>
      </c>
    </row>
    <row r="1578" spans="1:2" x14ac:dyDescent="0.2">
      <c r="A1578" t="s">
        <v>1536</v>
      </c>
      <c r="B1578" t="s">
        <v>1</v>
      </c>
    </row>
    <row r="1579" spans="1:2" x14ac:dyDescent="0.2">
      <c r="A1579" t="s">
        <v>1538</v>
      </c>
      <c r="B1579" t="s">
        <v>1</v>
      </c>
    </row>
    <row r="1580" spans="1:2" x14ac:dyDescent="0.2">
      <c r="A1580" t="s">
        <v>1540</v>
      </c>
      <c r="B1580" t="s">
        <v>1</v>
      </c>
    </row>
    <row r="1581" spans="1:2" x14ac:dyDescent="0.2">
      <c r="A1581" t="s">
        <v>1542</v>
      </c>
      <c r="B1581" t="s">
        <v>1</v>
      </c>
    </row>
    <row r="1582" spans="1:2" x14ac:dyDescent="0.2">
      <c r="A1582" t="s">
        <v>1544</v>
      </c>
      <c r="B1582" t="s">
        <v>1</v>
      </c>
    </row>
    <row r="1583" spans="1:2" x14ac:dyDescent="0.2">
      <c r="A1583" t="s">
        <v>1546</v>
      </c>
      <c r="B1583" t="s">
        <v>1</v>
      </c>
    </row>
    <row r="1584" spans="1:2" x14ac:dyDescent="0.2">
      <c r="A1584" t="s">
        <v>1548</v>
      </c>
      <c r="B1584" t="s">
        <v>1</v>
      </c>
    </row>
    <row r="1585" spans="1:2" x14ac:dyDescent="0.2">
      <c r="A1585" t="s">
        <v>1550</v>
      </c>
      <c r="B1585" t="s">
        <v>1</v>
      </c>
    </row>
    <row r="1586" spans="1:2" x14ac:dyDescent="0.2">
      <c r="A1586" t="s">
        <v>1552</v>
      </c>
      <c r="B1586" t="s">
        <v>1</v>
      </c>
    </row>
    <row r="1587" spans="1:2" x14ac:dyDescent="0.2">
      <c r="A1587" t="s">
        <v>1554</v>
      </c>
      <c r="B1587" t="s">
        <v>1</v>
      </c>
    </row>
    <row r="1588" spans="1:2" x14ac:dyDescent="0.2">
      <c r="A1588" t="s">
        <v>1556</v>
      </c>
      <c r="B1588" t="s">
        <v>1</v>
      </c>
    </row>
    <row r="1589" spans="1:2" x14ac:dyDescent="0.2">
      <c r="A1589" t="s">
        <v>1558</v>
      </c>
      <c r="B1589" t="s">
        <v>1</v>
      </c>
    </row>
    <row r="1590" spans="1:2" x14ac:dyDescent="0.2">
      <c r="A1590" t="s">
        <v>1560</v>
      </c>
      <c r="B1590" t="s">
        <v>1</v>
      </c>
    </row>
    <row r="1591" spans="1:2" x14ac:dyDescent="0.2">
      <c r="A1591" t="s">
        <v>1562</v>
      </c>
      <c r="B1591" t="s">
        <v>1</v>
      </c>
    </row>
    <row r="1592" spans="1:2" x14ac:dyDescent="0.2">
      <c r="A1592" t="s">
        <v>1564</v>
      </c>
      <c r="B1592" t="s">
        <v>1</v>
      </c>
    </row>
    <row r="1593" spans="1:2" x14ac:dyDescent="0.2">
      <c r="A1593" t="s">
        <v>1566</v>
      </c>
      <c r="B1593" t="s">
        <v>1</v>
      </c>
    </row>
    <row r="1594" spans="1:2" x14ac:dyDescent="0.2">
      <c r="A1594" t="s">
        <v>1568</v>
      </c>
      <c r="B1594" t="s">
        <v>1</v>
      </c>
    </row>
    <row r="1595" spans="1:2" x14ac:dyDescent="0.2">
      <c r="A1595" t="s">
        <v>1570</v>
      </c>
      <c r="B1595" t="s">
        <v>1</v>
      </c>
    </row>
    <row r="1596" spans="1:2" x14ac:dyDescent="0.2">
      <c r="A1596" t="s">
        <v>1572</v>
      </c>
      <c r="B1596" t="s">
        <v>1</v>
      </c>
    </row>
    <row r="1597" spans="1:2" x14ac:dyDescent="0.2">
      <c r="A1597" t="s">
        <v>1574</v>
      </c>
      <c r="B1597" t="s">
        <v>1</v>
      </c>
    </row>
    <row r="1598" spans="1:2" x14ac:dyDescent="0.2">
      <c r="A1598" t="s">
        <v>1576</v>
      </c>
      <c r="B1598" t="s">
        <v>1</v>
      </c>
    </row>
    <row r="1599" spans="1:2" x14ac:dyDescent="0.2">
      <c r="A1599" t="s">
        <v>1578</v>
      </c>
      <c r="B1599" t="s">
        <v>1</v>
      </c>
    </row>
    <row r="1600" spans="1:2" x14ac:dyDescent="0.2">
      <c r="A1600" t="s">
        <v>1579</v>
      </c>
      <c r="B1600" t="s">
        <v>1</v>
      </c>
    </row>
    <row r="1601" spans="1:2" x14ac:dyDescent="0.2">
      <c r="A1601" t="s">
        <v>1580</v>
      </c>
      <c r="B1601" t="s">
        <v>1</v>
      </c>
    </row>
    <row r="1602" spans="1:2" x14ac:dyDescent="0.2">
      <c r="A1602" t="s">
        <v>1581</v>
      </c>
      <c r="B1602" t="s">
        <v>1</v>
      </c>
    </row>
    <row r="1603" spans="1:2" x14ac:dyDescent="0.2">
      <c r="A1603" t="s">
        <v>1582</v>
      </c>
      <c r="B1603" t="s">
        <v>1</v>
      </c>
    </row>
    <row r="1604" spans="1:2" x14ac:dyDescent="0.2">
      <c r="A1604" t="s">
        <v>1583</v>
      </c>
      <c r="B1604" t="s">
        <v>1</v>
      </c>
    </row>
    <row r="1605" spans="1:2" x14ac:dyDescent="0.2">
      <c r="A1605" t="s">
        <v>1584</v>
      </c>
      <c r="B1605" t="s">
        <v>1</v>
      </c>
    </row>
    <row r="1606" spans="1:2" x14ac:dyDescent="0.2">
      <c r="A1606" t="s">
        <v>1585</v>
      </c>
      <c r="B1606" t="s">
        <v>1</v>
      </c>
    </row>
    <row r="1607" spans="1:2" x14ac:dyDescent="0.2">
      <c r="A1607" t="s">
        <v>1586</v>
      </c>
      <c r="B1607" t="s">
        <v>1</v>
      </c>
    </row>
    <row r="1608" spans="1:2" x14ac:dyDescent="0.2">
      <c r="A1608" t="s">
        <v>1587</v>
      </c>
      <c r="B1608" t="s">
        <v>1</v>
      </c>
    </row>
    <row r="1609" spans="1:2" x14ac:dyDescent="0.2">
      <c r="A1609" t="s">
        <v>1588</v>
      </c>
      <c r="B1609" t="s">
        <v>1</v>
      </c>
    </row>
    <row r="1610" spans="1:2" x14ac:dyDescent="0.2">
      <c r="A1610" t="s">
        <v>1589</v>
      </c>
      <c r="B1610" t="s">
        <v>1</v>
      </c>
    </row>
    <row r="1611" spans="1:2" x14ac:dyDescent="0.2">
      <c r="A1611" t="s">
        <v>1590</v>
      </c>
      <c r="B1611" t="s">
        <v>1</v>
      </c>
    </row>
    <row r="1612" spans="1:2" x14ac:dyDescent="0.2">
      <c r="A1612" t="s">
        <v>1591</v>
      </c>
      <c r="B1612" t="s">
        <v>1</v>
      </c>
    </row>
    <row r="1613" spans="1:2" x14ac:dyDescent="0.2">
      <c r="A1613" t="s">
        <v>1592</v>
      </c>
      <c r="B1613" t="s">
        <v>1</v>
      </c>
    </row>
    <row r="1614" spans="1:2" x14ac:dyDescent="0.2">
      <c r="A1614" t="s">
        <v>1593</v>
      </c>
      <c r="B1614" t="s">
        <v>1</v>
      </c>
    </row>
    <row r="1615" spans="1:2" x14ac:dyDescent="0.2">
      <c r="A1615" t="s">
        <v>1594</v>
      </c>
      <c r="B1615" t="s">
        <v>1</v>
      </c>
    </row>
    <row r="1616" spans="1:2" x14ac:dyDescent="0.2">
      <c r="A1616" t="s">
        <v>1595</v>
      </c>
      <c r="B1616" t="s">
        <v>1</v>
      </c>
    </row>
    <row r="1617" spans="1:2" x14ac:dyDescent="0.2">
      <c r="A1617" t="s">
        <v>1596</v>
      </c>
      <c r="B1617" t="s">
        <v>1</v>
      </c>
    </row>
    <row r="1618" spans="1:2" x14ac:dyDescent="0.2">
      <c r="A1618" t="s">
        <v>1597</v>
      </c>
      <c r="B1618" t="s">
        <v>1</v>
      </c>
    </row>
    <row r="1619" spans="1:2" x14ac:dyDescent="0.2">
      <c r="A1619" t="s">
        <v>1598</v>
      </c>
      <c r="B1619" t="s">
        <v>1</v>
      </c>
    </row>
    <row r="1620" spans="1:2" x14ac:dyDescent="0.2">
      <c r="A1620" t="s">
        <v>1599</v>
      </c>
      <c r="B1620" t="s">
        <v>1</v>
      </c>
    </row>
    <row r="1621" spans="1:2" x14ac:dyDescent="0.2">
      <c r="A1621" t="s">
        <v>1600</v>
      </c>
      <c r="B1621" t="s">
        <v>1</v>
      </c>
    </row>
    <row r="1622" spans="1:2" x14ac:dyDescent="0.2">
      <c r="A1622" t="s">
        <v>1601</v>
      </c>
      <c r="B1622" t="s">
        <v>1</v>
      </c>
    </row>
    <row r="1623" spans="1:2" x14ac:dyDescent="0.2">
      <c r="A1623" t="s">
        <v>1602</v>
      </c>
      <c r="B1623" t="s">
        <v>1</v>
      </c>
    </row>
    <row r="1624" spans="1:2" x14ac:dyDescent="0.2">
      <c r="A1624" t="s">
        <v>1603</v>
      </c>
      <c r="B1624" t="s">
        <v>1</v>
      </c>
    </row>
    <row r="1625" spans="1:2" x14ac:dyDescent="0.2">
      <c r="A1625" t="s">
        <v>1604</v>
      </c>
      <c r="B1625" t="s">
        <v>1</v>
      </c>
    </row>
    <row r="1626" spans="1:2" x14ac:dyDescent="0.2">
      <c r="A1626" t="s">
        <v>1605</v>
      </c>
      <c r="B1626" t="s">
        <v>1</v>
      </c>
    </row>
    <row r="1627" spans="1:2" x14ac:dyDescent="0.2">
      <c r="A1627" t="s">
        <v>1043</v>
      </c>
      <c r="B1627" t="s">
        <v>1</v>
      </c>
    </row>
    <row r="1628" spans="1:2" x14ac:dyDescent="0.2">
      <c r="A1628" t="s">
        <v>1606</v>
      </c>
      <c r="B1628" t="s">
        <v>1</v>
      </c>
    </row>
    <row r="1629" spans="1:2" x14ac:dyDescent="0.2">
      <c r="A1629" t="s">
        <v>1607</v>
      </c>
      <c r="B1629" t="s">
        <v>1</v>
      </c>
    </row>
    <row r="1630" spans="1:2" x14ac:dyDescent="0.2">
      <c r="A1630" t="s">
        <v>1608</v>
      </c>
      <c r="B1630" t="s">
        <v>1</v>
      </c>
    </row>
    <row r="1631" spans="1:2" x14ac:dyDescent="0.2">
      <c r="A1631" t="s">
        <v>1609</v>
      </c>
      <c r="B1631" t="s">
        <v>1</v>
      </c>
    </row>
    <row r="1632" spans="1:2" x14ac:dyDescent="0.2">
      <c r="A1632" t="s">
        <v>1610</v>
      </c>
      <c r="B1632" t="s">
        <v>1</v>
      </c>
    </row>
    <row r="1633" spans="1:2" x14ac:dyDescent="0.2">
      <c r="A1633" t="s">
        <v>1611</v>
      </c>
      <c r="B1633" t="s">
        <v>1</v>
      </c>
    </row>
    <row r="1634" spans="1:2" x14ac:dyDescent="0.2">
      <c r="A1634" t="s">
        <v>1612</v>
      </c>
      <c r="B1634" t="s">
        <v>1</v>
      </c>
    </row>
    <row r="1635" spans="1:2" x14ac:dyDescent="0.2">
      <c r="A1635" t="s">
        <v>1613</v>
      </c>
      <c r="B1635" t="s">
        <v>1</v>
      </c>
    </row>
    <row r="1636" spans="1:2" x14ac:dyDescent="0.2">
      <c r="A1636" t="s">
        <v>1614</v>
      </c>
      <c r="B1636" t="s">
        <v>1</v>
      </c>
    </row>
    <row r="1637" spans="1:2" x14ac:dyDescent="0.2">
      <c r="A1637" t="s">
        <v>1615</v>
      </c>
      <c r="B1637" t="s">
        <v>1</v>
      </c>
    </row>
    <row r="1638" spans="1:2" x14ac:dyDescent="0.2">
      <c r="A1638" t="s">
        <v>1616</v>
      </c>
      <c r="B1638" t="s">
        <v>1</v>
      </c>
    </row>
    <row r="1639" spans="1:2" x14ac:dyDescent="0.2">
      <c r="A1639" t="s">
        <v>1617</v>
      </c>
      <c r="B1639" t="s">
        <v>1</v>
      </c>
    </row>
    <row r="1640" spans="1:2" x14ac:dyDescent="0.2">
      <c r="A1640" t="s">
        <v>1618</v>
      </c>
      <c r="B1640" t="s">
        <v>1</v>
      </c>
    </row>
    <row r="1641" spans="1:2" x14ac:dyDescent="0.2">
      <c r="A1641" t="s">
        <v>1619</v>
      </c>
      <c r="B1641" t="s">
        <v>1</v>
      </c>
    </row>
    <row r="1642" spans="1:2" x14ac:dyDescent="0.2">
      <c r="A1642" t="s">
        <v>1620</v>
      </c>
      <c r="B1642" t="s">
        <v>1</v>
      </c>
    </row>
    <row r="1643" spans="1:2" x14ac:dyDescent="0.2">
      <c r="A1643" t="s">
        <v>1621</v>
      </c>
      <c r="B1643" t="s">
        <v>1</v>
      </c>
    </row>
    <row r="1644" spans="1:2" x14ac:dyDescent="0.2">
      <c r="A1644" t="s">
        <v>1622</v>
      </c>
      <c r="B1644" t="s">
        <v>1</v>
      </c>
    </row>
    <row r="1645" spans="1:2" x14ac:dyDescent="0.2">
      <c r="A1645" t="s">
        <v>1623</v>
      </c>
      <c r="B1645" t="s">
        <v>1</v>
      </c>
    </row>
    <row r="1646" spans="1:2" x14ac:dyDescent="0.2">
      <c r="A1646" t="s">
        <v>1624</v>
      </c>
      <c r="B1646" t="s">
        <v>1</v>
      </c>
    </row>
    <row r="1647" spans="1:2" x14ac:dyDescent="0.2">
      <c r="A1647" t="s">
        <v>1625</v>
      </c>
      <c r="B1647" t="s">
        <v>1</v>
      </c>
    </row>
    <row r="1648" spans="1:2" x14ac:dyDescent="0.2">
      <c r="A1648" t="s">
        <v>1626</v>
      </c>
      <c r="B1648" t="s">
        <v>1</v>
      </c>
    </row>
    <row r="1649" spans="1:2" x14ac:dyDescent="0.2">
      <c r="A1649" t="s">
        <v>1627</v>
      </c>
      <c r="B1649" t="s">
        <v>1</v>
      </c>
    </row>
    <row r="1650" spans="1:2" x14ac:dyDescent="0.2">
      <c r="A1650" t="s">
        <v>1628</v>
      </c>
      <c r="B1650" t="s">
        <v>1</v>
      </c>
    </row>
    <row r="1651" spans="1:2" x14ac:dyDescent="0.2">
      <c r="A1651" t="s">
        <v>1629</v>
      </c>
      <c r="B1651" t="s">
        <v>1</v>
      </c>
    </row>
    <row r="1652" spans="1:2" x14ac:dyDescent="0.2">
      <c r="A1652" t="s">
        <v>1630</v>
      </c>
      <c r="B1652" t="s">
        <v>1</v>
      </c>
    </row>
    <row r="1653" spans="1:2" x14ac:dyDescent="0.2">
      <c r="A1653" t="s">
        <v>1631</v>
      </c>
      <c r="B1653" t="s">
        <v>1</v>
      </c>
    </row>
    <row r="1654" spans="1:2" x14ac:dyDescent="0.2">
      <c r="A1654" t="s">
        <v>1632</v>
      </c>
      <c r="B1654" t="s">
        <v>1</v>
      </c>
    </row>
    <row r="1655" spans="1:2" x14ac:dyDescent="0.2">
      <c r="A1655" t="s">
        <v>1633</v>
      </c>
      <c r="B1655" t="s">
        <v>1</v>
      </c>
    </row>
    <row r="1656" spans="1:2" x14ac:dyDescent="0.2">
      <c r="A1656" t="s">
        <v>1634</v>
      </c>
      <c r="B1656" t="s">
        <v>1</v>
      </c>
    </row>
    <row r="1657" spans="1:2" x14ac:dyDescent="0.2">
      <c r="A1657" t="s">
        <v>1635</v>
      </c>
      <c r="B1657" t="s">
        <v>1</v>
      </c>
    </row>
    <row r="1658" spans="1:2" x14ac:dyDescent="0.2">
      <c r="A1658" t="s">
        <v>1636</v>
      </c>
      <c r="B1658" t="s">
        <v>1</v>
      </c>
    </row>
    <row r="1659" spans="1:2" x14ac:dyDescent="0.2">
      <c r="A1659" t="s">
        <v>1637</v>
      </c>
      <c r="B1659" t="s">
        <v>1</v>
      </c>
    </row>
    <row r="1660" spans="1:2" x14ac:dyDescent="0.2">
      <c r="A1660" t="s">
        <v>1638</v>
      </c>
      <c r="B1660" t="s">
        <v>1</v>
      </c>
    </row>
    <row r="1661" spans="1:2" x14ac:dyDescent="0.2">
      <c r="A1661" t="s">
        <v>1639</v>
      </c>
      <c r="B1661" t="s">
        <v>1</v>
      </c>
    </row>
    <row r="1662" spans="1:2" x14ac:dyDescent="0.2">
      <c r="A1662" t="s">
        <v>1640</v>
      </c>
      <c r="B1662" t="s">
        <v>1</v>
      </c>
    </row>
    <row r="1663" spans="1:2" x14ac:dyDescent="0.2">
      <c r="A1663" t="s">
        <v>1641</v>
      </c>
      <c r="B1663" t="s">
        <v>1</v>
      </c>
    </row>
    <row r="1664" spans="1:2" x14ac:dyDescent="0.2">
      <c r="A1664" t="s">
        <v>1642</v>
      </c>
      <c r="B1664" t="s">
        <v>1</v>
      </c>
    </row>
    <row r="1665" spans="1:2" x14ac:dyDescent="0.2">
      <c r="A1665" t="s">
        <v>1643</v>
      </c>
      <c r="B1665" t="s">
        <v>1</v>
      </c>
    </row>
    <row r="1666" spans="1:2" x14ac:dyDescent="0.2">
      <c r="A1666" t="s">
        <v>1644</v>
      </c>
      <c r="B1666" t="s">
        <v>1</v>
      </c>
    </row>
    <row r="1667" spans="1:2" x14ac:dyDescent="0.2">
      <c r="A1667" t="s">
        <v>1645</v>
      </c>
      <c r="B1667" t="s">
        <v>1</v>
      </c>
    </row>
    <row r="1668" spans="1:2" x14ac:dyDescent="0.2">
      <c r="A1668" t="s">
        <v>1646</v>
      </c>
      <c r="B1668" t="s">
        <v>1</v>
      </c>
    </row>
    <row r="1669" spans="1:2" x14ac:dyDescent="0.2">
      <c r="A1669" t="s">
        <v>1647</v>
      </c>
      <c r="B1669" t="s">
        <v>1</v>
      </c>
    </row>
    <row r="1670" spans="1:2" x14ac:dyDescent="0.2">
      <c r="A1670" t="s">
        <v>1648</v>
      </c>
      <c r="B1670" t="s">
        <v>1</v>
      </c>
    </row>
    <row r="1671" spans="1:2" x14ac:dyDescent="0.2">
      <c r="A1671" t="s">
        <v>1649</v>
      </c>
      <c r="B1671" t="s">
        <v>1</v>
      </c>
    </row>
    <row r="1672" spans="1:2" x14ac:dyDescent="0.2">
      <c r="A1672" t="s">
        <v>1650</v>
      </c>
      <c r="B1672" t="s">
        <v>1</v>
      </c>
    </row>
    <row r="1673" spans="1:2" x14ac:dyDescent="0.2">
      <c r="A1673" t="s">
        <v>1651</v>
      </c>
      <c r="B1673" t="s">
        <v>1</v>
      </c>
    </row>
    <row r="1674" spans="1:2" x14ac:dyDescent="0.2">
      <c r="A1674" t="s">
        <v>1652</v>
      </c>
      <c r="B1674" t="s">
        <v>1</v>
      </c>
    </row>
    <row r="1675" spans="1:2" x14ac:dyDescent="0.2">
      <c r="A1675" t="s">
        <v>1653</v>
      </c>
      <c r="B1675" t="s">
        <v>1</v>
      </c>
    </row>
    <row r="1676" spans="1:2" x14ac:dyDescent="0.2">
      <c r="A1676" t="s">
        <v>1654</v>
      </c>
      <c r="B1676" t="s">
        <v>1</v>
      </c>
    </row>
    <row r="1677" spans="1:2" x14ac:dyDescent="0.2">
      <c r="A1677" t="s">
        <v>1655</v>
      </c>
      <c r="B1677" t="s">
        <v>1</v>
      </c>
    </row>
    <row r="1678" spans="1:2" x14ac:dyDescent="0.2">
      <c r="A1678" t="s">
        <v>1656</v>
      </c>
      <c r="B1678" t="s">
        <v>1</v>
      </c>
    </row>
    <row r="1679" spans="1:2" x14ac:dyDescent="0.2">
      <c r="A1679" t="s">
        <v>1657</v>
      </c>
      <c r="B1679" t="s">
        <v>1</v>
      </c>
    </row>
    <row r="1680" spans="1:2" x14ac:dyDescent="0.2">
      <c r="A1680" t="s">
        <v>1658</v>
      </c>
      <c r="B1680" t="s">
        <v>1</v>
      </c>
    </row>
    <row r="1681" spans="1:2" x14ac:dyDescent="0.2">
      <c r="A1681" t="s">
        <v>1659</v>
      </c>
      <c r="B1681" t="s">
        <v>1</v>
      </c>
    </row>
    <row r="1682" spans="1:2" x14ac:dyDescent="0.2">
      <c r="A1682" t="s">
        <v>1660</v>
      </c>
      <c r="B1682" t="s">
        <v>1</v>
      </c>
    </row>
    <row r="1683" spans="1:2" x14ac:dyDescent="0.2">
      <c r="A1683" t="s">
        <v>1661</v>
      </c>
      <c r="B1683" t="s">
        <v>1</v>
      </c>
    </row>
    <row r="1684" spans="1:2" x14ac:dyDescent="0.2">
      <c r="A1684" t="s">
        <v>1662</v>
      </c>
      <c r="B1684" t="s">
        <v>1</v>
      </c>
    </row>
    <row r="1685" spans="1:2" x14ac:dyDescent="0.2">
      <c r="A1685" t="s">
        <v>970</v>
      </c>
      <c r="B1685" t="s">
        <v>1</v>
      </c>
    </row>
    <row r="1686" spans="1:2" x14ac:dyDescent="0.2">
      <c r="A1686" t="s">
        <v>1663</v>
      </c>
      <c r="B1686" t="s">
        <v>1</v>
      </c>
    </row>
    <row r="1687" spans="1:2" x14ac:dyDescent="0.2">
      <c r="A1687" t="s">
        <v>1664</v>
      </c>
      <c r="B1687" t="s">
        <v>1</v>
      </c>
    </row>
    <row r="1688" spans="1:2" x14ac:dyDescent="0.2">
      <c r="A1688" t="s">
        <v>1665</v>
      </c>
      <c r="B1688" t="s">
        <v>1</v>
      </c>
    </row>
    <row r="1689" spans="1:2" x14ac:dyDescent="0.2">
      <c r="A1689" t="s">
        <v>1666</v>
      </c>
      <c r="B1689" t="s">
        <v>1</v>
      </c>
    </row>
    <row r="1690" spans="1:2" x14ac:dyDescent="0.2">
      <c r="A1690" t="s">
        <v>1667</v>
      </c>
      <c r="B1690" t="s">
        <v>1</v>
      </c>
    </row>
    <row r="1691" spans="1:2" x14ac:dyDescent="0.2">
      <c r="A1691" t="s">
        <v>1668</v>
      </c>
      <c r="B1691" t="s">
        <v>1</v>
      </c>
    </row>
    <row r="1692" spans="1:2" x14ac:dyDescent="0.2">
      <c r="A1692" t="s">
        <v>1669</v>
      </c>
      <c r="B1692" t="s">
        <v>1</v>
      </c>
    </row>
    <row r="1693" spans="1:2" x14ac:dyDescent="0.2">
      <c r="A1693" t="s">
        <v>1670</v>
      </c>
      <c r="B1693" t="s">
        <v>1</v>
      </c>
    </row>
    <row r="1694" spans="1:2" x14ac:dyDescent="0.2">
      <c r="A1694" t="s">
        <v>1671</v>
      </c>
      <c r="B1694" t="s">
        <v>1</v>
      </c>
    </row>
    <row r="1695" spans="1:2" x14ac:dyDescent="0.2">
      <c r="A1695" t="s">
        <v>1672</v>
      </c>
      <c r="B1695" t="s">
        <v>1</v>
      </c>
    </row>
    <row r="1696" spans="1:2" x14ac:dyDescent="0.2">
      <c r="A1696" t="s">
        <v>1673</v>
      </c>
      <c r="B1696" t="s">
        <v>1</v>
      </c>
    </row>
    <row r="1697" spans="1:2" x14ac:dyDescent="0.2">
      <c r="A1697" t="s">
        <v>1674</v>
      </c>
      <c r="B1697" t="s">
        <v>1</v>
      </c>
    </row>
    <row r="1698" spans="1:2" x14ac:dyDescent="0.2">
      <c r="A1698" t="s">
        <v>1675</v>
      </c>
      <c r="B1698" t="s">
        <v>1</v>
      </c>
    </row>
    <row r="1699" spans="1:2" x14ac:dyDescent="0.2">
      <c r="A1699" t="s">
        <v>1676</v>
      </c>
      <c r="B1699" t="s">
        <v>1</v>
      </c>
    </row>
    <row r="1700" spans="1:2" x14ac:dyDescent="0.2">
      <c r="A1700" t="s">
        <v>1677</v>
      </c>
      <c r="B1700" t="s">
        <v>1</v>
      </c>
    </row>
    <row r="1701" spans="1:2" x14ac:dyDescent="0.2">
      <c r="A1701" t="s">
        <v>1678</v>
      </c>
      <c r="B1701" t="s">
        <v>1</v>
      </c>
    </row>
    <row r="1702" spans="1:2" x14ac:dyDescent="0.2">
      <c r="A1702" t="s">
        <v>1679</v>
      </c>
      <c r="B1702" t="s">
        <v>1</v>
      </c>
    </row>
    <row r="1703" spans="1:2" x14ac:dyDescent="0.2">
      <c r="A1703" t="s">
        <v>1680</v>
      </c>
      <c r="B1703" t="s">
        <v>1</v>
      </c>
    </row>
    <row r="1704" spans="1:2" x14ac:dyDescent="0.2">
      <c r="A1704" t="s">
        <v>1681</v>
      </c>
      <c r="B1704" t="s">
        <v>1</v>
      </c>
    </row>
    <row r="1705" spans="1:2" x14ac:dyDescent="0.2">
      <c r="A1705" t="s">
        <v>1682</v>
      </c>
      <c r="B1705" t="s">
        <v>1</v>
      </c>
    </row>
    <row r="1706" spans="1:2" x14ac:dyDescent="0.2">
      <c r="A1706" t="s">
        <v>1683</v>
      </c>
      <c r="B1706" t="s">
        <v>1</v>
      </c>
    </row>
    <row r="1707" spans="1:2" x14ac:dyDescent="0.2">
      <c r="A1707" t="s">
        <v>1684</v>
      </c>
      <c r="B1707" t="s">
        <v>1</v>
      </c>
    </row>
    <row r="1708" spans="1:2" x14ac:dyDescent="0.2">
      <c r="A1708" t="s">
        <v>1685</v>
      </c>
      <c r="B1708" t="s">
        <v>1</v>
      </c>
    </row>
    <row r="1709" spans="1:2" x14ac:dyDescent="0.2">
      <c r="A1709" t="s">
        <v>1686</v>
      </c>
      <c r="B1709" t="s">
        <v>1</v>
      </c>
    </row>
    <row r="1710" spans="1:2" x14ac:dyDescent="0.2">
      <c r="A1710" t="s">
        <v>1687</v>
      </c>
      <c r="B1710" t="s">
        <v>1</v>
      </c>
    </row>
    <row r="1711" spans="1:2" x14ac:dyDescent="0.2">
      <c r="A1711" t="s">
        <v>1688</v>
      </c>
      <c r="B1711" t="s">
        <v>1</v>
      </c>
    </row>
    <row r="1712" spans="1:2" x14ac:dyDescent="0.2">
      <c r="A1712" t="s">
        <v>1689</v>
      </c>
      <c r="B1712" t="s">
        <v>1</v>
      </c>
    </row>
    <row r="1713" spans="1:2" x14ac:dyDescent="0.2">
      <c r="A1713" t="s">
        <v>1690</v>
      </c>
      <c r="B1713" t="s">
        <v>1</v>
      </c>
    </row>
    <row r="1714" spans="1:2" x14ac:dyDescent="0.2">
      <c r="A1714" t="s">
        <v>1691</v>
      </c>
      <c r="B1714" t="s">
        <v>1</v>
      </c>
    </row>
    <row r="1715" spans="1:2" x14ac:dyDescent="0.2">
      <c r="A1715" t="s">
        <v>1692</v>
      </c>
      <c r="B1715" t="s">
        <v>1</v>
      </c>
    </row>
    <row r="1716" spans="1:2" x14ac:dyDescent="0.2">
      <c r="A1716" t="s">
        <v>1693</v>
      </c>
      <c r="B1716" t="s">
        <v>1</v>
      </c>
    </row>
    <row r="1717" spans="1:2" x14ac:dyDescent="0.2">
      <c r="A1717" t="s">
        <v>1694</v>
      </c>
      <c r="B1717" t="s">
        <v>1</v>
      </c>
    </row>
    <row r="1718" spans="1:2" x14ac:dyDescent="0.2">
      <c r="A1718" t="s">
        <v>1695</v>
      </c>
      <c r="B1718" t="s">
        <v>1</v>
      </c>
    </row>
    <row r="1719" spans="1:2" x14ac:dyDescent="0.2">
      <c r="A1719" t="s">
        <v>1696</v>
      </c>
      <c r="B1719" t="s">
        <v>1</v>
      </c>
    </row>
    <row r="1720" spans="1:2" x14ac:dyDescent="0.2">
      <c r="A1720" t="s">
        <v>1697</v>
      </c>
      <c r="B1720" t="s">
        <v>1</v>
      </c>
    </row>
    <row r="1721" spans="1:2" x14ac:dyDescent="0.2">
      <c r="A1721" t="s">
        <v>1698</v>
      </c>
      <c r="B1721" t="s">
        <v>1</v>
      </c>
    </row>
    <row r="1722" spans="1:2" x14ac:dyDescent="0.2">
      <c r="A1722" t="s">
        <v>1699</v>
      </c>
      <c r="B1722" t="s">
        <v>1</v>
      </c>
    </row>
    <row r="1723" spans="1:2" x14ac:dyDescent="0.2">
      <c r="A1723" t="s">
        <v>1700</v>
      </c>
      <c r="B1723" t="s">
        <v>1</v>
      </c>
    </row>
    <row r="1724" spans="1:2" x14ac:dyDescent="0.2">
      <c r="A1724" t="s">
        <v>1701</v>
      </c>
      <c r="B1724" t="s">
        <v>1</v>
      </c>
    </row>
    <row r="1725" spans="1:2" x14ac:dyDescent="0.2">
      <c r="A1725" t="s">
        <v>1702</v>
      </c>
      <c r="B1725" t="s">
        <v>1</v>
      </c>
    </row>
    <row r="1726" spans="1:2" x14ac:dyDescent="0.2">
      <c r="A1726" t="s">
        <v>1703</v>
      </c>
      <c r="B1726" t="s">
        <v>1</v>
      </c>
    </row>
    <row r="1727" spans="1:2" x14ac:dyDescent="0.2">
      <c r="A1727" t="s">
        <v>1704</v>
      </c>
      <c r="B1727" t="s">
        <v>1</v>
      </c>
    </row>
    <row r="1728" spans="1:2" x14ac:dyDescent="0.2">
      <c r="A1728" t="s">
        <v>1705</v>
      </c>
      <c r="B1728" t="s">
        <v>1</v>
      </c>
    </row>
    <row r="1729" spans="1:2" x14ac:dyDescent="0.2">
      <c r="A1729" t="s">
        <v>1706</v>
      </c>
      <c r="B1729" t="s">
        <v>1</v>
      </c>
    </row>
    <row r="1730" spans="1:2" x14ac:dyDescent="0.2">
      <c r="A1730" t="s">
        <v>1707</v>
      </c>
      <c r="B1730" t="s">
        <v>1</v>
      </c>
    </row>
    <row r="1731" spans="1:2" x14ac:dyDescent="0.2">
      <c r="A1731" t="s">
        <v>1708</v>
      </c>
      <c r="B1731" t="s">
        <v>1</v>
      </c>
    </row>
    <row r="1732" spans="1:2" x14ac:dyDescent="0.2">
      <c r="A1732" t="s">
        <v>1709</v>
      </c>
      <c r="B1732" t="s">
        <v>1</v>
      </c>
    </row>
    <row r="1733" spans="1:2" x14ac:dyDescent="0.2">
      <c r="A1733" t="s">
        <v>1710</v>
      </c>
      <c r="B1733" t="s">
        <v>1</v>
      </c>
    </row>
    <row r="1734" spans="1:2" x14ac:dyDescent="0.2">
      <c r="A1734" t="s">
        <v>1476</v>
      </c>
      <c r="B1734" t="s">
        <v>1</v>
      </c>
    </row>
    <row r="1735" spans="1:2" x14ac:dyDescent="0.2">
      <c r="A1735" t="s">
        <v>1711</v>
      </c>
      <c r="B1735" t="s">
        <v>1</v>
      </c>
    </row>
    <row r="1736" spans="1:2" x14ac:dyDescent="0.2">
      <c r="A1736" t="s">
        <v>1712</v>
      </c>
      <c r="B1736" t="s">
        <v>1</v>
      </c>
    </row>
    <row r="1737" spans="1:2" x14ac:dyDescent="0.2">
      <c r="A1737" t="s">
        <v>1713</v>
      </c>
      <c r="B1737" t="s">
        <v>1</v>
      </c>
    </row>
    <row r="1738" spans="1:2" x14ac:dyDescent="0.2">
      <c r="A1738" t="s">
        <v>1714</v>
      </c>
      <c r="B1738" t="s">
        <v>1</v>
      </c>
    </row>
    <row r="1739" spans="1:2" x14ac:dyDescent="0.2">
      <c r="A1739" t="s">
        <v>1715</v>
      </c>
      <c r="B1739" t="s">
        <v>1</v>
      </c>
    </row>
    <row r="1740" spans="1:2" x14ac:dyDescent="0.2">
      <c r="A1740" t="s">
        <v>1716</v>
      </c>
      <c r="B1740" t="s">
        <v>1</v>
      </c>
    </row>
    <row r="1741" spans="1:2" x14ac:dyDescent="0.2">
      <c r="A1741" t="s">
        <v>1717</v>
      </c>
      <c r="B1741" t="s">
        <v>1</v>
      </c>
    </row>
    <row r="1742" spans="1:2" x14ac:dyDescent="0.2">
      <c r="A1742" t="s">
        <v>1718</v>
      </c>
      <c r="B1742" t="s">
        <v>1</v>
      </c>
    </row>
    <row r="1743" spans="1:2" x14ac:dyDescent="0.2">
      <c r="A1743" t="s">
        <v>1719</v>
      </c>
      <c r="B1743" t="s">
        <v>1</v>
      </c>
    </row>
    <row r="1744" spans="1:2" x14ac:dyDescent="0.2">
      <c r="A1744" t="s">
        <v>1720</v>
      </c>
      <c r="B1744" t="s">
        <v>1</v>
      </c>
    </row>
    <row r="1745" spans="1:2" x14ac:dyDescent="0.2">
      <c r="A1745" t="s">
        <v>1721</v>
      </c>
      <c r="B1745" t="s">
        <v>1</v>
      </c>
    </row>
    <row r="1746" spans="1:2" x14ac:dyDescent="0.2">
      <c r="A1746" t="s">
        <v>1722</v>
      </c>
      <c r="B1746" t="s">
        <v>1</v>
      </c>
    </row>
    <row r="1747" spans="1:2" x14ac:dyDescent="0.2">
      <c r="A1747" t="s">
        <v>1723</v>
      </c>
      <c r="B1747" t="s">
        <v>1</v>
      </c>
    </row>
    <row r="1748" spans="1:2" x14ac:dyDescent="0.2">
      <c r="A1748" t="s">
        <v>1724</v>
      </c>
      <c r="B1748" t="s">
        <v>1</v>
      </c>
    </row>
    <row r="1749" spans="1:2" x14ac:dyDescent="0.2">
      <c r="A1749" t="s">
        <v>1725</v>
      </c>
      <c r="B1749" t="s">
        <v>1</v>
      </c>
    </row>
    <row r="1750" spans="1:2" x14ac:dyDescent="0.2">
      <c r="A1750" t="s">
        <v>1726</v>
      </c>
      <c r="B1750" t="s">
        <v>1</v>
      </c>
    </row>
    <row r="1751" spans="1:2" x14ac:dyDescent="0.2">
      <c r="A1751" t="s">
        <v>1727</v>
      </c>
      <c r="B1751" t="s">
        <v>1</v>
      </c>
    </row>
    <row r="1752" spans="1:2" x14ac:dyDescent="0.2">
      <c r="A1752" t="s">
        <v>1728</v>
      </c>
      <c r="B1752" t="s">
        <v>1</v>
      </c>
    </row>
    <row r="1753" spans="1:2" x14ac:dyDescent="0.2">
      <c r="A1753" t="s">
        <v>1729</v>
      </c>
      <c r="B1753" t="s">
        <v>1</v>
      </c>
    </row>
    <row r="1754" spans="1:2" x14ac:dyDescent="0.2">
      <c r="A1754" t="s">
        <v>1730</v>
      </c>
      <c r="B1754" t="s">
        <v>1</v>
      </c>
    </row>
    <row r="1755" spans="1:2" x14ac:dyDescent="0.2">
      <c r="A1755" t="s">
        <v>1731</v>
      </c>
      <c r="B1755" t="s">
        <v>1</v>
      </c>
    </row>
    <row r="1756" spans="1:2" x14ac:dyDescent="0.2">
      <c r="A1756" t="s">
        <v>1732</v>
      </c>
      <c r="B1756" t="s">
        <v>1</v>
      </c>
    </row>
    <row r="1757" spans="1:2" x14ac:dyDescent="0.2">
      <c r="A1757" t="s">
        <v>1733</v>
      </c>
      <c r="B1757" t="s">
        <v>1</v>
      </c>
    </row>
    <row r="1758" spans="1:2" x14ac:dyDescent="0.2">
      <c r="A1758" t="s">
        <v>1734</v>
      </c>
      <c r="B1758" t="s">
        <v>1</v>
      </c>
    </row>
    <row r="1759" spans="1:2" x14ac:dyDescent="0.2">
      <c r="A1759" t="s">
        <v>1735</v>
      </c>
      <c r="B1759" t="s">
        <v>1</v>
      </c>
    </row>
    <row r="1760" spans="1:2" x14ac:dyDescent="0.2">
      <c r="A1760" t="s">
        <v>1736</v>
      </c>
      <c r="B1760" t="s">
        <v>1</v>
      </c>
    </row>
    <row r="1761" spans="1:2" x14ac:dyDescent="0.2">
      <c r="A1761" t="s">
        <v>1737</v>
      </c>
      <c r="B1761" t="s">
        <v>1</v>
      </c>
    </row>
    <row r="1762" spans="1:2" x14ac:dyDescent="0.2">
      <c r="A1762" t="s">
        <v>1738</v>
      </c>
      <c r="B1762" t="s">
        <v>1</v>
      </c>
    </row>
    <row r="1763" spans="1:2" x14ac:dyDescent="0.2">
      <c r="A1763" t="s">
        <v>1739</v>
      </c>
      <c r="B1763" t="s">
        <v>1</v>
      </c>
    </row>
    <row r="1764" spans="1:2" x14ac:dyDescent="0.2">
      <c r="A1764" t="s">
        <v>1740</v>
      </c>
      <c r="B1764" t="s">
        <v>1</v>
      </c>
    </row>
    <row r="1765" spans="1:2" x14ac:dyDescent="0.2">
      <c r="A1765" t="s">
        <v>1741</v>
      </c>
      <c r="B1765" t="s">
        <v>1</v>
      </c>
    </row>
    <row r="1766" spans="1:2" x14ac:dyDescent="0.2">
      <c r="A1766" t="s">
        <v>1742</v>
      </c>
      <c r="B1766" t="s">
        <v>1</v>
      </c>
    </row>
    <row r="1767" spans="1:2" x14ac:dyDescent="0.2">
      <c r="A1767" t="s">
        <v>1743</v>
      </c>
      <c r="B1767" t="s">
        <v>1</v>
      </c>
    </row>
    <row r="1768" spans="1:2" x14ac:dyDescent="0.2">
      <c r="A1768" t="s">
        <v>1744</v>
      </c>
      <c r="B1768" t="s">
        <v>1</v>
      </c>
    </row>
    <row r="1769" spans="1:2" x14ac:dyDescent="0.2">
      <c r="A1769" t="s">
        <v>1745</v>
      </c>
      <c r="B1769" t="s">
        <v>1</v>
      </c>
    </row>
    <row r="1770" spans="1:2" x14ac:dyDescent="0.2">
      <c r="A1770" t="s">
        <v>1746</v>
      </c>
      <c r="B1770" t="s">
        <v>1</v>
      </c>
    </row>
    <row r="1771" spans="1:2" x14ac:dyDescent="0.2">
      <c r="A1771" t="s">
        <v>1747</v>
      </c>
      <c r="B1771" t="s">
        <v>1</v>
      </c>
    </row>
    <row r="1772" spans="1:2" x14ac:dyDescent="0.2">
      <c r="A1772" t="s">
        <v>1748</v>
      </c>
      <c r="B1772" t="s">
        <v>1</v>
      </c>
    </row>
    <row r="1773" spans="1:2" x14ac:dyDescent="0.2">
      <c r="A1773" t="s">
        <v>1749</v>
      </c>
      <c r="B1773" t="s">
        <v>1</v>
      </c>
    </row>
    <row r="1774" spans="1:2" x14ac:dyDescent="0.2">
      <c r="A1774" t="s">
        <v>1750</v>
      </c>
      <c r="B1774" t="s">
        <v>1</v>
      </c>
    </row>
    <row r="1775" spans="1:2" x14ac:dyDescent="0.2">
      <c r="A1775" t="s">
        <v>1751</v>
      </c>
      <c r="B1775" t="s">
        <v>1</v>
      </c>
    </row>
    <row r="1776" spans="1:2" x14ac:dyDescent="0.2">
      <c r="A1776" t="s">
        <v>1752</v>
      </c>
      <c r="B1776" t="s">
        <v>1</v>
      </c>
    </row>
    <row r="1777" spans="1:2" x14ac:dyDescent="0.2">
      <c r="A1777" t="s">
        <v>1753</v>
      </c>
      <c r="B1777" t="s">
        <v>1</v>
      </c>
    </row>
    <row r="1778" spans="1:2" x14ac:dyDescent="0.2">
      <c r="A1778" t="s">
        <v>1754</v>
      </c>
      <c r="B1778" t="s">
        <v>1</v>
      </c>
    </row>
    <row r="1779" spans="1:2" x14ac:dyDescent="0.2">
      <c r="A1779" t="s">
        <v>1755</v>
      </c>
      <c r="B1779" t="s">
        <v>1</v>
      </c>
    </row>
    <row r="1780" spans="1:2" x14ac:dyDescent="0.2">
      <c r="A1780" t="s">
        <v>1756</v>
      </c>
      <c r="B1780" t="s">
        <v>1</v>
      </c>
    </row>
    <row r="1781" spans="1:2" x14ac:dyDescent="0.2">
      <c r="A1781" t="s">
        <v>1757</v>
      </c>
      <c r="B1781" t="s">
        <v>1</v>
      </c>
    </row>
    <row r="1782" spans="1:2" x14ac:dyDescent="0.2">
      <c r="A1782" t="s">
        <v>1758</v>
      </c>
      <c r="B1782" t="s">
        <v>1</v>
      </c>
    </row>
    <row r="1783" spans="1:2" x14ac:dyDescent="0.2">
      <c r="A1783" t="s">
        <v>1759</v>
      </c>
      <c r="B1783" t="s">
        <v>1</v>
      </c>
    </row>
    <row r="1784" spans="1:2" x14ac:dyDescent="0.2">
      <c r="A1784" t="s">
        <v>1760</v>
      </c>
      <c r="B1784" t="s">
        <v>1</v>
      </c>
    </row>
    <row r="1785" spans="1:2" x14ac:dyDescent="0.2">
      <c r="A1785" t="s">
        <v>1761</v>
      </c>
      <c r="B1785" t="s">
        <v>1</v>
      </c>
    </row>
    <row r="1786" spans="1:2" x14ac:dyDescent="0.2">
      <c r="A1786" t="s">
        <v>1762</v>
      </c>
      <c r="B1786" t="s">
        <v>1</v>
      </c>
    </row>
    <row r="1787" spans="1:2" x14ac:dyDescent="0.2">
      <c r="A1787" t="s">
        <v>1763</v>
      </c>
      <c r="B1787" t="s">
        <v>1</v>
      </c>
    </row>
    <row r="1788" spans="1:2" x14ac:dyDescent="0.2">
      <c r="A1788" t="s">
        <v>1764</v>
      </c>
      <c r="B1788" t="s">
        <v>1</v>
      </c>
    </row>
    <row r="1789" spans="1:2" x14ac:dyDescent="0.2">
      <c r="A1789" t="s">
        <v>1765</v>
      </c>
      <c r="B1789" t="s">
        <v>1</v>
      </c>
    </row>
    <row r="1790" spans="1:2" x14ac:dyDescent="0.2">
      <c r="A1790" t="s">
        <v>1766</v>
      </c>
      <c r="B1790" t="s">
        <v>1</v>
      </c>
    </row>
    <row r="1791" spans="1:2" x14ac:dyDescent="0.2">
      <c r="A1791" t="s">
        <v>1767</v>
      </c>
      <c r="B1791" t="s">
        <v>1</v>
      </c>
    </row>
    <row r="1792" spans="1:2" x14ac:dyDescent="0.2">
      <c r="A1792" t="s">
        <v>1768</v>
      </c>
      <c r="B1792" t="s">
        <v>1</v>
      </c>
    </row>
    <row r="1793" spans="1:2" x14ac:dyDescent="0.2">
      <c r="A1793" t="s">
        <v>1769</v>
      </c>
      <c r="B1793" t="s">
        <v>1</v>
      </c>
    </row>
    <row r="1794" spans="1:2" x14ac:dyDescent="0.2">
      <c r="A1794" t="s">
        <v>1770</v>
      </c>
      <c r="B1794" t="s">
        <v>1</v>
      </c>
    </row>
    <row r="1795" spans="1:2" x14ac:dyDescent="0.2">
      <c r="A1795" t="s">
        <v>1771</v>
      </c>
      <c r="B1795" t="s">
        <v>1</v>
      </c>
    </row>
    <row r="1796" spans="1:2" x14ac:dyDescent="0.2">
      <c r="A1796" t="s">
        <v>1772</v>
      </c>
      <c r="B1796" t="s">
        <v>1</v>
      </c>
    </row>
    <row r="1797" spans="1:2" x14ac:dyDescent="0.2">
      <c r="A1797" t="s">
        <v>1773</v>
      </c>
      <c r="B1797" t="s">
        <v>1</v>
      </c>
    </row>
    <row r="1798" spans="1:2" x14ac:dyDescent="0.2">
      <c r="A1798" t="s">
        <v>1774</v>
      </c>
      <c r="B1798" t="s">
        <v>1</v>
      </c>
    </row>
    <row r="1799" spans="1:2" x14ac:dyDescent="0.2">
      <c r="A1799" t="s">
        <v>1775</v>
      </c>
      <c r="B1799" t="s">
        <v>1</v>
      </c>
    </row>
    <row r="1800" spans="1:2" x14ac:dyDescent="0.2">
      <c r="A1800" t="s">
        <v>1776</v>
      </c>
      <c r="B1800" t="s">
        <v>1</v>
      </c>
    </row>
    <row r="1801" spans="1:2" x14ac:dyDescent="0.2">
      <c r="A1801" t="s">
        <v>1777</v>
      </c>
      <c r="B1801" t="s">
        <v>1</v>
      </c>
    </row>
    <row r="1802" spans="1:2" x14ac:dyDescent="0.2">
      <c r="A1802" t="s">
        <v>1778</v>
      </c>
      <c r="B1802" t="s">
        <v>1</v>
      </c>
    </row>
    <row r="1803" spans="1:2" x14ac:dyDescent="0.2">
      <c r="A1803" t="s">
        <v>1779</v>
      </c>
      <c r="B1803" t="s">
        <v>1</v>
      </c>
    </row>
    <row r="1804" spans="1:2" x14ac:dyDescent="0.2">
      <c r="A1804" t="s">
        <v>1780</v>
      </c>
      <c r="B1804" t="s">
        <v>1</v>
      </c>
    </row>
    <row r="1805" spans="1:2" x14ac:dyDescent="0.2">
      <c r="A1805" t="s">
        <v>1781</v>
      </c>
      <c r="B1805" t="s">
        <v>1</v>
      </c>
    </row>
    <row r="1806" spans="1:2" x14ac:dyDescent="0.2">
      <c r="A1806" t="s">
        <v>1782</v>
      </c>
      <c r="B1806" t="s">
        <v>1</v>
      </c>
    </row>
    <row r="1807" spans="1:2" x14ac:dyDescent="0.2">
      <c r="A1807" t="s">
        <v>1783</v>
      </c>
      <c r="B1807" t="s">
        <v>1</v>
      </c>
    </row>
    <row r="1808" spans="1:2" x14ac:dyDescent="0.2">
      <c r="A1808" t="s">
        <v>1784</v>
      </c>
      <c r="B1808" t="s">
        <v>1</v>
      </c>
    </row>
    <row r="1809" spans="1:2" x14ac:dyDescent="0.2">
      <c r="A1809" t="s">
        <v>1785</v>
      </c>
      <c r="B1809" t="s">
        <v>1</v>
      </c>
    </row>
    <row r="1810" spans="1:2" x14ac:dyDescent="0.2">
      <c r="A1810" t="s">
        <v>1786</v>
      </c>
      <c r="B1810" t="s">
        <v>1</v>
      </c>
    </row>
    <row r="1811" spans="1:2" x14ac:dyDescent="0.2">
      <c r="A1811" t="s">
        <v>1787</v>
      </c>
      <c r="B1811" t="s">
        <v>1</v>
      </c>
    </row>
    <row r="1812" spans="1:2" x14ac:dyDescent="0.2">
      <c r="A1812" t="s">
        <v>1788</v>
      </c>
      <c r="B1812" t="s">
        <v>1</v>
      </c>
    </row>
    <row r="1813" spans="1:2" x14ac:dyDescent="0.2">
      <c r="A1813" t="s">
        <v>1789</v>
      </c>
      <c r="B1813" t="s">
        <v>1</v>
      </c>
    </row>
    <row r="1814" spans="1:2" x14ac:dyDescent="0.2">
      <c r="A1814" t="s">
        <v>1790</v>
      </c>
      <c r="B1814" t="s">
        <v>1</v>
      </c>
    </row>
    <row r="1815" spans="1:2" x14ac:dyDescent="0.2">
      <c r="A1815" t="s">
        <v>1791</v>
      </c>
      <c r="B1815" t="s">
        <v>1</v>
      </c>
    </row>
    <row r="1816" spans="1:2" x14ac:dyDescent="0.2">
      <c r="A1816" t="s">
        <v>1792</v>
      </c>
      <c r="B1816" t="s">
        <v>1</v>
      </c>
    </row>
    <row r="1817" spans="1:2" x14ac:dyDescent="0.2">
      <c r="A1817" t="s">
        <v>1793</v>
      </c>
      <c r="B1817" t="s">
        <v>1</v>
      </c>
    </row>
    <row r="1818" spans="1:2" x14ac:dyDescent="0.2">
      <c r="A1818" t="s">
        <v>1794</v>
      </c>
      <c r="B1818" t="s">
        <v>1</v>
      </c>
    </row>
    <row r="1819" spans="1:2" x14ac:dyDescent="0.2">
      <c r="A1819" t="s">
        <v>1795</v>
      </c>
      <c r="B1819" t="s">
        <v>1</v>
      </c>
    </row>
    <row r="1820" spans="1:2" x14ac:dyDescent="0.2">
      <c r="A1820" t="s">
        <v>1796</v>
      </c>
      <c r="B1820" t="s">
        <v>1</v>
      </c>
    </row>
    <row r="1821" spans="1:2" x14ac:dyDescent="0.2">
      <c r="A1821" t="s">
        <v>1797</v>
      </c>
      <c r="B1821" t="s">
        <v>1</v>
      </c>
    </row>
    <row r="1822" spans="1:2" x14ac:dyDescent="0.2">
      <c r="A1822" t="s">
        <v>1798</v>
      </c>
      <c r="B1822" t="s">
        <v>1</v>
      </c>
    </row>
    <row r="1823" spans="1:2" x14ac:dyDescent="0.2">
      <c r="A1823" t="s">
        <v>1799</v>
      </c>
      <c r="B1823" t="s">
        <v>1</v>
      </c>
    </row>
    <row r="1824" spans="1:2" x14ac:dyDescent="0.2">
      <c r="A1824" t="s">
        <v>1800</v>
      </c>
      <c r="B1824" t="s">
        <v>1</v>
      </c>
    </row>
    <row r="1825" spans="1:2" x14ac:dyDescent="0.2">
      <c r="A1825" t="s">
        <v>1801</v>
      </c>
      <c r="B1825" t="s">
        <v>1</v>
      </c>
    </row>
    <row r="1826" spans="1:2" x14ac:dyDescent="0.2">
      <c r="A1826" t="s">
        <v>1802</v>
      </c>
      <c r="B1826" t="s">
        <v>1</v>
      </c>
    </row>
    <row r="1827" spans="1:2" x14ac:dyDescent="0.2">
      <c r="A1827" t="s">
        <v>1803</v>
      </c>
      <c r="B1827" t="s">
        <v>1</v>
      </c>
    </row>
    <row r="1828" spans="1:2" x14ac:dyDescent="0.2">
      <c r="A1828" t="s">
        <v>1804</v>
      </c>
      <c r="B1828" t="s">
        <v>1</v>
      </c>
    </row>
    <row r="1829" spans="1:2" x14ac:dyDescent="0.2">
      <c r="A1829" t="s">
        <v>1805</v>
      </c>
      <c r="B1829" t="s">
        <v>1</v>
      </c>
    </row>
    <row r="1830" spans="1:2" x14ac:dyDescent="0.2">
      <c r="A1830" t="s">
        <v>1806</v>
      </c>
      <c r="B1830" t="s">
        <v>1</v>
      </c>
    </row>
    <row r="1831" spans="1:2" x14ac:dyDescent="0.2">
      <c r="A1831" t="s">
        <v>1807</v>
      </c>
      <c r="B1831" t="s">
        <v>1</v>
      </c>
    </row>
    <row r="1832" spans="1:2" x14ac:dyDescent="0.2">
      <c r="A1832" t="s">
        <v>1808</v>
      </c>
      <c r="B1832" t="s">
        <v>1</v>
      </c>
    </row>
    <row r="1833" spans="1:2" x14ac:dyDescent="0.2">
      <c r="A1833" t="s">
        <v>1809</v>
      </c>
      <c r="B1833" t="s">
        <v>1</v>
      </c>
    </row>
    <row r="1834" spans="1:2" x14ac:dyDescent="0.2">
      <c r="A1834" t="s">
        <v>1810</v>
      </c>
      <c r="B1834" t="s">
        <v>1</v>
      </c>
    </row>
    <row r="1835" spans="1:2" x14ac:dyDescent="0.2">
      <c r="A1835" t="s">
        <v>1811</v>
      </c>
      <c r="B1835" t="s">
        <v>1</v>
      </c>
    </row>
    <row r="1836" spans="1:2" x14ac:dyDescent="0.2">
      <c r="A1836" t="s">
        <v>1812</v>
      </c>
      <c r="B1836" t="s">
        <v>1</v>
      </c>
    </row>
    <row r="1837" spans="1:2" x14ac:dyDescent="0.2">
      <c r="A1837" t="s">
        <v>1813</v>
      </c>
      <c r="B1837" t="s">
        <v>1</v>
      </c>
    </row>
    <row r="1838" spans="1:2" x14ac:dyDescent="0.2">
      <c r="A1838" t="s">
        <v>1814</v>
      </c>
      <c r="B1838" t="s">
        <v>1</v>
      </c>
    </row>
    <row r="1839" spans="1:2" x14ac:dyDescent="0.2">
      <c r="A1839" t="s">
        <v>1815</v>
      </c>
      <c r="B1839" t="s">
        <v>1</v>
      </c>
    </row>
    <row r="1840" spans="1:2" x14ac:dyDescent="0.2">
      <c r="A1840" t="s">
        <v>1816</v>
      </c>
      <c r="B1840" t="s">
        <v>1</v>
      </c>
    </row>
    <row r="1841" spans="1:2" x14ac:dyDescent="0.2">
      <c r="A1841" t="s">
        <v>1817</v>
      </c>
      <c r="B1841" t="s">
        <v>1</v>
      </c>
    </row>
    <row r="1842" spans="1:2" x14ac:dyDescent="0.2">
      <c r="A1842" t="s">
        <v>1193</v>
      </c>
      <c r="B1842" t="s">
        <v>1</v>
      </c>
    </row>
    <row r="1843" spans="1:2" x14ac:dyDescent="0.2">
      <c r="A1843" t="s">
        <v>1818</v>
      </c>
      <c r="B1843" t="s">
        <v>1</v>
      </c>
    </row>
    <row r="1844" spans="1:2" x14ac:dyDescent="0.2">
      <c r="A1844" t="s">
        <v>1819</v>
      </c>
      <c r="B1844" t="s">
        <v>1</v>
      </c>
    </row>
    <row r="1845" spans="1:2" x14ac:dyDescent="0.2">
      <c r="A1845" t="s">
        <v>1820</v>
      </c>
      <c r="B1845" t="s">
        <v>1</v>
      </c>
    </row>
    <row r="1846" spans="1:2" x14ac:dyDescent="0.2">
      <c r="A1846" t="s">
        <v>1821</v>
      </c>
      <c r="B1846" t="s">
        <v>1</v>
      </c>
    </row>
    <row r="1847" spans="1:2" x14ac:dyDescent="0.2">
      <c r="A1847" t="s">
        <v>1822</v>
      </c>
      <c r="B1847" t="s">
        <v>1</v>
      </c>
    </row>
    <row r="1848" spans="1:2" x14ac:dyDescent="0.2">
      <c r="A1848" t="s">
        <v>1823</v>
      </c>
      <c r="B1848" t="s">
        <v>1</v>
      </c>
    </row>
    <row r="1849" spans="1:2" x14ac:dyDescent="0.2">
      <c r="A1849" t="s">
        <v>1824</v>
      </c>
      <c r="B1849" t="s">
        <v>1</v>
      </c>
    </row>
    <row r="1850" spans="1:2" x14ac:dyDescent="0.2">
      <c r="A1850" t="s">
        <v>1825</v>
      </c>
      <c r="B1850" t="s">
        <v>1</v>
      </c>
    </row>
    <row r="1851" spans="1:2" x14ac:dyDescent="0.2">
      <c r="A1851" t="s">
        <v>1826</v>
      </c>
      <c r="B1851" t="s">
        <v>1</v>
      </c>
    </row>
    <row r="1852" spans="1:2" x14ac:dyDescent="0.2">
      <c r="A1852" t="s">
        <v>1827</v>
      </c>
      <c r="B1852" t="s">
        <v>1</v>
      </c>
    </row>
    <row r="1853" spans="1:2" x14ac:dyDescent="0.2">
      <c r="A1853" t="s">
        <v>1828</v>
      </c>
      <c r="B1853" t="s">
        <v>1</v>
      </c>
    </row>
    <row r="1854" spans="1:2" x14ac:dyDescent="0.2">
      <c r="A1854" t="s">
        <v>1829</v>
      </c>
      <c r="B1854" t="s">
        <v>1</v>
      </c>
    </row>
    <row r="1855" spans="1:2" x14ac:dyDescent="0.2">
      <c r="A1855" t="s">
        <v>1830</v>
      </c>
      <c r="B1855" t="s">
        <v>1</v>
      </c>
    </row>
    <row r="1856" spans="1:2" x14ac:dyDescent="0.2">
      <c r="A1856" t="s">
        <v>1831</v>
      </c>
      <c r="B1856" t="s">
        <v>1</v>
      </c>
    </row>
    <row r="1857" spans="1:2" x14ac:dyDescent="0.2">
      <c r="A1857" t="s">
        <v>1832</v>
      </c>
      <c r="B1857" t="s">
        <v>1</v>
      </c>
    </row>
    <row r="1858" spans="1:2" x14ac:dyDescent="0.2">
      <c r="A1858" t="s">
        <v>1833</v>
      </c>
      <c r="B1858" t="s">
        <v>1</v>
      </c>
    </row>
    <row r="1859" spans="1:2" x14ac:dyDescent="0.2">
      <c r="A1859" t="s">
        <v>1834</v>
      </c>
      <c r="B1859" t="s">
        <v>1</v>
      </c>
    </row>
    <row r="1860" spans="1:2" x14ac:dyDescent="0.2">
      <c r="A1860" t="s">
        <v>1835</v>
      </c>
      <c r="B1860" t="s">
        <v>1</v>
      </c>
    </row>
    <row r="1861" spans="1:2" x14ac:dyDescent="0.2">
      <c r="A1861" t="s">
        <v>1836</v>
      </c>
      <c r="B1861" t="s">
        <v>1</v>
      </c>
    </row>
    <row r="1862" spans="1:2" x14ac:dyDescent="0.2">
      <c r="A1862" t="s">
        <v>1837</v>
      </c>
      <c r="B1862" t="s">
        <v>1</v>
      </c>
    </row>
    <row r="1863" spans="1:2" x14ac:dyDescent="0.2">
      <c r="A1863" t="s">
        <v>1838</v>
      </c>
      <c r="B1863" t="s">
        <v>1</v>
      </c>
    </row>
    <row r="1864" spans="1:2" x14ac:dyDescent="0.2">
      <c r="A1864" t="s">
        <v>1839</v>
      </c>
      <c r="B1864" t="s">
        <v>1</v>
      </c>
    </row>
    <row r="1865" spans="1:2" x14ac:dyDescent="0.2">
      <c r="A1865" t="s">
        <v>1840</v>
      </c>
      <c r="B1865" t="s">
        <v>1</v>
      </c>
    </row>
    <row r="1866" spans="1:2" x14ac:dyDescent="0.2">
      <c r="A1866" t="s">
        <v>1841</v>
      </c>
      <c r="B1866" t="s">
        <v>1</v>
      </c>
    </row>
    <row r="1867" spans="1:2" x14ac:dyDescent="0.2">
      <c r="A1867" t="s">
        <v>1842</v>
      </c>
      <c r="B1867" t="s">
        <v>1</v>
      </c>
    </row>
    <row r="1868" spans="1:2" x14ac:dyDescent="0.2">
      <c r="A1868" t="s">
        <v>1843</v>
      </c>
      <c r="B1868" t="s">
        <v>1</v>
      </c>
    </row>
    <row r="1869" spans="1:2" x14ac:dyDescent="0.2">
      <c r="A1869" t="s">
        <v>1844</v>
      </c>
      <c r="B1869" t="s">
        <v>1</v>
      </c>
    </row>
    <row r="1870" spans="1:2" x14ac:dyDescent="0.2">
      <c r="A1870" t="s">
        <v>1845</v>
      </c>
      <c r="B1870" t="s">
        <v>1</v>
      </c>
    </row>
    <row r="1871" spans="1:2" x14ac:dyDescent="0.2">
      <c r="A1871" t="s">
        <v>1846</v>
      </c>
      <c r="B1871" t="s">
        <v>1</v>
      </c>
    </row>
    <row r="1872" spans="1:2" x14ac:dyDescent="0.2">
      <c r="A1872" t="s">
        <v>1847</v>
      </c>
      <c r="B1872" t="s">
        <v>1</v>
      </c>
    </row>
    <row r="1873" spans="1:2" x14ac:dyDescent="0.2">
      <c r="A1873" t="s">
        <v>1848</v>
      </c>
      <c r="B1873" t="s">
        <v>1</v>
      </c>
    </row>
    <row r="1874" spans="1:2" x14ac:dyDescent="0.2">
      <c r="A1874" t="s">
        <v>1849</v>
      </c>
      <c r="B1874" t="s">
        <v>1</v>
      </c>
    </row>
    <row r="1875" spans="1:2" x14ac:dyDescent="0.2">
      <c r="A1875" t="s">
        <v>1850</v>
      </c>
      <c r="B1875" t="s">
        <v>1</v>
      </c>
    </row>
    <row r="1876" spans="1:2" x14ac:dyDescent="0.2">
      <c r="A1876" t="s">
        <v>1851</v>
      </c>
      <c r="B1876" t="s">
        <v>1</v>
      </c>
    </row>
    <row r="1877" spans="1:2" x14ac:dyDescent="0.2">
      <c r="A1877" t="s">
        <v>1852</v>
      </c>
      <c r="B1877" t="s">
        <v>1</v>
      </c>
    </row>
    <row r="1878" spans="1:2" x14ac:dyDescent="0.2">
      <c r="A1878" t="s">
        <v>1853</v>
      </c>
      <c r="B1878" t="s">
        <v>1</v>
      </c>
    </row>
    <row r="1879" spans="1:2" x14ac:dyDescent="0.2">
      <c r="A1879" t="s">
        <v>1854</v>
      </c>
      <c r="B1879" t="s">
        <v>1</v>
      </c>
    </row>
    <row r="1880" spans="1:2" x14ac:dyDescent="0.2">
      <c r="A1880" t="s">
        <v>1855</v>
      </c>
      <c r="B1880" t="s">
        <v>1</v>
      </c>
    </row>
    <row r="1881" spans="1:2" x14ac:dyDescent="0.2">
      <c r="A1881" t="s">
        <v>1856</v>
      </c>
      <c r="B1881" t="s">
        <v>1</v>
      </c>
    </row>
    <row r="1882" spans="1:2" x14ac:dyDescent="0.2">
      <c r="A1882" t="s">
        <v>1857</v>
      </c>
      <c r="B1882" t="s">
        <v>1</v>
      </c>
    </row>
    <row r="1883" spans="1:2" x14ac:dyDescent="0.2">
      <c r="A1883" t="s">
        <v>1858</v>
      </c>
      <c r="B1883" t="s">
        <v>1</v>
      </c>
    </row>
    <row r="1884" spans="1:2" x14ac:dyDescent="0.2">
      <c r="A1884" t="s">
        <v>1859</v>
      </c>
      <c r="B1884" t="s">
        <v>1</v>
      </c>
    </row>
    <row r="1885" spans="1:2" x14ac:dyDescent="0.2">
      <c r="A1885" t="s">
        <v>1860</v>
      </c>
      <c r="B1885" t="s">
        <v>1</v>
      </c>
    </row>
    <row r="1886" spans="1:2" x14ac:dyDescent="0.2">
      <c r="A1886" t="s">
        <v>1861</v>
      </c>
      <c r="B1886" t="s">
        <v>1</v>
      </c>
    </row>
    <row r="1887" spans="1:2" x14ac:dyDescent="0.2">
      <c r="A1887" t="s">
        <v>1862</v>
      </c>
      <c r="B1887" t="s">
        <v>1</v>
      </c>
    </row>
    <row r="1888" spans="1:2" x14ac:dyDescent="0.2">
      <c r="A1888" t="s">
        <v>1050</v>
      </c>
      <c r="B1888" t="s">
        <v>1</v>
      </c>
    </row>
    <row r="1889" spans="1:2" x14ac:dyDescent="0.2">
      <c r="A1889" t="s">
        <v>1863</v>
      </c>
      <c r="B1889" t="s">
        <v>1</v>
      </c>
    </row>
    <row r="1890" spans="1:2" x14ac:dyDescent="0.2">
      <c r="A1890" t="s">
        <v>1864</v>
      </c>
      <c r="B1890" t="s">
        <v>1</v>
      </c>
    </row>
    <row r="1891" spans="1:2" x14ac:dyDescent="0.2">
      <c r="A1891" t="s">
        <v>1865</v>
      </c>
      <c r="B1891" t="s">
        <v>1</v>
      </c>
    </row>
    <row r="1892" spans="1:2" x14ac:dyDescent="0.2">
      <c r="A1892" t="s">
        <v>1866</v>
      </c>
      <c r="B1892" t="s">
        <v>1</v>
      </c>
    </row>
    <row r="1893" spans="1:2" x14ac:dyDescent="0.2">
      <c r="A1893" t="s">
        <v>1867</v>
      </c>
      <c r="B1893" t="s">
        <v>1</v>
      </c>
    </row>
    <row r="1894" spans="1:2" x14ac:dyDescent="0.2">
      <c r="A1894" t="s">
        <v>1124</v>
      </c>
      <c r="B1894" t="s">
        <v>1</v>
      </c>
    </row>
    <row r="1895" spans="1:2" x14ac:dyDescent="0.2">
      <c r="A1895" t="s">
        <v>1868</v>
      </c>
      <c r="B1895" t="s">
        <v>1</v>
      </c>
    </row>
    <row r="1896" spans="1:2" x14ac:dyDescent="0.2">
      <c r="A1896" t="s">
        <v>1869</v>
      </c>
      <c r="B1896" t="s">
        <v>1</v>
      </c>
    </row>
    <row r="1897" spans="1:2" x14ac:dyDescent="0.2">
      <c r="A1897" t="s">
        <v>1870</v>
      </c>
      <c r="B1897" t="s">
        <v>1</v>
      </c>
    </row>
    <row r="1898" spans="1:2" x14ac:dyDescent="0.2">
      <c r="A1898" t="s">
        <v>1871</v>
      </c>
      <c r="B1898" t="s">
        <v>1</v>
      </c>
    </row>
    <row r="1899" spans="1:2" x14ac:dyDescent="0.2">
      <c r="A1899" t="s">
        <v>1872</v>
      </c>
      <c r="B1899" t="s">
        <v>1</v>
      </c>
    </row>
    <row r="1900" spans="1:2" x14ac:dyDescent="0.2">
      <c r="A1900" t="s">
        <v>1873</v>
      </c>
      <c r="B1900" t="s">
        <v>1</v>
      </c>
    </row>
    <row r="1901" spans="1:2" x14ac:dyDescent="0.2">
      <c r="A1901" t="s">
        <v>1874</v>
      </c>
      <c r="B1901" t="s">
        <v>1</v>
      </c>
    </row>
    <row r="1902" spans="1:2" x14ac:dyDescent="0.2">
      <c r="A1902" t="s">
        <v>1874</v>
      </c>
      <c r="B1902" t="s">
        <v>1</v>
      </c>
    </row>
    <row r="1903" spans="1:2" x14ac:dyDescent="0.2">
      <c r="A1903" t="s">
        <v>1875</v>
      </c>
      <c r="B1903" t="s">
        <v>1</v>
      </c>
    </row>
    <row r="1904" spans="1:2" x14ac:dyDescent="0.2">
      <c r="A1904" t="s">
        <v>1876</v>
      </c>
      <c r="B1904" t="s">
        <v>1</v>
      </c>
    </row>
    <row r="1905" spans="1:2" x14ac:dyDescent="0.2">
      <c r="A1905" t="s">
        <v>1877</v>
      </c>
      <c r="B1905" t="s">
        <v>1</v>
      </c>
    </row>
    <row r="1906" spans="1:2" x14ac:dyDescent="0.2">
      <c r="A1906" t="s">
        <v>1878</v>
      </c>
      <c r="B1906" t="s">
        <v>1</v>
      </c>
    </row>
    <row r="1907" spans="1:2" x14ac:dyDescent="0.2">
      <c r="A1907" t="s">
        <v>1879</v>
      </c>
      <c r="B1907" t="s">
        <v>1</v>
      </c>
    </row>
    <row r="1908" spans="1:2" x14ac:dyDescent="0.2">
      <c r="A1908" t="s">
        <v>1880</v>
      </c>
      <c r="B1908" t="s">
        <v>1</v>
      </c>
    </row>
    <row r="1909" spans="1:2" x14ac:dyDescent="0.2">
      <c r="A1909" t="s">
        <v>1881</v>
      </c>
      <c r="B1909" t="s">
        <v>1</v>
      </c>
    </row>
    <row r="1910" spans="1:2" x14ac:dyDescent="0.2">
      <c r="A1910" t="s">
        <v>1882</v>
      </c>
      <c r="B1910" t="s">
        <v>1</v>
      </c>
    </row>
    <row r="1911" spans="1:2" x14ac:dyDescent="0.2">
      <c r="A1911" t="s">
        <v>1883</v>
      </c>
      <c r="B1911" t="s">
        <v>1</v>
      </c>
    </row>
    <row r="1912" spans="1:2" x14ac:dyDescent="0.2">
      <c r="A1912" t="s">
        <v>1884</v>
      </c>
      <c r="B1912" t="s">
        <v>1</v>
      </c>
    </row>
    <row r="1913" spans="1:2" x14ac:dyDescent="0.2">
      <c r="A1913" t="s">
        <v>1885</v>
      </c>
      <c r="B1913" t="s">
        <v>1</v>
      </c>
    </row>
    <row r="1914" spans="1:2" x14ac:dyDescent="0.2">
      <c r="A1914" t="s">
        <v>1886</v>
      </c>
      <c r="B1914" t="s">
        <v>1</v>
      </c>
    </row>
    <row r="1915" spans="1:2" x14ac:dyDescent="0.2">
      <c r="A1915" t="s">
        <v>1887</v>
      </c>
      <c r="B1915" t="s">
        <v>1</v>
      </c>
    </row>
    <row r="1916" spans="1:2" x14ac:dyDescent="0.2">
      <c r="A1916" t="s">
        <v>1888</v>
      </c>
      <c r="B1916" t="s">
        <v>1</v>
      </c>
    </row>
    <row r="1917" spans="1:2" x14ac:dyDescent="0.2">
      <c r="A1917" t="s">
        <v>1889</v>
      </c>
      <c r="B1917" t="s">
        <v>1</v>
      </c>
    </row>
    <row r="1918" spans="1:2" x14ac:dyDescent="0.2">
      <c r="A1918" t="s">
        <v>1890</v>
      </c>
      <c r="B1918" t="s">
        <v>1</v>
      </c>
    </row>
    <row r="1919" spans="1:2" x14ac:dyDescent="0.2">
      <c r="A1919" t="s">
        <v>1891</v>
      </c>
      <c r="B1919" t="s">
        <v>1</v>
      </c>
    </row>
    <row r="1920" spans="1:2" x14ac:dyDescent="0.2">
      <c r="A1920" t="s">
        <v>1892</v>
      </c>
      <c r="B1920" t="s">
        <v>1</v>
      </c>
    </row>
    <row r="1921" spans="1:2" x14ac:dyDescent="0.2">
      <c r="A1921" t="s">
        <v>1893</v>
      </c>
      <c r="B1921" t="s">
        <v>1</v>
      </c>
    </row>
    <row r="1922" spans="1:2" x14ac:dyDescent="0.2">
      <c r="A1922" t="s">
        <v>1894</v>
      </c>
      <c r="B1922" t="s">
        <v>1</v>
      </c>
    </row>
    <row r="1923" spans="1:2" x14ac:dyDescent="0.2">
      <c r="A1923" t="s">
        <v>1895</v>
      </c>
      <c r="B1923" t="s">
        <v>1</v>
      </c>
    </row>
    <row r="1924" spans="1:2" x14ac:dyDescent="0.2">
      <c r="A1924" t="s">
        <v>1896</v>
      </c>
      <c r="B1924" t="s">
        <v>1</v>
      </c>
    </row>
    <row r="1925" spans="1:2" x14ac:dyDescent="0.2">
      <c r="A1925" t="s">
        <v>1897</v>
      </c>
      <c r="B1925" t="s">
        <v>1</v>
      </c>
    </row>
    <row r="1926" spans="1:2" x14ac:dyDescent="0.2">
      <c r="A1926" t="s">
        <v>1898</v>
      </c>
      <c r="B1926" t="s">
        <v>1</v>
      </c>
    </row>
    <row r="1927" spans="1:2" x14ac:dyDescent="0.2">
      <c r="A1927" t="s">
        <v>1899</v>
      </c>
      <c r="B1927" t="s">
        <v>1</v>
      </c>
    </row>
    <row r="1928" spans="1:2" x14ac:dyDescent="0.2">
      <c r="A1928" t="s">
        <v>1900</v>
      </c>
      <c r="B1928" t="s">
        <v>1</v>
      </c>
    </row>
    <row r="1929" spans="1:2" x14ac:dyDescent="0.2">
      <c r="A1929" t="s">
        <v>1901</v>
      </c>
      <c r="B1929" t="s">
        <v>1</v>
      </c>
    </row>
    <row r="1930" spans="1:2" x14ac:dyDescent="0.2">
      <c r="A1930" t="s">
        <v>1207</v>
      </c>
      <c r="B1930" t="s">
        <v>1</v>
      </c>
    </row>
    <row r="1931" spans="1:2" x14ac:dyDescent="0.2">
      <c r="A1931" t="s">
        <v>1902</v>
      </c>
      <c r="B1931" t="s">
        <v>1</v>
      </c>
    </row>
    <row r="1932" spans="1:2" x14ac:dyDescent="0.2">
      <c r="A1932" t="s">
        <v>1903</v>
      </c>
      <c r="B1932" t="s">
        <v>1</v>
      </c>
    </row>
    <row r="1933" spans="1:2" x14ac:dyDescent="0.2">
      <c r="A1933" t="s">
        <v>1904</v>
      </c>
      <c r="B1933" t="s">
        <v>1</v>
      </c>
    </row>
    <row r="1934" spans="1:2" x14ac:dyDescent="0.2">
      <c r="A1934" t="s">
        <v>1905</v>
      </c>
      <c r="B1934" t="s">
        <v>1</v>
      </c>
    </row>
    <row r="1935" spans="1:2" x14ac:dyDescent="0.2">
      <c r="A1935" t="s">
        <v>1906</v>
      </c>
      <c r="B1935" t="s">
        <v>1</v>
      </c>
    </row>
    <row r="1936" spans="1:2" x14ac:dyDescent="0.2">
      <c r="A1936" t="s">
        <v>1907</v>
      </c>
      <c r="B1936" t="s">
        <v>1</v>
      </c>
    </row>
    <row r="1937" spans="1:2" x14ac:dyDescent="0.2">
      <c r="A1937" t="s">
        <v>1908</v>
      </c>
      <c r="B1937" t="s">
        <v>1</v>
      </c>
    </row>
    <row r="1938" spans="1:2" x14ac:dyDescent="0.2">
      <c r="A1938" t="s">
        <v>1909</v>
      </c>
      <c r="B1938" t="s">
        <v>1</v>
      </c>
    </row>
    <row r="1939" spans="1:2" x14ac:dyDescent="0.2">
      <c r="A1939" t="s">
        <v>1910</v>
      </c>
      <c r="B1939" t="s">
        <v>1</v>
      </c>
    </row>
    <row r="1940" spans="1:2" x14ac:dyDescent="0.2">
      <c r="A1940" t="s">
        <v>1911</v>
      </c>
      <c r="B1940" t="s">
        <v>1</v>
      </c>
    </row>
    <row r="1941" spans="1:2" x14ac:dyDescent="0.2">
      <c r="A1941" t="s">
        <v>1912</v>
      </c>
      <c r="B1941" t="s">
        <v>1</v>
      </c>
    </row>
    <row r="1942" spans="1:2" x14ac:dyDescent="0.2">
      <c r="A1942" t="s">
        <v>1913</v>
      </c>
      <c r="B1942" t="s">
        <v>1</v>
      </c>
    </row>
    <row r="1943" spans="1:2" x14ac:dyDescent="0.2">
      <c r="A1943" t="s">
        <v>1914</v>
      </c>
      <c r="B1943" t="s">
        <v>1</v>
      </c>
    </row>
    <row r="1944" spans="1:2" x14ac:dyDescent="0.2">
      <c r="A1944" t="s">
        <v>1915</v>
      </c>
      <c r="B1944" t="s">
        <v>1</v>
      </c>
    </row>
    <row r="1945" spans="1:2" x14ac:dyDescent="0.2">
      <c r="A1945" t="s">
        <v>1916</v>
      </c>
      <c r="B1945" t="s">
        <v>1</v>
      </c>
    </row>
    <row r="1946" spans="1:2" x14ac:dyDescent="0.2">
      <c r="A1946" t="s">
        <v>1917</v>
      </c>
      <c r="B1946" t="s">
        <v>1</v>
      </c>
    </row>
    <row r="1947" spans="1:2" x14ac:dyDescent="0.2">
      <c r="A1947" t="s">
        <v>1918</v>
      </c>
      <c r="B1947" t="s">
        <v>1</v>
      </c>
    </row>
    <row r="1948" spans="1:2" x14ac:dyDescent="0.2">
      <c r="A1948" t="s">
        <v>1919</v>
      </c>
      <c r="B1948" t="s">
        <v>1</v>
      </c>
    </row>
    <row r="1949" spans="1:2" x14ac:dyDescent="0.2">
      <c r="A1949" t="s">
        <v>1920</v>
      </c>
      <c r="B1949" t="s">
        <v>1</v>
      </c>
    </row>
    <row r="1950" spans="1:2" x14ac:dyDescent="0.2">
      <c r="A1950" t="s">
        <v>1921</v>
      </c>
      <c r="B1950" t="s">
        <v>1</v>
      </c>
    </row>
    <row r="1951" spans="1:2" x14ac:dyDescent="0.2">
      <c r="A1951" t="s">
        <v>1922</v>
      </c>
      <c r="B1951" t="s">
        <v>1</v>
      </c>
    </row>
    <row r="1952" spans="1:2" x14ac:dyDescent="0.2">
      <c r="A1952" t="s">
        <v>1923</v>
      </c>
      <c r="B1952" t="s">
        <v>1</v>
      </c>
    </row>
    <row r="1953" spans="1:2" x14ac:dyDescent="0.2">
      <c r="A1953" t="s">
        <v>1924</v>
      </c>
      <c r="B1953" t="s">
        <v>1</v>
      </c>
    </row>
    <row r="1954" spans="1:2" x14ac:dyDescent="0.2">
      <c r="A1954" t="s">
        <v>1925</v>
      </c>
      <c r="B1954" t="s">
        <v>1</v>
      </c>
    </row>
    <row r="1955" spans="1:2" x14ac:dyDescent="0.2">
      <c r="A1955" t="s">
        <v>1926</v>
      </c>
      <c r="B1955" t="s">
        <v>1</v>
      </c>
    </row>
    <row r="1956" spans="1:2" x14ac:dyDescent="0.2">
      <c r="A1956" t="s">
        <v>1927</v>
      </c>
      <c r="B1956" t="s">
        <v>1</v>
      </c>
    </row>
    <row r="1957" spans="1:2" x14ac:dyDescent="0.2">
      <c r="A1957" t="s">
        <v>1928</v>
      </c>
      <c r="B1957" t="s">
        <v>1</v>
      </c>
    </row>
    <row r="1958" spans="1:2" x14ac:dyDescent="0.2">
      <c r="A1958" t="s">
        <v>1929</v>
      </c>
      <c r="B1958" t="s">
        <v>1</v>
      </c>
    </row>
    <row r="1959" spans="1:2" x14ac:dyDescent="0.2">
      <c r="A1959" t="s">
        <v>1930</v>
      </c>
      <c r="B1959" t="s">
        <v>1</v>
      </c>
    </row>
    <row r="1960" spans="1:2" x14ac:dyDescent="0.2">
      <c r="A1960" t="s">
        <v>1931</v>
      </c>
      <c r="B1960" t="s">
        <v>1</v>
      </c>
    </row>
    <row r="1961" spans="1:2" x14ac:dyDescent="0.2">
      <c r="A1961" t="s">
        <v>1932</v>
      </c>
      <c r="B1961" t="s">
        <v>1</v>
      </c>
    </row>
    <row r="1962" spans="1:2" x14ac:dyDescent="0.2">
      <c r="A1962" t="s">
        <v>1933</v>
      </c>
      <c r="B1962" t="s">
        <v>1</v>
      </c>
    </row>
    <row r="1963" spans="1:2" x14ac:dyDescent="0.2">
      <c r="A1963" t="s">
        <v>1934</v>
      </c>
      <c r="B1963" t="s">
        <v>1</v>
      </c>
    </row>
    <row r="1964" spans="1:2" x14ac:dyDescent="0.2">
      <c r="A1964" t="s">
        <v>1935</v>
      </c>
      <c r="B1964" t="s">
        <v>1</v>
      </c>
    </row>
    <row r="1965" spans="1:2" x14ac:dyDescent="0.2">
      <c r="A1965" t="s">
        <v>1936</v>
      </c>
      <c r="B1965" t="s">
        <v>1</v>
      </c>
    </row>
    <row r="1966" spans="1:2" x14ac:dyDescent="0.2">
      <c r="A1966" t="s">
        <v>1937</v>
      </c>
      <c r="B1966" t="s">
        <v>1</v>
      </c>
    </row>
    <row r="1967" spans="1:2" x14ac:dyDescent="0.2">
      <c r="A1967" t="s">
        <v>1938</v>
      </c>
      <c r="B1967" t="s">
        <v>1</v>
      </c>
    </row>
    <row r="1968" spans="1:2" x14ac:dyDescent="0.2">
      <c r="A1968" t="s">
        <v>1939</v>
      </c>
      <c r="B1968" t="s">
        <v>1</v>
      </c>
    </row>
    <row r="1969" spans="1:2" x14ac:dyDescent="0.2">
      <c r="A1969" t="s">
        <v>1940</v>
      </c>
      <c r="B1969" t="s">
        <v>1</v>
      </c>
    </row>
    <row r="1970" spans="1:2" x14ac:dyDescent="0.2">
      <c r="A1970" t="s">
        <v>1941</v>
      </c>
      <c r="B1970" t="s">
        <v>1</v>
      </c>
    </row>
    <row r="1971" spans="1:2" x14ac:dyDescent="0.2">
      <c r="A1971" t="s">
        <v>1942</v>
      </c>
      <c r="B1971" t="s">
        <v>1</v>
      </c>
    </row>
    <row r="1972" spans="1:2" x14ac:dyDescent="0.2">
      <c r="A1972" t="s">
        <v>1943</v>
      </c>
      <c r="B1972" t="s">
        <v>1</v>
      </c>
    </row>
    <row r="1973" spans="1:2" x14ac:dyDescent="0.2">
      <c r="A1973" t="s">
        <v>1944</v>
      </c>
      <c r="B1973" t="s">
        <v>1</v>
      </c>
    </row>
    <row r="1974" spans="1:2" x14ac:dyDescent="0.2">
      <c r="A1974" t="s">
        <v>1945</v>
      </c>
      <c r="B1974" t="s">
        <v>1</v>
      </c>
    </row>
    <row r="1975" spans="1:2" x14ac:dyDescent="0.2">
      <c r="A1975" t="s">
        <v>1946</v>
      </c>
      <c r="B1975" t="s">
        <v>1</v>
      </c>
    </row>
    <row r="1976" spans="1:2" x14ac:dyDescent="0.2">
      <c r="A1976" t="s">
        <v>1947</v>
      </c>
      <c r="B1976" t="s">
        <v>1</v>
      </c>
    </row>
    <row r="1977" spans="1:2" x14ac:dyDescent="0.2">
      <c r="A1977" t="s">
        <v>1948</v>
      </c>
      <c r="B1977" t="s">
        <v>1</v>
      </c>
    </row>
    <row r="1978" spans="1:2" x14ac:dyDescent="0.2">
      <c r="A1978" t="s">
        <v>1949</v>
      </c>
      <c r="B1978" t="s">
        <v>1</v>
      </c>
    </row>
    <row r="1979" spans="1:2" x14ac:dyDescent="0.2">
      <c r="A1979" t="s">
        <v>1950</v>
      </c>
      <c r="B1979" t="s">
        <v>1</v>
      </c>
    </row>
    <row r="1980" spans="1:2" x14ac:dyDescent="0.2">
      <c r="A1980" t="s">
        <v>1951</v>
      </c>
      <c r="B1980" t="s">
        <v>1</v>
      </c>
    </row>
    <row r="1981" spans="1:2" x14ac:dyDescent="0.2">
      <c r="A1981" t="s">
        <v>1952</v>
      </c>
      <c r="B1981" t="s">
        <v>1</v>
      </c>
    </row>
    <row r="1982" spans="1:2" x14ac:dyDescent="0.2">
      <c r="A1982" t="s">
        <v>1953</v>
      </c>
      <c r="B1982" t="s">
        <v>1</v>
      </c>
    </row>
    <row r="1983" spans="1:2" x14ac:dyDescent="0.2">
      <c r="A1983" t="s">
        <v>1954</v>
      </c>
      <c r="B1983" t="s">
        <v>1</v>
      </c>
    </row>
    <row r="1984" spans="1:2" x14ac:dyDescent="0.2">
      <c r="A1984" t="s">
        <v>1955</v>
      </c>
      <c r="B1984" t="s">
        <v>1</v>
      </c>
    </row>
    <row r="1985" spans="1:2" x14ac:dyDescent="0.2">
      <c r="A1985" t="s">
        <v>1956</v>
      </c>
      <c r="B1985" t="s">
        <v>1</v>
      </c>
    </row>
    <row r="1986" spans="1:2" x14ac:dyDescent="0.2">
      <c r="A1986" t="s">
        <v>1957</v>
      </c>
      <c r="B1986" t="s">
        <v>1</v>
      </c>
    </row>
    <row r="1987" spans="1:2" x14ac:dyDescent="0.2">
      <c r="A1987" t="s">
        <v>1958</v>
      </c>
      <c r="B1987" t="s">
        <v>1</v>
      </c>
    </row>
    <row r="1988" spans="1:2" x14ac:dyDescent="0.2">
      <c r="A1988" t="s">
        <v>1959</v>
      </c>
      <c r="B1988" t="s">
        <v>1</v>
      </c>
    </row>
    <row r="1989" spans="1:2" x14ac:dyDescent="0.2">
      <c r="A1989" t="s">
        <v>1960</v>
      </c>
      <c r="B1989" t="s">
        <v>1</v>
      </c>
    </row>
    <row r="1990" spans="1:2" x14ac:dyDescent="0.2">
      <c r="A1990" t="s">
        <v>1961</v>
      </c>
      <c r="B1990" t="s">
        <v>1</v>
      </c>
    </row>
    <row r="1991" spans="1:2" x14ac:dyDescent="0.2">
      <c r="A1991" t="s">
        <v>1962</v>
      </c>
      <c r="B1991" t="s">
        <v>1</v>
      </c>
    </row>
    <row r="1992" spans="1:2" x14ac:dyDescent="0.2">
      <c r="A1992" t="s">
        <v>1963</v>
      </c>
      <c r="B1992" t="s">
        <v>1</v>
      </c>
    </row>
    <row r="1993" spans="1:2" x14ac:dyDescent="0.2">
      <c r="A1993" t="s">
        <v>1964</v>
      </c>
      <c r="B1993" t="s">
        <v>1</v>
      </c>
    </row>
    <row r="1994" spans="1:2" x14ac:dyDescent="0.2">
      <c r="A1994" t="s">
        <v>1965</v>
      </c>
      <c r="B1994" t="s">
        <v>1</v>
      </c>
    </row>
    <row r="1995" spans="1:2" x14ac:dyDescent="0.2">
      <c r="A1995" t="s">
        <v>1966</v>
      </c>
      <c r="B1995" t="s">
        <v>1</v>
      </c>
    </row>
    <row r="1996" spans="1:2" x14ac:dyDescent="0.2">
      <c r="A1996" t="s">
        <v>1967</v>
      </c>
      <c r="B1996" t="s">
        <v>1</v>
      </c>
    </row>
    <row r="1997" spans="1:2" x14ac:dyDescent="0.2">
      <c r="A1997" t="s">
        <v>1968</v>
      </c>
      <c r="B1997" t="s">
        <v>1</v>
      </c>
    </row>
    <row r="1998" spans="1:2" x14ac:dyDescent="0.2">
      <c r="A1998" t="s">
        <v>1969</v>
      </c>
      <c r="B1998" t="s">
        <v>1</v>
      </c>
    </row>
    <row r="1999" spans="1:2" x14ac:dyDescent="0.2">
      <c r="A1999" t="s">
        <v>1970</v>
      </c>
      <c r="B1999" t="s">
        <v>1</v>
      </c>
    </row>
    <row r="2000" spans="1:2" x14ac:dyDescent="0.2">
      <c r="A2000" t="s">
        <v>1971</v>
      </c>
      <c r="B2000" t="s">
        <v>1</v>
      </c>
    </row>
    <row r="2001" spans="1:2" x14ac:dyDescent="0.2">
      <c r="A2001" t="s">
        <v>1972</v>
      </c>
      <c r="B2001" t="s">
        <v>1</v>
      </c>
    </row>
    <row r="2002" spans="1:2" x14ac:dyDescent="0.2">
      <c r="A2002" t="s">
        <v>1973</v>
      </c>
      <c r="B2002" t="s">
        <v>1</v>
      </c>
    </row>
    <row r="2003" spans="1:2" x14ac:dyDescent="0.2">
      <c r="A2003" t="s">
        <v>1974</v>
      </c>
      <c r="B2003" t="s">
        <v>1</v>
      </c>
    </row>
    <row r="2004" spans="1:2" x14ac:dyDescent="0.2">
      <c r="A2004" t="s">
        <v>1975</v>
      </c>
      <c r="B2004" t="s">
        <v>1</v>
      </c>
    </row>
    <row r="2005" spans="1:2" x14ac:dyDescent="0.2">
      <c r="A2005" t="s">
        <v>1976</v>
      </c>
      <c r="B2005" t="s">
        <v>1</v>
      </c>
    </row>
    <row r="2006" spans="1:2" x14ac:dyDescent="0.2">
      <c r="A2006" t="s">
        <v>1977</v>
      </c>
      <c r="B2006" t="s">
        <v>1</v>
      </c>
    </row>
    <row r="2007" spans="1:2" x14ac:dyDescent="0.2">
      <c r="A2007" t="s">
        <v>1978</v>
      </c>
      <c r="B2007" t="s">
        <v>1</v>
      </c>
    </row>
    <row r="2008" spans="1:2" x14ac:dyDescent="0.2">
      <c r="A2008" t="s">
        <v>1979</v>
      </c>
      <c r="B2008" t="s">
        <v>1</v>
      </c>
    </row>
    <row r="2009" spans="1:2" x14ac:dyDescent="0.2">
      <c r="A2009" t="s">
        <v>1980</v>
      </c>
      <c r="B2009" t="s">
        <v>1</v>
      </c>
    </row>
    <row r="2010" spans="1:2" x14ac:dyDescent="0.2">
      <c r="A2010" t="s">
        <v>1981</v>
      </c>
      <c r="B2010" t="s">
        <v>1</v>
      </c>
    </row>
    <row r="2011" spans="1:2" x14ac:dyDescent="0.2">
      <c r="A2011" t="s">
        <v>1982</v>
      </c>
      <c r="B2011" t="s">
        <v>1</v>
      </c>
    </row>
    <row r="2012" spans="1:2" x14ac:dyDescent="0.2">
      <c r="A2012" t="s">
        <v>1983</v>
      </c>
      <c r="B2012" t="s">
        <v>1</v>
      </c>
    </row>
    <row r="2013" spans="1:2" x14ac:dyDescent="0.2">
      <c r="A2013" t="s">
        <v>1984</v>
      </c>
      <c r="B2013" t="s">
        <v>1</v>
      </c>
    </row>
    <row r="2014" spans="1:2" x14ac:dyDescent="0.2">
      <c r="A2014" t="s">
        <v>1985</v>
      </c>
      <c r="B2014" t="s">
        <v>1</v>
      </c>
    </row>
    <row r="2015" spans="1:2" x14ac:dyDescent="0.2">
      <c r="A2015" t="s">
        <v>1986</v>
      </c>
      <c r="B2015" t="s">
        <v>1</v>
      </c>
    </row>
    <row r="2016" spans="1:2" x14ac:dyDescent="0.2">
      <c r="A2016" t="s">
        <v>1987</v>
      </c>
      <c r="B2016" t="s">
        <v>1</v>
      </c>
    </row>
    <row r="2017" spans="1:2" x14ac:dyDescent="0.2">
      <c r="A2017" t="s">
        <v>1988</v>
      </c>
      <c r="B2017" t="s">
        <v>1</v>
      </c>
    </row>
    <row r="2018" spans="1:2" x14ac:dyDescent="0.2">
      <c r="A2018" t="s">
        <v>1989</v>
      </c>
      <c r="B2018" t="s">
        <v>1</v>
      </c>
    </row>
    <row r="2019" spans="1:2" x14ac:dyDescent="0.2">
      <c r="A2019" t="s">
        <v>1990</v>
      </c>
      <c r="B2019" t="s">
        <v>1</v>
      </c>
    </row>
    <row r="2020" spans="1:2" x14ac:dyDescent="0.2">
      <c r="A2020" t="s">
        <v>1991</v>
      </c>
      <c r="B2020" t="s">
        <v>1</v>
      </c>
    </row>
    <row r="2021" spans="1:2" x14ac:dyDescent="0.2">
      <c r="A2021" t="s">
        <v>1992</v>
      </c>
      <c r="B2021" t="s">
        <v>1</v>
      </c>
    </row>
    <row r="2022" spans="1:2" x14ac:dyDescent="0.2">
      <c r="A2022" t="s">
        <v>1993</v>
      </c>
      <c r="B2022" t="s">
        <v>1</v>
      </c>
    </row>
    <row r="2023" spans="1:2" x14ac:dyDescent="0.2">
      <c r="A2023" t="s">
        <v>1994</v>
      </c>
      <c r="B2023" t="s">
        <v>1</v>
      </c>
    </row>
    <row r="2024" spans="1:2" x14ac:dyDescent="0.2">
      <c r="A2024" t="s">
        <v>1995</v>
      </c>
      <c r="B2024" t="s">
        <v>1</v>
      </c>
    </row>
    <row r="2025" spans="1:2" x14ac:dyDescent="0.2">
      <c r="A2025" t="s">
        <v>1996</v>
      </c>
      <c r="B2025" t="s">
        <v>1</v>
      </c>
    </row>
    <row r="2026" spans="1:2" x14ac:dyDescent="0.2">
      <c r="A2026" t="s">
        <v>1997</v>
      </c>
      <c r="B2026" t="s">
        <v>1</v>
      </c>
    </row>
    <row r="2027" spans="1:2" x14ac:dyDescent="0.2">
      <c r="A2027" t="s">
        <v>1998</v>
      </c>
      <c r="B2027" t="s">
        <v>1</v>
      </c>
    </row>
    <row r="2028" spans="1:2" x14ac:dyDescent="0.2">
      <c r="A2028" t="s">
        <v>1999</v>
      </c>
      <c r="B2028" t="s">
        <v>1</v>
      </c>
    </row>
    <row r="2029" spans="1:2" x14ac:dyDescent="0.2">
      <c r="A2029" t="s">
        <v>2000</v>
      </c>
      <c r="B2029" t="s">
        <v>1</v>
      </c>
    </row>
    <row r="2030" spans="1:2" x14ac:dyDescent="0.2">
      <c r="A2030" t="s">
        <v>2001</v>
      </c>
      <c r="B2030" t="s">
        <v>1</v>
      </c>
    </row>
    <row r="2031" spans="1:2" x14ac:dyDescent="0.2">
      <c r="A2031" t="s">
        <v>2002</v>
      </c>
      <c r="B2031" t="s">
        <v>1</v>
      </c>
    </row>
    <row r="2032" spans="1:2" x14ac:dyDescent="0.2">
      <c r="A2032" t="s">
        <v>2003</v>
      </c>
      <c r="B2032" t="s">
        <v>1</v>
      </c>
    </row>
    <row r="2033" spans="1:2" x14ac:dyDescent="0.2">
      <c r="A2033" t="s">
        <v>2004</v>
      </c>
      <c r="B2033" t="s">
        <v>1</v>
      </c>
    </row>
    <row r="2034" spans="1:2" x14ac:dyDescent="0.2">
      <c r="A2034" t="s">
        <v>2005</v>
      </c>
      <c r="B2034" t="s">
        <v>1</v>
      </c>
    </row>
    <row r="2035" spans="1:2" x14ac:dyDescent="0.2">
      <c r="A2035" t="s">
        <v>2006</v>
      </c>
      <c r="B2035" t="s">
        <v>1</v>
      </c>
    </row>
    <row r="2036" spans="1:2" x14ac:dyDescent="0.2">
      <c r="A2036" t="s">
        <v>2007</v>
      </c>
      <c r="B2036" t="s">
        <v>1</v>
      </c>
    </row>
    <row r="2037" spans="1:2" x14ac:dyDescent="0.2">
      <c r="A2037" t="s">
        <v>2008</v>
      </c>
      <c r="B2037" t="s">
        <v>1</v>
      </c>
    </row>
    <row r="2038" spans="1:2" x14ac:dyDescent="0.2">
      <c r="A2038" t="s">
        <v>2009</v>
      </c>
      <c r="B2038" t="s">
        <v>1</v>
      </c>
    </row>
    <row r="2039" spans="1:2" x14ac:dyDescent="0.2">
      <c r="A2039" t="s">
        <v>2010</v>
      </c>
      <c r="B2039" t="s">
        <v>1</v>
      </c>
    </row>
    <row r="2040" spans="1:2" x14ac:dyDescent="0.2">
      <c r="A2040" t="s">
        <v>2011</v>
      </c>
      <c r="B2040" t="s">
        <v>1</v>
      </c>
    </row>
    <row r="2041" spans="1:2" x14ac:dyDescent="0.2">
      <c r="A2041" t="s">
        <v>2012</v>
      </c>
      <c r="B2041" t="s">
        <v>1</v>
      </c>
    </row>
    <row r="2042" spans="1:2" x14ac:dyDescent="0.2">
      <c r="A2042" t="s">
        <v>2013</v>
      </c>
      <c r="B2042" t="s">
        <v>1</v>
      </c>
    </row>
    <row r="2043" spans="1:2" x14ac:dyDescent="0.2">
      <c r="A2043" t="s">
        <v>2014</v>
      </c>
      <c r="B2043" t="s">
        <v>1</v>
      </c>
    </row>
    <row r="2044" spans="1:2" x14ac:dyDescent="0.2">
      <c r="A2044" t="s">
        <v>2015</v>
      </c>
      <c r="B2044" t="s">
        <v>1</v>
      </c>
    </row>
    <row r="2045" spans="1:2" x14ac:dyDescent="0.2">
      <c r="A2045" t="s">
        <v>2016</v>
      </c>
      <c r="B2045" t="s">
        <v>1</v>
      </c>
    </row>
    <row r="2046" spans="1:2" x14ac:dyDescent="0.2">
      <c r="A2046" t="s">
        <v>2017</v>
      </c>
      <c r="B2046" t="s">
        <v>1</v>
      </c>
    </row>
    <row r="2047" spans="1:2" x14ac:dyDescent="0.2">
      <c r="A2047" t="s">
        <v>2018</v>
      </c>
      <c r="B2047" t="s">
        <v>1</v>
      </c>
    </row>
    <row r="2048" spans="1:2" x14ac:dyDescent="0.2">
      <c r="A2048" t="s">
        <v>2019</v>
      </c>
      <c r="B2048" t="s">
        <v>1</v>
      </c>
    </row>
    <row r="2049" spans="1:2" x14ac:dyDescent="0.2">
      <c r="A2049" t="s">
        <v>2020</v>
      </c>
      <c r="B2049" t="s">
        <v>1</v>
      </c>
    </row>
    <row r="2050" spans="1:2" x14ac:dyDescent="0.2">
      <c r="A2050" t="s">
        <v>2021</v>
      </c>
      <c r="B2050" t="s">
        <v>1</v>
      </c>
    </row>
    <row r="2051" spans="1:2" x14ac:dyDescent="0.2">
      <c r="A2051" t="s">
        <v>2022</v>
      </c>
      <c r="B2051" t="s">
        <v>1</v>
      </c>
    </row>
    <row r="2052" spans="1:2" x14ac:dyDescent="0.2">
      <c r="A2052" t="s">
        <v>2023</v>
      </c>
      <c r="B2052" t="s">
        <v>1</v>
      </c>
    </row>
    <row r="2053" spans="1:2" x14ac:dyDescent="0.2">
      <c r="A2053" t="s">
        <v>2024</v>
      </c>
      <c r="B2053" t="s">
        <v>1</v>
      </c>
    </row>
    <row r="2054" spans="1:2" x14ac:dyDescent="0.2">
      <c r="A2054" t="s">
        <v>1313</v>
      </c>
      <c r="B2054" t="s">
        <v>1</v>
      </c>
    </row>
    <row r="2055" spans="1:2" x14ac:dyDescent="0.2">
      <c r="A2055" t="s">
        <v>2025</v>
      </c>
      <c r="B2055" t="s">
        <v>1</v>
      </c>
    </row>
    <row r="2056" spans="1:2" x14ac:dyDescent="0.2">
      <c r="A2056" t="s">
        <v>2026</v>
      </c>
      <c r="B2056" t="s">
        <v>1</v>
      </c>
    </row>
    <row r="2057" spans="1:2" x14ac:dyDescent="0.2">
      <c r="A2057" t="s">
        <v>2027</v>
      </c>
      <c r="B2057" t="s">
        <v>1</v>
      </c>
    </row>
    <row r="2058" spans="1:2" x14ac:dyDescent="0.2">
      <c r="A2058" t="s">
        <v>2028</v>
      </c>
      <c r="B2058" t="s">
        <v>1</v>
      </c>
    </row>
    <row r="2059" spans="1:2" x14ac:dyDescent="0.2">
      <c r="A2059" t="s">
        <v>2029</v>
      </c>
      <c r="B2059" t="s">
        <v>1</v>
      </c>
    </row>
    <row r="2060" spans="1:2" x14ac:dyDescent="0.2">
      <c r="A2060" t="s">
        <v>2030</v>
      </c>
      <c r="B2060" t="s">
        <v>1</v>
      </c>
    </row>
    <row r="2061" spans="1:2" x14ac:dyDescent="0.2">
      <c r="A2061" t="s">
        <v>2031</v>
      </c>
      <c r="B2061" t="s">
        <v>1</v>
      </c>
    </row>
    <row r="2062" spans="1:2" x14ac:dyDescent="0.2">
      <c r="A2062" t="s">
        <v>2032</v>
      </c>
      <c r="B2062" t="s">
        <v>1</v>
      </c>
    </row>
    <row r="2063" spans="1:2" x14ac:dyDescent="0.2">
      <c r="A2063" t="s">
        <v>2033</v>
      </c>
      <c r="B2063" t="s">
        <v>1</v>
      </c>
    </row>
    <row r="2064" spans="1:2" x14ac:dyDescent="0.2">
      <c r="A2064" t="s">
        <v>2034</v>
      </c>
      <c r="B2064" t="s">
        <v>1</v>
      </c>
    </row>
    <row r="2065" spans="1:2" x14ac:dyDescent="0.2">
      <c r="A2065" t="s">
        <v>2035</v>
      </c>
      <c r="B2065" t="s">
        <v>1</v>
      </c>
    </row>
    <row r="2066" spans="1:2" x14ac:dyDescent="0.2">
      <c r="A2066" t="s">
        <v>2036</v>
      </c>
      <c r="B2066" t="s">
        <v>1</v>
      </c>
    </row>
    <row r="2067" spans="1:2" x14ac:dyDescent="0.2">
      <c r="A2067" t="s">
        <v>2037</v>
      </c>
      <c r="B2067" t="s">
        <v>1</v>
      </c>
    </row>
    <row r="2068" spans="1:2" x14ac:dyDescent="0.2">
      <c r="A2068" t="s">
        <v>2038</v>
      </c>
      <c r="B2068" t="s">
        <v>1</v>
      </c>
    </row>
    <row r="2069" spans="1:2" x14ac:dyDescent="0.2">
      <c r="A2069" t="s">
        <v>2039</v>
      </c>
      <c r="B2069" t="s">
        <v>1</v>
      </c>
    </row>
    <row r="2070" spans="1:2" x14ac:dyDescent="0.2">
      <c r="A2070" t="s">
        <v>2040</v>
      </c>
      <c r="B2070" t="s">
        <v>1</v>
      </c>
    </row>
    <row r="2071" spans="1:2" x14ac:dyDescent="0.2">
      <c r="A2071" t="s">
        <v>2041</v>
      </c>
      <c r="B2071" t="s">
        <v>1</v>
      </c>
    </row>
    <row r="2072" spans="1:2" x14ac:dyDescent="0.2">
      <c r="A2072" t="s">
        <v>2042</v>
      </c>
      <c r="B2072" t="s">
        <v>1</v>
      </c>
    </row>
    <row r="2073" spans="1:2" x14ac:dyDescent="0.2">
      <c r="A2073" t="s">
        <v>2043</v>
      </c>
      <c r="B2073" t="s">
        <v>1</v>
      </c>
    </row>
    <row r="2074" spans="1:2" x14ac:dyDescent="0.2">
      <c r="A2074" t="s">
        <v>2044</v>
      </c>
      <c r="B2074" t="s">
        <v>1</v>
      </c>
    </row>
    <row r="2075" spans="1:2" x14ac:dyDescent="0.2">
      <c r="A2075" t="s">
        <v>2045</v>
      </c>
      <c r="B2075" t="s">
        <v>1</v>
      </c>
    </row>
    <row r="2076" spans="1:2" x14ac:dyDescent="0.2">
      <c r="A2076" t="s">
        <v>2046</v>
      </c>
      <c r="B2076" t="s">
        <v>1</v>
      </c>
    </row>
    <row r="2077" spans="1:2" x14ac:dyDescent="0.2">
      <c r="A2077" t="s">
        <v>2047</v>
      </c>
      <c r="B2077" t="s">
        <v>1</v>
      </c>
    </row>
    <row r="2078" spans="1:2" x14ac:dyDescent="0.2">
      <c r="A2078" t="s">
        <v>2048</v>
      </c>
      <c r="B2078" t="s">
        <v>1</v>
      </c>
    </row>
    <row r="2079" spans="1:2" x14ac:dyDescent="0.2">
      <c r="A2079" t="s">
        <v>2049</v>
      </c>
      <c r="B2079" t="s">
        <v>1</v>
      </c>
    </row>
    <row r="2080" spans="1:2" x14ac:dyDescent="0.2">
      <c r="A2080" t="s">
        <v>2050</v>
      </c>
      <c r="B2080" t="s">
        <v>1</v>
      </c>
    </row>
    <row r="2081" spans="1:2" x14ac:dyDescent="0.2">
      <c r="A2081" t="s">
        <v>1499</v>
      </c>
      <c r="B2081" t="s">
        <v>1</v>
      </c>
    </row>
    <row r="2082" spans="1:2" x14ac:dyDescent="0.2">
      <c r="A2082" t="s">
        <v>2051</v>
      </c>
      <c r="B2082" t="s">
        <v>1</v>
      </c>
    </row>
    <row r="2083" spans="1:2" x14ac:dyDescent="0.2">
      <c r="A2083" t="s">
        <v>2052</v>
      </c>
      <c r="B2083" t="s">
        <v>1</v>
      </c>
    </row>
    <row r="2084" spans="1:2" x14ac:dyDescent="0.2">
      <c r="A2084" t="s">
        <v>2053</v>
      </c>
      <c r="B2084" t="s">
        <v>1</v>
      </c>
    </row>
    <row r="2085" spans="1:2" x14ac:dyDescent="0.2">
      <c r="A2085" t="s">
        <v>2054</v>
      </c>
      <c r="B2085" t="s">
        <v>1</v>
      </c>
    </row>
    <row r="2086" spans="1:2" x14ac:dyDescent="0.2">
      <c r="A2086" t="s">
        <v>2055</v>
      </c>
      <c r="B2086" t="s">
        <v>1</v>
      </c>
    </row>
    <row r="2087" spans="1:2" x14ac:dyDescent="0.2">
      <c r="A2087" t="s">
        <v>2056</v>
      </c>
      <c r="B2087" t="s">
        <v>1</v>
      </c>
    </row>
    <row r="2088" spans="1:2" x14ac:dyDescent="0.2">
      <c r="A2088" t="s">
        <v>2057</v>
      </c>
      <c r="B2088" t="s">
        <v>1</v>
      </c>
    </row>
    <row r="2089" spans="1:2" x14ac:dyDescent="0.2">
      <c r="A2089" t="s">
        <v>2058</v>
      </c>
      <c r="B2089" t="s">
        <v>1</v>
      </c>
    </row>
    <row r="2090" spans="1:2" x14ac:dyDescent="0.2">
      <c r="A2090" t="s">
        <v>2059</v>
      </c>
      <c r="B2090" t="s">
        <v>1</v>
      </c>
    </row>
    <row r="2091" spans="1:2" x14ac:dyDescent="0.2">
      <c r="A2091" t="s">
        <v>2060</v>
      </c>
      <c r="B2091" t="s">
        <v>1</v>
      </c>
    </row>
    <row r="2092" spans="1:2" x14ac:dyDescent="0.2">
      <c r="A2092" t="s">
        <v>2061</v>
      </c>
      <c r="B2092" t="s">
        <v>1</v>
      </c>
    </row>
    <row r="2093" spans="1:2" x14ac:dyDescent="0.2">
      <c r="A2093" t="s">
        <v>2062</v>
      </c>
      <c r="B2093" t="s">
        <v>1</v>
      </c>
    </row>
    <row r="2094" spans="1:2" x14ac:dyDescent="0.2">
      <c r="A2094" t="s">
        <v>1507</v>
      </c>
      <c r="B2094" t="s">
        <v>1</v>
      </c>
    </row>
    <row r="2095" spans="1:2" x14ac:dyDescent="0.2">
      <c r="A2095" t="s">
        <v>2063</v>
      </c>
      <c r="B2095" t="s">
        <v>1</v>
      </c>
    </row>
    <row r="2096" spans="1:2" x14ac:dyDescent="0.2">
      <c r="A2096" t="s">
        <v>2064</v>
      </c>
      <c r="B2096" t="s">
        <v>1</v>
      </c>
    </row>
    <row r="2097" spans="1:2" x14ac:dyDescent="0.2">
      <c r="A2097" t="s">
        <v>2065</v>
      </c>
      <c r="B2097" t="s">
        <v>1</v>
      </c>
    </row>
    <row r="2098" spans="1:2" x14ac:dyDescent="0.2">
      <c r="A2098" t="s">
        <v>2066</v>
      </c>
      <c r="B2098" t="s">
        <v>1</v>
      </c>
    </row>
    <row r="2099" spans="1:2" x14ac:dyDescent="0.2">
      <c r="A2099" t="s">
        <v>2067</v>
      </c>
      <c r="B2099" t="s">
        <v>1</v>
      </c>
    </row>
    <row r="2100" spans="1:2" x14ac:dyDescent="0.2">
      <c r="A2100" t="s">
        <v>2068</v>
      </c>
      <c r="B2100" t="s">
        <v>1</v>
      </c>
    </row>
    <row r="2101" spans="1:2" x14ac:dyDescent="0.2">
      <c r="A2101" t="s">
        <v>2069</v>
      </c>
      <c r="B2101" t="s">
        <v>1</v>
      </c>
    </row>
    <row r="2102" spans="1:2" x14ac:dyDescent="0.2">
      <c r="A2102" t="s">
        <v>1519</v>
      </c>
      <c r="B2102" t="s">
        <v>1</v>
      </c>
    </row>
    <row r="2103" spans="1:2" x14ac:dyDescent="0.2">
      <c r="A2103" t="s">
        <v>1521</v>
      </c>
      <c r="B2103" t="s">
        <v>1</v>
      </c>
    </row>
    <row r="2104" spans="1:2" x14ac:dyDescent="0.2">
      <c r="A2104" t="s">
        <v>2070</v>
      </c>
      <c r="B2104" t="s">
        <v>1</v>
      </c>
    </row>
    <row r="2105" spans="1:2" x14ac:dyDescent="0.2">
      <c r="A2105" t="s">
        <v>2071</v>
      </c>
      <c r="B2105" t="s">
        <v>1</v>
      </c>
    </row>
    <row r="2106" spans="1:2" x14ac:dyDescent="0.2">
      <c r="A2106" t="s">
        <v>2072</v>
      </c>
      <c r="B2106" t="s">
        <v>1</v>
      </c>
    </row>
    <row r="2107" spans="1:2" x14ac:dyDescent="0.2">
      <c r="A2107" t="s">
        <v>2073</v>
      </c>
      <c r="B2107" t="s">
        <v>1</v>
      </c>
    </row>
    <row r="2108" spans="1:2" x14ac:dyDescent="0.2">
      <c r="A2108" t="s">
        <v>2074</v>
      </c>
      <c r="B2108" t="s">
        <v>1</v>
      </c>
    </row>
    <row r="2109" spans="1:2" x14ac:dyDescent="0.2">
      <c r="A2109" t="s">
        <v>2075</v>
      </c>
      <c r="B2109" t="s">
        <v>1</v>
      </c>
    </row>
    <row r="2110" spans="1:2" x14ac:dyDescent="0.2">
      <c r="A2110" t="s">
        <v>2076</v>
      </c>
      <c r="B2110" t="s">
        <v>1</v>
      </c>
    </row>
    <row r="2111" spans="1:2" x14ac:dyDescent="0.2">
      <c r="A2111" t="s">
        <v>1533</v>
      </c>
      <c r="B2111" t="s">
        <v>1</v>
      </c>
    </row>
    <row r="2112" spans="1:2" x14ac:dyDescent="0.2">
      <c r="A2112" t="s">
        <v>2077</v>
      </c>
      <c r="B2112" t="s">
        <v>1</v>
      </c>
    </row>
    <row r="2113" spans="1:2" x14ac:dyDescent="0.2">
      <c r="A2113" t="s">
        <v>2078</v>
      </c>
      <c r="B2113" t="s">
        <v>1</v>
      </c>
    </row>
    <row r="2114" spans="1:2" x14ac:dyDescent="0.2">
      <c r="A2114" t="s">
        <v>2079</v>
      </c>
      <c r="B2114" t="s">
        <v>1</v>
      </c>
    </row>
    <row r="2115" spans="1:2" x14ac:dyDescent="0.2">
      <c r="A2115" t="s">
        <v>2080</v>
      </c>
      <c r="B2115" t="s">
        <v>1</v>
      </c>
    </row>
    <row r="2116" spans="1:2" x14ac:dyDescent="0.2">
      <c r="A2116" t="s">
        <v>2081</v>
      </c>
      <c r="B2116" t="s">
        <v>1</v>
      </c>
    </row>
    <row r="2117" spans="1:2" x14ac:dyDescent="0.2">
      <c r="A2117" t="s">
        <v>2082</v>
      </c>
      <c r="B2117" t="s">
        <v>1</v>
      </c>
    </row>
    <row r="2118" spans="1:2" x14ac:dyDescent="0.2">
      <c r="A2118" t="s">
        <v>2083</v>
      </c>
      <c r="B2118" t="s">
        <v>1</v>
      </c>
    </row>
    <row r="2119" spans="1:2" x14ac:dyDescent="0.2">
      <c r="A2119" t="s">
        <v>2084</v>
      </c>
      <c r="B2119" t="s">
        <v>1</v>
      </c>
    </row>
    <row r="2120" spans="1:2" x14ac:dyDescent="0.2">
      <c r="A2120" t="s">
        <v>2085</v>
      </c>
      <c r="B2120" t="s">
        <v>1</v>
      </c>
    </row>
    <row r="2121" spans="1:2" x14ac:dyDescent="0.2">
      <c r="A2121" t="s">
        <v>2086</v>
      </c>
      <c r="B2121" t="s">
        <v>1</v>
      </c>
    </row>
    <row r="2122" spans="1:2" x14ac:dyDescent="0.2">
      <c r="A2122" t="s">
        <v>2087</v>
      </c>
      <c r="B2122" t="s">
        <v>1</v>
      </c>
    </row>
    <row r="2123" spans="1:2" x14ac:dyDescent="0.2">
      <c r="A2123" t="s">
        <v>2088</v>
      </c>
      <c r="B2123" t="s">
        <v>1</v>
      </c>
    </row>
    <row r="2124" spans="1:2" x14ac:dyDescent="0.2">
      <c r="A2124" t="s">
        <v>2089</v>
      </c>
      <c r="B2124" t="s">
        <v>1</v>
      </c>
    </row>
    <row r="2125" spans="1:2" x14ac:dyDescent="0.2">
      <c r="A2125" t="s">
        <v>2090</v>
      </c>
      <c r="B2125" t="s">
        <v>1</v>
      </c>
    </row>
    <row r="2126" spans="1:2" x14ac:dyDescent="0.2">
      <c r="A2126" t="s">
        <v>2091</v>
      </c>
      <c r="B2126" t="s">
        <v>1</v>
      </c>
    </row>
    <row r="2127" spans="1:2" x14ac:dyDescent="0.2">
      <c r="A2127" t="s">
        <v>2092</v>
      </c>
      <c r="B2127" t="s">
        <v>1</v>
      </c>
    </row>
    <row r="2128" spans="1:2" x14ac:dyDescent="0.2">
      <c r="A2128" t="s">
        <v>2093</v>
      </c>
      <c r="B2128" t="s">
        <v>1</v>
      </c>
    </row>
    <row r="2129" spans="1:2" x14ac:dyDescent="0.2">
      <c r="A2129" t="s">
        <v>2094</v>
      </c>
      <c r="B2129" t="s">
        <v>1</v>
      </c>
    </row>
    <row r="2130" spans="1:2" x14ac:dyDescent="0.2">
      <c r="A2130" t="s">
        <v>2095</v>
      </c>
      <c r="B2130" t="s">
        <v>1</v>
      </c>
    </row>
    <row r="2131" spans="1:2" x14ac:dyDescent="0.2">
      <c r="A2131" t="s">
        <v>2096</v>
      </c>
      <c r="B2131" t="s">
        <v>1</v>
      </c>
    </row>
    <row r="2132" spans="1:2" x14ac:dyDescent="0.2">
      <c r="A2132" t="s">
        <v>2097</v>
      </c>
      <c r="B2132" t="s">
        <v>1</v>
      </c>
    </row>
    <row r="2133" spans="1:2" x14ac:dyDescent="0.2">
      <c r="A2133" t="s">
        <v>2098</v>
      </c>
      <c r="B2133" t="s">
        <v>1</v>
      </c>
    </row>
    <row r="2134" spans="1:2" x14ac:dyDescent="0.2">
      <c r="A2134" t="s">
        <v>2099</v>
      </c>
      <c r="B2134" t="s">
        <v>1</v>
      </c>
    </row>
    <row r="2135" spans="1:2" x14ac:dyDescent="0.2">
      <c r="A2135" t="s">
        <v>2100</v>
      </c>
      <c r="B2135" t="s">
        <v>1</v>
      </c>
    </row>
    <row r="2136" spans="1:2" x14ac:dyDescent="0.2">
      <c r="A2136" t="s">
        <v>2101</v>
      </c>
      <c r="B2136" t="s">
        <v>1</v>
      </c>
    </row>
    <row r="2137" spans="1:2" x14ac:dyDescent="0.2">
      <c r="A2137" t="s">
        <v>2102</v>
      </c>
      <c r="B2137" t="s">
        <v>1</v>
      </c>
    </row>
    <row r="2138" spans="1:2" x14ac:dyDescent="0.2">
      <c r="A2138" t="s">
        <v>2103</v>
      </c>
      <c r="B2138" t="s">
        <v>1</v>
      </c>
    </row>
    <row r="2139" spans="1:2" x14ac:dyDescent="0.2">
      <c r="A2139" t="s">
        <v>2104</v>
      </c>
      <c r="B2139" t="s">
        <v>1</v>
      </c>
    </row>
    <row r="2140" spans="1:2" x14ac:dyDescent="0.2">
      <c r="A2140" t="s">
        <v>2105</v>
      </c>
      <c r="B2140" t="s">
        <v>1</v>
      </c>
    </row>
    <row r="2141" spans="1:2" x14ac:dyDescent="0.2">
      <c r="A2141" t="s">
        <v>2106</v>
      </c>
      <c r="B2141" t="s">
        <v>1</v>
      </c>
    </row>
    <row r="2142" spans="1:2" x14ac:dyDescent="0.2">
      <c r="A2142" t="s">
        <v>2107</v>
      </c>
      <c r="B2142" t="s">
        <v>1</v>
      </c>
    </row>
    <row r="2143" spans="1:2" x14ac:dyDescent="0.2">
      <c r="A2143" t="s">
        <v>2108</v>
      </c>
      <c r="B2143" t="s">
        <v>1</v>
      </c>
    </row>
    <row r="2144" spans="1:2" x14ac:dyDescent="0.2">
      <c r="A2144" t="s">
        <v>1563</v>
      </c>
      <c r="B2144" t="s">
        <v>1</v>
      </c>
    </row>
    <row r="2145" spans="1:2" x14ac:dyDescent="0.2">
      <c r="A2145" t="s">
        <v>2109</v>
      </c>
      <c r="B2145" t="s">
        <v>1</v>
      </c>
    </row>
    <row r="2146" spans="1:2" x14ac:dyDescent="0.2">
      <c r="A2146" t="s">
        <v>2110</v>
      </c>
      <c r="B2146" t="s">
        <v>1</v>
      </c>
    </row>
    <row r="2147" spans="1:2" x14ac:dyDescent="0.2">
      <c r="A2147" t="s">
        <v>2111</v>
      </c>
      <c r="B2147" t="s">
        <v>1</v>
      </c>
    </row>
    <row r="2148" spans="1:2" x14ac:dyDescent="0.2">
      <c r="A2148" t="s">
        <v>2112</v>
      </c>
      <c r="B2148" t="s">
        <v>1</v>
      </c>
    </row>
    <row r="2149" spans="1:2" x14ac:dyDescent="0.2">
      <c r="A2149" t="s">
        <v>1571</v>
      </c>
      <c r="B2149" t="s">
        <v>1</v>
      </c>
    </row>
    <row r="2150" spans="1:2" x14ac:dyDescent="0.2">
      <c r="A2150" t="s">
        <v>2113</v>
      </c>
      <c r="B2150" t="s">
        <v>1</v>
      </c>
    </row>
    <row r="2151" spans="1:2" x14ac:dyDescent="0.2">
      <c r="A2151" t="s">
        <v>2114</v>
      </c>
      <c r="B2151" t="s">
        <v>1</v>
      </c>
    </row>
    <row r="2152" spans="1:2" x14ac:dyDescent="0.2">
      <c r="A2152" t="s">
        <v>2115</v>
      </c>
      <c r="B2152" t="s">
        <v>1</v>
      </c>
    </row>
    <row r="2153" spans="1:2" x14ac:dyDescent="0.2">
      <c r="A2153" t="s">
        <v>2116</v>
      </c>
      <c r="B2153" t="s">
        <v>1</v>
      </c>
    </row>
    <row r="2154" spans="1:2" x14ac:dyDescent="0.2">
      <c r="A2154" t="s">
        <v>2117</v>
      </c>
      <c r="B2154" t="s">
        <v>1</v>
      </c>
    </row>
    <row r="2155" spans="1:2" x14ac:dyDescent="0.2">
      <c r="A2155" t="s">
        <v>2115</v>
      </c>
      <c r="B2155" t="s">
        <v>1</v>
      </c>
    </row>
    <row r="2156" spans="1:2" x14ac:dyDescent="0.2">
      <c r="A2156" t="s">
        <v>2116</v>
      </c>
      <c r="B2156" t="s">
        <v>1</v>
      </c>
    </row>
    <row r="2157" spans="1:2" x14ac:dyDescent="0.2">
      <c r="A2157" t="s">
        <v>2117</v>
      </c>
      <c r="B2157" t="s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85BF0-F389-A84A-B109-DF8DFBCAE209}">
  <sheetPr codeName="Sheet6"/>
  <dimension ref="A1:E867"/>
  <sheetViews>
    <sheetView zoomScale="140" zoomScaleNormal="140" workbookViewId="0">
      <selection activeCell="B15" sqref="B15"/>
    </sheetView>
  </sheetViews>
  <sheetFormatPr baseColWidth="10" defaultRowHeight="16" x14ac:dyDescent="0.2"/>
  <cols>
    <col min="1" max="1" width="60.33203125" bestFit="1" customWidth="1"/>
    <col min="2" max="2" width="57.1640625" bestFit="1" customWidth="1"/>
    <col min="3" max="3" width="12.6640625" bestFit="1" customWidth="1"/>
    <col min="4" max="4" width="13" bestFit="1" customWidth="1"/>
    <col min="5" max="5" width="14.33203125" bestFit="1" customWidth="1"/>
  </cols>
  <sheetData>
    <row r="1" spans="1:5" x14ac:dyDescent="0.2">
      <c r="A1" t="s">
        <v>2982</v>
      </c>
      <c r="B1" t="s">
        <v>2984</v>
      </c>
      <c r="C1" t="s">
        <v>2985</v>
      </c>
      <c r="D1" t="s">
        <v>2986</v>
      </c>
      <c r="E1" t="s">
        <v>2990</v>
      </c>
    </row>
    <row r="2" spans="1:5" x14ac:dyDescent="0.2">
      <c r="A2" t="s">
        <v>2118</v>
      </c>
      <c r="B2" t="s">
        <v>1692</v>
      </c>
      <c r="C2" t="s">
        <v>1</v>
      </c>
      <c r="D2">
        <v>0.57142859697341919</v>
      </c>
      <c r="E2" t="s">
        <v>2987</v>
      </c>
    </row>
    <row r="3" spans="1:5" x14ac:dyDescent="0.2">
      <c r="A3" t="s">
        <v>2119</v>
      </c>
      <c r="B3" t="s">
        <v>955</v>
      </c>
      <c r="C3" t="s">
        <v>1</v>
      </c>
      <c r="D3">
        <v>0.65116280317306519</v>
      </c>
      <c r="E3" t="s">
        <v>2987</v>
      </c>
    </row>
    <row r="4" spans="1:5" x14ac:dyDescent="0.2">
      <c r="A4" t="s">
        <v>2120</v>
      </c>
      <c r="B4" t="s">
        <v>470</v>
      </c>
      <c r="C4" t="s">
        <v>0</v>
      </c>
      <c r="D4">
        <v>0.69387757778167725</v>
      </c>
      <c r="E4" t="s">
        <v>2987</v>
      </c>
    </row>
    <row r="5" spans="1:5" x14ac:dyDescent="0.2">
      <c r="A5" t="s">
        <v>2121</v>
      </c>
      <c r="B5" t="s">
        <v>472</v>
      </c>
      <c r="C5" t="s">
        <v>0</v>
      </c>
      <c r="D5">
        <v>0.6808510422706604</v>
      </c>
      <c r="E5" t="s">
        <v>2987</v>
      </c>
    </row>
    <row r="6" spans="1:5" x14ac:dyDescent="0.2">
      <c r="A6" t="s">
        <v>2122</v>
      </c>
      <c r="B6" t="s">
        <v>2988</v>
      </c>
      <c r="C6" t="s">
        <v>2988</v>
      </c>
      <c r="D6">
        <v>0.125</v>
      </c>
      <c r="E6" t="s">
        <v>2987</v>
      </c>
    </row>
    <row r="7" spans="1:5" x14ac:dyDescent="0.2">
      <c r="A7" t="s">
        <v>2123</v>
      </c>
      <c r="B7" t="s">
        <v>2988</v>
      </c>
      <c r="C7" t="s">
        <v>2988</v>
      </c>
      <c r="D7">
        <v>0.1428571492433548</v>
      </c>
      <c r="E7" t="s">
        <v>2987</v>
      </c>
    </row>
    <row r="8" spans="1:5" x14ac:dyDescent="0.2">
      <c r="A8" t="s">
        <v>2124</v>
      </c>
      <c r="B8" t="s">
        <v>2988</v>
      </c>
      <c r="C8" t="s">
        <v>2988</v>
      </c>
      <c r="D8">
        <v>0</v>
      </c>
      <c r="E8" t="s">
        <v>2987</v>
      </c>
    </row>
    <row r="9" spans="1:5" x14ac:dyDescent="0.2">
      <c r="A9" t="s">
        <v>2125</v>
      </c>
      <c r="B9" t="s">
        <v>2988</v>
      </c>
      <c r="C9" t="s">
        <v>2988</v>
      </c>
      <c r="D9">
        <v>0</v>
      </c>
      <c r="E9" t="s">
        <v>2987</v>
      </c>
    </row>
    <row r="10" spans="1:5" x14ac:dyDescent="0.2">
      <c r="A10" t="s">
        <v>2126</v>
      </c>
      <c r="B10" t="s">
        <v>1467</v>
      </c>
      <c r="C10" t="s">
        <v>1</v>
      </c>
      <c r="D10">
        <v>0.4375</v>
      </c>
      <c r="E10" t="s">
        <v>2987</v>
      </c>
    </row>
    <row r="11" spans="1:5" x14ac:dyDescent="0.2">
      <c r="A11" t="s">
        <v>2127</v>
      </c>
      <c r="B11" t="s">
        <v>1366</v>
      </c>
      <c r="C11" t="s">
        <v>1</v>
      </c>
      <c r="D11">
        <v>1</v>
      </c>
      <c r="E11" t="s">
        <v>2987</v>
      </c>
    </row>
    <row r="12" spans="1:5" x14ac:dyDescent="0.2">
      <c r="A12" t="s">
        <v>2128</v>
      </c>
      <c r="B12" t="s">
        <v>1368</v>
      </c>
      <c r="C12" t="s">
        <v>1</v>
      </c>
      <c r="D12">
        <v>0.51724135875701904</v>
      </c>
      <c r="E12" t="s">
        <v>2987</v>
      </c>
    </row>
    <row r="13" spans="1:5" x14ac:dyDescent="0.2">
      <c r="A13" t="s">
        <v>2129</v>
      </c>
      <c r="B13" t="s">
        <v>1368</v>
      </c>
      <c r="C13" t="s">
        <v>1</v>
      </c>
      <c r="D13">
        <v>0.45454546809196472</v>
      </c>
      <c r="E13" t="s">
        <v>2987</v>
      </c>
    </row>
    <row r="14" spans="1:5" x14ac:dyDescent="0.2">
      <c r="A14" t="s">
        <v>2130</v>
      </c>
      <c r="B14" t="s">
        <v>1370</v>
      </c>
      <c r="C14" t="s">
        <v>1</v>
      </c>
      <c r="D14">
        <v>0.51724135875701904</v>
      </c>
      <c r="E14" t="s">
        <v>2987</v>
      </c>
    </row>
    <row r="15" spans="1:5" x14ac:dyDescent="0.2">
      <c r="A15" t="s">
        <v>2131</v>
      </c>
      <c r="B15" t="s">
        <v>1370</v>
      </c>
      <c r="C15" t="s">
        <v>1</v>
      </c>
      <c r="D15">
        <v>0.45454546809196472</v>
      </c>
      <c r="E15" t="s">
        <v>2987</v>
      </c>
    </row>
    <row r="16" spans="1:5" x14ac:dyDescent="0.2">
      <c r="A16" t="s">
        <v>2132</v>
      </c>
      <c r="B16" t="s">
        <v>1377</v>
      </c>
      <c r="C16" t="s">
        <v>0</v>
      </c>
      <c r="D16">
        <v>0.375</v>
      </c>
      <c r="E16" t="s">
        <v>2987</v>
      </c>
    </row>
    <row r="17" spans="1:5" x14ac:dyDescent="0.2">
      <c r="A17" t="s">
        <v>2133</v>
      </c>
      <c r="B17" t="s">
        <v>1938</v>
      </c>
      <c r="C17" t="s">
        <v>1</v>
      </c>
      <c r="D17">
        <v>0.53846156597137451</v>
      </c>
      <c r="E17" t="s">
        <v>2987</v>
      </c>
    </row>
    <row r="18" spans="1:5" x14ac:dyDescent="0.2">
      <c r="A18" t="s">
        <v>2134</v>
      </c>
      <c r="B18" t="s">
        <v>2056</v>
      </c>
      <c r="C18" t="s">
        <v>1</v>
      </c>
      <c r="D18">
        <v>0.37096774578094482</v>
      </c>
      <c r="E18" t="s">
        <v>2987</v>
      </c>
    </row>
    <row r="19" spans="1:5" x14ac:dyDescent="0.2">
      <c r="A19" t="s">
        <v>2135</v>
      </c>
      <c r="B19" t="s">
        <v>1945</v>
      </c>
      <c r="C19" t="s">
        <v>1</v>
      </c>
      <c r="D19">
        <v>0.53846156597137451</v>
      </c>
      <c r="E19" t="s">
        <v>2987</v>
      </c>
    </row>
    <row r="20" spans="1:5" x14ac:dyDescent="0.2">
      <c r="A20" t="s">
        <v>2136</v>
      </c>
      <c r="B20" t="s">
        <v>2988</v>
      </c>
      <c r="C20" t="s">
        <v>2988</v>
      </c>
      <c r="D20">
        <v>0</v>
      </c>
      <c r="E20" t="s">
        <v>2987</v>
      </c>
    </row>
    <row r="21" spans="1:5" x14ac:dyDescent="0.2">
      <c r="A21" t="s">
        <v>2137</v>
      </c>
      <c r="B21" t="s">
        <v>1655</v>
      </c>
      <c r="C21" t="s">
        <v>1</v>
      </c>
      <c r="D21">
        <v>0.45161288976669312</v>
      </c>
      <c r="E21" t="s">
        <v>2987</v>
      </c>
    </row>
    <row r="22" spans="1:5" x14ac:dyDescent="0.2">
      <c r="A22" t="s">
        <v>2138</v>
      </c>
      <c r="B22" t="s">
        <v>1655</v>
      </c>
      <c r="C22" t="s">
        <v>1</v>
      </c>
      <c r="D22">
        <v>0.5</v>
      </c>
      <c r="E22" t="s">
        <v>2987</v>
      </c>
    </row>
    <row r="23" spans="1:5" x14ac:dyDescent="0.2">
      <c r="A23" t="s">
        <v>2139</v>
      </c>
      <c r="B23" t="s">
        <v>2988</v>
      </c>
      <c r="C23" t="s">
        <v>2988</v>
      </c>
      <c r="D23">
        <v>9.0909093618392944E-2</v>
      </c>
      <c r="E23" t="s">
        <v>2987</v>
      </c>
    </row>
    <row r="24" spans="1:5" x14ac:dyDescent="0.2">
      <c r="A24" t="s">
        <v>2140</v>
      </c>
      <c r="B24" t="s">
        <v>2988</v>
      </c>
      <c r="C24" t="s">
        <v>2988</v>
      </c>
      <c r="D24">
        <v>0</v>
      </c>
      <c r="E24" t="s">
        <v>2987</v>
      </c>
    </row>
    <row r="25" spans="1:5" x14ac:dyDescent="0.2">
      <c r="A25" t="s">
        <v>2141</v>
      </c>
      <c r="B25" t="s">
        <v>1026</v>
      </c>
      <c r="C25" t="s">
        <v>0</v>
      </c>
      <c r="D25">
        <v>0.38461539149284363</v>
      </c>
      <c r="E25" t="s">
        <v>2987</v>
      </c>
    </row>
    <row r="26" spans="1:5" x14ac:dyDescent="0.2">
      <c r="A26" t="s">
        <v>2142</v>
      </c>
      <c r="B26" t="s">
        <v>904</v>
      </c>
      <c r="C26" t="s">
        <v>0</v>
      </c>
      <c r="D26">
        <v>0.4444444477558136</v>
      </c>
      <c r="E26" t="s">
        <v>2987</v>
      </c>
    </row>
    <row r="27" spans="1:5" x14ac:dyDescent="0.2">
      <c r="A27" t="s">
        <v>2143</v>
      </c>
      <c r="B27" t="s">
        <v>814</v>
      </c>
      <c r="C27" t="s">
        <v>0</v>
      </c>
      <c r="D27">
        <v>1</v>
      </c>
      <c r="E27" t="s">
        <v>2987</v>
      </c>
    </row>
    <row r="28" spans="1:5" x14ac:dyDescent="0.2">
      <c r="A28" t="s">
        <v>2144</v>
      </c>
      <c r="B28" t="s">
        <v>1467</v>
      </c>
      <c r="C28" t="s">
        <v>1</v>
      </c>
      <c r="D28">
        <v>1</v>
      </c>
      <c r="E28" t="s">
        <v>2987</v>
      </c>
    </row>
    <row r="29" spans="1:5" x14ac:dyDescent="0.2">
      <c r="A29" t="s">
        <v>2145</v>
      </c>
      <c r="B29" t="s">
        <v>816</v>
      </c>
      <c r="C29" t="s">
        <v>0</v>
      </c>
      <c r="D29">
        <v>1</v>
      </c>
      <c r="E29" t="s">
        <v>2987</v>
      </c>
    </row>
    <row r="30" spans="1:5" x14ac:dyDescent="0.2">
      <c r="A30" t="s">
        <v>2146</v>
      </c>
      <c r="B30" t="s">
        <v>2988</v>
      </c>
      <c r="C30" t="s">
        <v>2988</v>
      </c>
      <c r="D30">
        <v>0</v>
      </c>
      <c r="E30" t="s">
        <v>2987</v>
      </c>
    </row>
    <row r="31" spans="1:5" x14ac:dyDescent="0.2">
      <c r="A31" t="s">
        <v>2147</v>
      </c>
      <c r="B31" t="s">
        <v>1585</v>
      </c>
      <c r="C31" t="s">
        <v>1</v>
      </c>
      <c r="D31">
        <v>0.56140351295471191</v>
      </c>
      <c r="E31" t="s">
        <v>2987</v>
      </c>
    </row>
    <row r="32" spans="1:5" x14ac:dyDescent="0.2">
      <c r="A32" t="s">
        <v>2148</v>
      </c>
      <c r="B32" t="s">
        <v>990</v>
      </c>
      <c r="C32" t="s">
        <v>1</v>
      </c>
      <c r="D32">
        <v>0.35294118523597717</v>
      </c>
      <c r="E32" t="s">
        <v>2987</v>
      </c>
    </row>
    <row r="33" spans="1:5" x14ac:dyDescent="0.2">
      <c r="A33" t="s">
        <v>2149</v>
      </c>
      <c r="B33" t="s">
        <v>1257</v>
      </c>
      <c r="C33" t="s">
        <v>1</v>
      </c>
      <c r="D33">
        <v>0.44186046719551086</v>
      </c>
      <c r="E33" t="s">
        <v>2987</v>
      </c>
    </row>
    <row r="34" spans="1:5" x14ac:dyDescent="0.2">
      <c r="A34" t="s">
        <v>2150</v>
      </c>
      <c r="B34" t="s">
        <v>1690</v>
      </c>
      <c r="C34" t="s">
        <v>1</v>
      </c>
      <c r="D34">
        <v>0.36363637447357178</v>
      </c>
      <c r="E34" t="s">
        <v>2987</v>
      </c>
    </row>
    <row r="35" spans="1:5" x14ac:dyDescent="0.2">
      <c r="A35" t="s">
        <v>2151</v>
      </c>
      <c r="B35" t="s">
        <v>714</v>
      </c>
      <c r="C35" t="s">
        <v>0</v>
      </c>
      <c r="D35">
        <v>0.46428570151329041</v>
      </c>
      <c r="E35" t="s">
        <v>2987</v>
      </c>
    </row>
    <row r="36" spans="1:5" x14ac:dyDescent="0.2">
      <c r="A36" t="s">
        <v>2152</v>
      </c>
      <c r="B36" t="s">
        <v>2988</v>
      </c>
      <c r="C36" t="s">
        <v>2988</v>
      </c>
      <c r="D36">
        <v>0.10000000149011612</v>
      </c>
      <c r="E36" t="s">
        <v>2987</v>
      </c>
    </row>
    <row r="37" spans="1:5" x14ac:dyDescent="0.2">
      <c r="A37" t="s">
        <v>2153</v>
      </c>
      <c r="B37" t="s">
        <v>701</v>
      </c>
      <c r="C37" t="s">
        <v>1</v>
      </c>
      <c r="D37">
        <v>0.57142859697341919</v>
      </c>
      <c r="E37" t="s">
        <v>2987</v>
      </c>
    </row>
    <row r="38" spans="1:5" x14ac:dyDescent="0.2">
      <c r="A38" t="s">
        <v>2154</v>
      </c>
      <c r="B38" t="s">
        <v>2988</v>
      </c>
      <c r="C38" t="s">
        <v>2988</v>
      </c>
      <c r="D38">
        <v>6.25E-2</v>
      </c>
      <c r="E38" t="s">
        <v>2987</v>
      </c>
    </row>
    <row r="39" spans="1:5" x14ac:dyDescent="0.2">
      <c r="A39" t="s">
        <v>2155</v>
      </c>
      <c r="B39" t="s">
        <v>844</v>
      </c>
      <c r="C39" t="s">
        <v>0</v>
      </c>
      <c r="D39">
        <v>1</v>
      </c>
      <c r="E39" t="s">
        <v>2987</v>
      </c>
    </row>
    <row r="40" spans="1:5" x14ac:dyDescent="0.2">
      <c r="A40" t="s">
        <v>2156</v>
      </c>
      <c r="B40" t="s">
        <v>820</v>
      </c>
      <c r="C40" t="s">
        <v>0</v>
      </c>
      <c r="D40">
        <v>1</v>
      </c>
      <c r="E40" t="s">
        <v>2987</v>
      </c>
    </row>
    <row r="41" spans="1:5" x14ac:dyDescent="0.2">
      <c r="A41" t="s">
        <v>2157</v>
      </c>
      <c r="B41" t="s">
        <v>703</v>
      </c>
      <c r="C41" t="s">
        <v>1</v>
      </c>
      <c r="D41">
        <v>0.5517241358757019</v>
      </c>
      <c r="E41" t="s">
        <v>2987</v>
      </c>
    </row>
    <row r="42" spans="1:5" x14ac:dyDescent="0.2">
      <c r="A42" t="s">
        <v>2158</v>
      </c>
      <c r="B42" t="s">
        <v>1574</v>
      </c>
      <c r="C42" t="s">
        <v>1</v>
      </c>
      <c r="D42">
        <v>0.5</v>
      </c>
      <c r="E42" t="s">
        <v>2987</v>
      </c>
    </row>
    <row r="43" spans="1:5" x14ac:dyDescent="0.2">
      <c r="A43" t="s">
        <v>2159</v>
      </c>
      <c r="B43" t="s">
        <v>1690</v>
      </c>
      <c r="C43" t="s">
        <v>1</v>
      </c>
      <c r="D43">
        <v>0.60000002384185791</v>
      </c>
      <c r="E43" t="s">
        <v>2987</v>
      </c>
    </row>
    <row r="44" spans="1:5" x14ac:dyDescent="0.2">
      <c r="A44" t="s">
        <v>2160</v>
      </c>
      <c r="B44" t="s">
        <v>1377</v>
      </c>
      <c r="C44" t="s">
        <v>0</v>
      </c>
      <c r="D44">
        <v>0.52941179275512695</v>
      </c>
      <c r="E44" t="s">
        <v>2987</v>
      </c>
    </row>
    <row r="45" spans="1:5" x14ac:dyDescent="0.2">
      <c r="A45" t="s">
        <v>2161</v>
      </c>
      <c r="B45" t="s">
        <v>1976</v>
      </c>
      <c r="C45" t="s">
        <v>1</v>
      </c>
      <c r="D45">
        <v>0.62068963050842285</v>
      </c>
      <c r="E45" t="s">
        <v>2987</v>
      </c>
    </row>
    <row r="46" spans="1:5" x14ac:dyDescent="0.2">
      <c r="A46" t="s">
        <v>2162</v>
      </c>
      <c r="B46" t="s">
        <v>1377</v>
      </c>
      <c r="C46" t="s">
        <v>0</v>
      </c>
      <c r="D46">
        <v>1</v>
      </c>
      <c r="E46" t="s">
        <v>2987</v>
      </c>
    </row>
    <row r="47" spans="1:5" x14ac:dyDescent="0.2">
      <c r="A47" t="s">
        <v>2163</v>
      </c>
      <c r="B47" t="s">
        <v>302</v>
      </c>
      <c r="C47" t="s">
        <v>0</v>
      </c>
      <c r="D47">
        <v>0.55555558204650879</v>
      </c>
      <c r="E47" t="s">
        <v>2987</v>
      </c>
    </row>
    <row r="48" spans="1:5" x14ac:dyDescent="0.2">
      <c r="A48" t="s">
        <v>2164</v>
      </c>
      <c r="B48" t="s">
        <v>1374</v>
      </c>
      <c r="C48" t="s">
        <v>1</v>
      </c>
      <c r="D48">
        <v>0.47368422150611877</v>
      </c>
      <c r="E48" t="s">
        <v>2987</v>
      </c>
    </row>
    <row r="49" spans="1:5" x14ac:dyDescent="0.2">
      <c r="A49" t="s">
        <v>2165</v>
      </c>
      <c r="B49" t="s">
        <v>1374</v>
      </c>
      <c r="C49" t="s">
        <v>1</v>
      </c>
      <c r="D49">
        <v>0.48648649454116821</v>
      </c>
      <c r="E49" t="s">
        <v>2987</v>
      </c>
    </row>
    <row r="50" spans="1:5" x14ac:dyDescent="0.2">
      <c r="A50" t="s">
        <v>2166</v>
      </c>
      <c r="B50" t="s">
        <v>1761</v>
      </c>
      <c r="C50" t="s">
        <v>1</v>
      </c>
      <c r="D50">
        <v>0.46153846383094788</v>
      </c>
      <c r="E50" t="s">
        <v>2987</v>
      </c>
    </row>
    <row r="51" spans="1:5" x14ac:dyDescent="0.2">
      <c r="A51" t="s">
        <v>2167</v>
      </c>
      <c r="B51" t="s">
        <v>1803</v>
      </c>
      <c r="C51" t="s">
        <v>1</v>
      </c>
      <c r="D51">
        <v>0.5151515007019043</v>
      </c>
      <c r="E51" t="s">
        <v>2987</v>
      </c>
    </row>
    <row r="52" spans="1:5" x14ac:dyDescent="0.2">
      <c r="A52" t="s">
        <v>2168</v>
      </c>
      <c r="B52" t="s">
        <v>2036</v>
      </c>
      <c r="C52" t="s">
        <v>1</v>
      </c>
      <c r="D52">
        <v>0.40000000596046448</v>
      </c>
      <c r="E52" t="s">
        <v>2987</v>
      </c>
    </row>
    <row r="53" spans="1:5" x14ac:dyDescent="0.2">
      <c r="A53" t="s">
        <v>2169</v>
      </c>
      <c r="B53" t="s">
        <v>2988</v>
      </c>
      <c r="C53" t="s">
        <v>2988</v>
      </c>
      <c r="D53">
        <v>0</v>
      </c>
      <c r="E53" t="s">
        <v>2987</v>
      </c>
    </row>
    <row r="54" spans="1:5" x14ac:dyDescent="0.2">
      <c r="A54" t="s">
        <v>2170</v>
      </c>
      <c r="B54" t="s">
        <v>2988</v>
      </c>
      <c r="C54" t="s">
        <v>2988</v>
      </c>
      <c r="D54">
        <v>0.125</v>
      </c>
      <c r="E54" t="s">
        <v>2987</v>
      </c>
    </row>
    <row r="55" spans="1:5" x14ac:dyDescent="0.2">
      <c r="A55" t="s">
        <v>2171</v>
      </c>
      <c r="B55" t="s">
        <v>689</v>
      </c>
      <c r="C55" t="s">
        <v>0</v>
      </c>
      <c r="D55">
        <v>0.5</v>
      </c>
      <c r="E55" t="s">
        <v>2987</v>
      </c>
    </row>
    <row r="56" spans="1:5" x14ac:dyDescent="0.2">
      <c r="A56" t="s">
        <v>2172</v>
      </c>
      <c r="B56" t="s">
        <v>302</v>
      </c>
      <c r="C56" t="s">
        <v>0</v>
      </c>
      <c r="D56">
        <v>0.375</v>
      </c>
      <c r="E56" t="s">
        <v>2987</v>
      </c>
    </row>
    <row r="57" spans="1:5" x14ac:dyDescent="0.2">
      <c r="A57" t="s">
        <v>2173</v>
      </c>
      <c r="B57" t="s">
        <v>1657</v>
      </c>
      <c r="C57" t="s">
        <v>1</v>
      </c>
      <c r="D57">
        <v>0.41463413834571838</v>
      </c>
      <c r="E57" t="s">
        <v>2987</v>
      </c>
    </row>
    <row r="58" spans="1:5" x14ac:dyDescent="0.2">
      <c r="A58" t="s">
        <v>2174</v>
      </c>
      <c r="B58" t="s">
        <v>493</v>
      </c>
      <c r="C58" t="s">
        <v>1</v>
      </c>
      <c r="D58">
        <v>0.57142859697341919</v>
      </c>
      <c r="E58" t="s">
        <v>2987</v>
      </c>
    </row>
    <row r="59" spans="1:5" x14ac:dyDescent="0.2">
      <c r="A59" t="s">
        <v>2175</v>
      </c>
      <c r="B59" t="s">
        <v>395</v>
      </c>
      <c r="C59" t="s">
        <v>1</v>
      </c>
      <c r="D59">
        <v>0.4285714328289032</v>
      </c>
      <c r="E59" t="s">
        <v>2987</v>
      </c>
    </row>
    <row r="60" spans="1:5" x14ac:dyDescent="0.2">
      <c r="A60" t="s">
        <v>2176</v>
      </c>
      <c r="B60" t="s">
        <v>2988</v>
      </c>
      <c r="C60" t="s">
        <v>2988</v>
      </c>
      <c r="D60">
        <v>4.1666667908430099E-2</v>
      </c>
      <c r="E60" t="s">
        <v>2987</v>
      </c>
    </row>
    <row r="61" spans="1:5" x14ac:dyDescent="0.2">
      <c r="A61" t="s">
        <v>2177</v>
      </c>
      <c r="B61" t="s">
        <v>1376</v>
      </c>
      <c r="C61" t="s">
        <v>1</v>
      </c>
      <c r="D61">
        <v>0.5517241358757019</v>
      </c>
      <c r="E61" t="s">
        <v>2987</v>
      </c>
    </row>
    <row r="62" spans="1:5" x14ac:dyDescent="0.2">
      <c r="A62" t="s">
        <v>2178</v>
      </c>
      <c r="B62" t="s">
        <v>1371</v>
      </c>
      <c r="C62" t="s">
        <v>0</v>
      </c>
      <c r="D62">
        <v>0.57142859697341919</v>
      </c>
      <c r="E62" t="s">
        <v>2987</v>
      </c>
    </row>
    <row r="63" spans="1:5" x14ac:dyDescent="0.2">
      <c r="A63" t="s">
        <v>2179</v>
      </c>
      <c r="B63" t="s">
        <v>2988</v>
      </c>
      <c r="C63" t="s">
        <v>2988</v>
      </c>
      <c r="D63">
        <v>0</v>
      </c>
      <c r="E63" t="s">
        <v>2987</v>
      </c>
    </row>
    <row r="64" spans="1:5" x14ac:dyDescent="0.2">
      <c r="A64" t="s">
        <v>2180</v>
      </c>
      <c r="B64" t="s">
        <v>959</v>
      </c>
      <c r="C64" t="s">
        <v>1</v>
      </c>
      <c r="D64">
        <v>0.76190477609634399</v>
      </c>
      <c r="E64" t="s">
        <v>2987</v>
      </c>
    </row>
    <row r="65" spans="1:5" x14ac:dyDescent="0.2">
      <c r="A65" t="s">
        <v>2181</v>
      </c>
      <c r="B65" t="s">
        <v>959</v>
      </c>
      <c r="C65" t="s">
        <v>1</v>
      </c>
      <c r="D65">
        <v>0.88461536169052124</v>
      </c>
      <c r="E65" t="s">
        <v>2987</v>
      </c>
    </row>
    <row r="66" spans="1:5" x14ac:dyDescent="0.2">
      <c r="A66" t="s">
        <v>2182</v>
      </c>
      <c r="B66" t="s">
        <v>959</v>
      </c>
      <c r="C66" t="s">
        <v>1</v>
      </c>
      <c r="D66">
        <v>0.66666668653488159</v>
      </c>
      <c r="E66" t="s">
        <v>2987</v>
      </c>
    </row>
    <row r="67" spans="1:5" x14ac:dyDescent="0.2">
      <c r="A67" t="s">
        <v>2183</v>
      </c>
      <c r="B67" t="s">
        <v>436</v>
      </c>
      <c r="C67" t="s">
        <v>0</v>
      </c>
      <c r="D67">
        <v>0.625</v>
      </c>
      <c r="E67" t="s">
        <v>2987</v>
      </c>
    </row>
    <row r="68" spans="1:5" x14ac:dyDescent="0.2">
      <c r="A68" t="s">
        <v>2184</v>
      </c>
      <c r="B68" t="s">
        <v>476</v>
      </c>
      <c r="C68" t="s">
        <v>0</v>
      </c>
      <c r="D68">
        <v>0.55555558204650879</v>
      </c>
      <c r="E68" t="s">
        <v>2987</v>
      </c>
    </row>
    <row r="69" spans="1:5" x14ac:dyDescent="0.2">
      <c r="A69" t="s">
        <v>2185</v>
      </c>
      <c r="B69" t="s">
        <v>1576</v>
      </c>
      <c r="C69" t="s">
        <v>1</v>
      </c>
      <c r="D69">
        <v>0.72000002861022949</v>
      </c>
      <c r="E69" t="s">
        <v>2987</v>
      </c>
    </row>
    <row r="70" spans="1:5" x14ac:dyDescent="0.2">
      <c r="A70" t="s">
        <v>2186</v>
      </c>
      <c r="B70" t="s">
        <v>2988</v>
      </c>
      <c r="C70" t="s">
        <v>2988</v>
      </c>
      <c r="D70">
        <v>0</v>
      </c>
      <c r="E70" t="s">
        <v>2987</v>
      </c>
    </row>
    <row r="71" spans="1:5" x14ac:dyDescent="0.2">
      <c r="A71" t="s">
        <v>2187</v>
      </c>
      <c r="B71" t="s">
        <v>1578</v>
      </c>
      <c r="C71" t="s">
        <v>1</v>
      </c>
      <c r="D71">
        <v>0.68181818723678589</v>
      </c>
      <c r="E71" t="s">
        <v>2987</v>
      </c>
    </row>
    <row r="72" spans="1:5" x14ac:dyDescent="0.2">
      <c r="A72" t="s">
        <v>2188</v>
      </c>
      <c r="B72" t="s">
        <v>2988</v>
      </c>
      <c r="C72" t="s">
        <v>2988</v>
      </c>
      <c r="D72">
        <v>0.1111111119389534</v>
      </c>
      <c r="E72" t="s">
        <v>2987</v>
      </c>
    </row>
    <row r="73" spans="1:5" x14ac:dyDescent="0.2">
      <c r="A73" t="s">
        <v>2189</v>
      </c>
      <c r="B73" t="s">
        <v>490</v>
      </c>
      <c r="C73" t="s">
        <v>0</v>
      </c>
      <c r="D73">
        <v>1</v>
      </c>
      <c r="E73" t="s">
        <v>2987</v>
      </c>
    </row>
    <row r="74" spans="1:5" x14ac:dyDescent="0.2">
      <c r="A74" t="s">
        <v>2190</v>
      </c>
      <c r="B74" t="s">
        <v>1579</v>
      </c>
      <c r="C74" t="s">
        <v>1</v>
      </c>
      <c r="D74">
        <v>0.62857145071029663</v>
      </c>
      <c r="E74" t="s">
        <v>2987</v>
      </c>
    </row>
    <row r="75" spans="1:5" x14ac:dyDescent="0.2">
      <c r="A75" t="s">
        <v>2191</v>
      </c>
      <c r="B75" t="s">
        <v>894</v>
      </c>
      <c r="C75" t="s">
        <v>0</v>
      </c>
      <c r="D75">
        <v>0.5</v>
      </c>
      <c r="E75" t="s">
        <v>2987</v>
      </c>
    </row>
    <row r="76" spans="1:5" x14ac:dyDescent="0.2">
      <c r="A76" t="s">
        <v>2192</v>
      </c>
      <c r="B76" t="s">
        <v>361</v>
      </c>
      <c r="C76" t="s">
        <v>0</v>
      </c>
      <c r="D76">
        <v>0.5</v>
      </c>
      <c r="E76" t="s">
        <v>2987</v>
      </c>
    </row>
    <row r="77" spans="1:5" x14ac:dyDescent="0.2">
      <c r="A77" t="s">
        <v>2193</v>
      </c>
      <c r="B77" t="s">
        <v>2988</v>
      </c>
      <c r="C77" t="s">
        <v>2988</v>
      </c>
      <c r="D77">
        <v>0</v>
      </c>
      <c r="E77" t="s">
        <v>2987</v>
      </c>
    </row>
    <row r="78" spans="1:5" x14ac:dyDescent="0.2">
      <c r="A78" t="s">
        <v>2194</v>
      </c>
      <c r="B78" t="s">
        <v>1783</v>
      </c>
      <c r="C78" t="s">
        <v>1</v>
      </c>
      <c r="D78">
        <v>0.51351350545883179</v>
      </c>
      <c r="E78" t="s">
        <v>2987</v>
      </c>
    </row>
    <row r="79" spans="1:5" x14ac:dyDescent="0.2">
      <c r="A79" t="s">
        <v>2195</v>
      </c>
      <c r="B79" t="s">
        <v>705</v>
      </c>
      <c r="C79" t="s">
        <v>1</v>
      </c>
      <c r="D79">
        <v>0.47368422150611877</v>
      </c>
      <c r="E79" t="s">
        <v>2987</v>
      </c>
    </row>
    <row r="80" spans="1:5" x14ac:dyDescent="0.2">
      <c r="A80" t="s">
        <v>2196</v>
      </c>
      <c r="B80" t="s">
        <v>1913</v>
      </c>
      <c r="C80" t="s">
        <v>1</v>
      </c>
      <c r="D80">
        <v>0.45161288976669312</v>
      </c>
      <c r="E80" t="s">
        <v>2987</v>
      </c>
    </row>
    <row r="81" spans="1:5" x14ac:dyDescent="0.2">
      <c r="A81" t="s">
        <v>2197</v>
      </c>
      <c r="B81" t="s">
        <v>2988</v>
      </c>
      <c r="C81" t="s">
        <v>2988</v>
      </c>
      <c r="D81">
        <v>0.1428571492433548</v>
      </c>
      <c r="E81" t="s">
        <v>2987</v>
      </c>
    </row>
    <row r="82" spans="1:5" x14ac:dyDescent="0.2">
      <c r="A82" t="s">
        <v>2198</v>
      </c>
      <c r="B82" t="s">
        <v>2988</v>
      </c>
      <c r="C82" t="s">
        <v>2988</v>
      </c>
      <c r="D82">
        <v>0.10000000149011612</v>
      </c>
      <c r="E82" t="s">
        <v>2987</v>
      </c>
    </row>
    <row r="83" spans="1:5" x14ac:dyDescent="0.2">
      <c r="A83" t="s">
        <v>2199</v>
      </c>
      <c r="B83" t="s">
        <v>2988</v>
      </c>
      <c r="C83" t="s">
        <v>2988</v>
      </c>
      <c r="D83">
        <v>3.9999999105930328E-2</v>
      </c>
      <c r="E83" t="s">
        <v>2987</v>
      </c>
    </row>
    <row r="84" spans="1:5" x14ac:dyDescent="0.2">
      <c r="A84" t="s">
        <v>2200</v>
      </c>
      <c r="B84" t="s">
        <v>302</v>
      </c>
      <c r="C84" t="s">
        <v>0</v>
      </c>
      <c r="D84">
        <v>0.4444444477558136</v>
      </c>
      <c r="E84" t="s">
        <v>2987</v>
      </c>
    </row>
    <row r="85" spans="1:5" x14ac:dyDescent="0.2">
      <c r="A85" t="s">
        <v>2201</v>
      </c>
      <c r="B85" t="s">
        <v>1766</v>
      </c>
      <c r="C85" t="s">
        <v>1</v>
      </c>
      <c r="D85">
        <v>0.4117647111415863</v>
      </c>
      <c r="E85" t="s">
        <v>2987</v>
      </c>
    </row>
    <row r="86" spans="1:5" x14ac:dyDescent="0.2">
      <c r="A86" t="s">
        <v>2202</v>
      </c>
      <c r="B86" t="s">
        <v>1766</v>
      </c>
      <c r="C86" t="s">
        <v>1</v>
      </c>
      <c r="D86">
        <v>0.42424243688583374</v>
      </c>
      <c r="E86" t="s">
        <v>2987</v>
      </c>
    </row>
    <row r="87" spans="1:5" x14ac:dyDescent="0.2">
      <c r="A87" t="s">
        <v>2203</v>
      </c>
      <c r="B87" t="s">
        <v>1766</v>
      </c>
      <c r="C87" t="s">
        <v>1</v>
      </c>
      <c r="D87">
        <v>0.42424243688583374</v>
      </c>
      <c r="E87" t="s">
        <v>2987</v>
      </c>
    </row>
    <row r="88" spans="1:5" x14ac:dyDescent="0.2">
      <c r="A88" t="s">
        <v>2204</v>
      </c>
      <c r="B88" t="s">
        <v>2988</v>
      </c>
      <c r="C88" t="s">
        <v>2988</v>
      </c>
      <c r="D88">
        <v>0</v>
      </c>
      <c r="E88" t="s">
        <v>2987</v>
      </c>
    </row>
    <row r="89" spans="1:5" x14ac:dyDescent="0.2">
      <c r="A89" t="s">
        <v>2205</v>
      </c>
      <c r="B89" t="s">
        <v>1784</v>
      </c>
      <c r="C89" t="s">
        <v>1</v>
      </c>
      <c r="D89">
        <v>0.40425533056259155</v>
      </c>
      <c r="E89" t="s">
        <v>2987</v>
      </c>
    </row>
    <row r="90" spans="1:5" x14ac:dyDescent="0.2">
      <c r="A90" t="s">
        <v>2206</v>
      </c>
      <c r="B90" t="s">
        <v>1784</v>
      </c>
      <c r="C90" t="s">
        <v>1</v>
      </c>
      <c r="D90">
        <v>0.4117647111415863</v>
      </c>
      <c r="E90" t="s">
        <v>2987</v>
      </c>
    </row>
    <row r="91" spans="1:5" x14ac:dyDescent="0.2">
      <c r="A91" t="s">
        <v>2207</v>
      </c>
      <c r="B91" t="s">
        <v>344</v>
      </c>
      <c r="C91" t="s">
        <v>0</v>
      </c>
      <c r="D91">
        <v>0.375</v>
      </c>
      <c r="E91" t="s">
        <v>2987</v>
      </c>
    </row>
    <row r="92" spans="1:5" x14ac:dyDescent="0.2">
      <c r="A92" t="s">
        <v>2208</v>
      </c>
      <c r="B92" t="s">
        <v>120</v>
      </c>
      <c r="C92" t="s">
        <v>0</v>
      </c>
      <c r="D92">
        <v>0.60000002384185791</v>
      </c>
      <c r="E92" t="s">
        <v>2987</v>
      </c>
    </row>
    <row r="93" spans="1:5" x14ac:dyDescent="0.2">
      <c r="A93" t="s">
        <v>2209</v>
      </c>
      <c r="B93" t="s">
        <v>816</v>
      </c>
      <c r="C93" t="s">
        <v>0</v>
      </c>
      <c r="D93">
        <v>0.5</v>
      </c>
      <c r="E93" t="s">
        <v>2987</v>
      </c>
    </row>
    <row r="94" spans="1:5" x14ac:dyDescent="0.2">
      <c r="A94" t="s">
        <v>2210</v>
      </c>
      <c r="B94" t="s">
        <v>2002</v>
      </c>
      <c r="C94" t="s">
        <v>1</v>
      </c>
      <c r="D94">
        <v>0.69444441795349121</v>
      </c>
      <c r="E94" t="s">
        <v>2987</v>
      </c>
    </row>
    <row r="95" spans="1:5" x14ac:dyDescent="0.2">
      <c r="A95" t="s">
        <v>2211</v>
      </c>
      <c r="B95" t="s">
        <v>2002</v>
      </c>
      <c r="C95" t="s">
        <v>1</v>
      </c>
      <c r="D95">
        <v>0.58823531866073608</v>
      </c>
      <c r="E95" t="s">
        <v>2987</v>
      </c>
    </row>
    <row r="96" spans="1:5" x14ac:dyDescent="0.2">
      <c r="A96" t="s">
        <v>2212</v>
      </c>
      <c r="B96" t="s">
        <v>1785</v>
      </c>
      <c r="C96" t="s">
        <v>1</v>
      </c>
      <c r="D96">
        <v>0.44999998807907104</v>
      </c>
      <c r="E96" t="s">
        <v>2987</v>
      </c>
    </row>
    <row r="97" spans="1:5" x14ac:dyDescent="0.2">
      <c r="A97" t="s">
        <v>2213</v>
      </c>
      <c r="B97" t="s">
        <v>397</v>
      </c>
      <c r="C97" t="s">
        <v>1</v>
      </c>
      <c r="D97">
        <v>0.40909090638160706</v>
      </c>
      <c r="E97" t="s">
        <v>2987</v>
      </c>
    </row>
    <row r="98" spans="1:5" x14ac:dyDescent="0.2">
      <c r="A98" t="s">
        <v>2214</v>
      </c>
      <c r="B98" t="s">
        <v>397</v>
      </c>
      <c r="C98" t="s">
        <v>1</v>
      </c>
      <c r="D98">
        <v>0.4375</v>
      </c>
      <c r="E98" t="s">
        <v>2987</v>
      </c>
    </row>
    <row r="99" spans="1:5" x14ac:dyDescent="0.2">
      <c r="A99" t="s">
        <v>2215</v>
      </c>
      <c r="B99" t="s">
        <v>1604</v>
      </c>
      <c r="C99" t="s">
        <v>1</v>
      </c>
      <c r="D99">
        <v>0.60000002384185791</v>
      </c>
      <c r="E99" t="s">
        <v>2987</v>
      </c>
    </row>
    <row r="100" spans="1:5" x14ac:dyDescent="0.2">
      <c r="A100" t="s">
        <v>2216</v>
      </c>
      <c r="B100" t="s">
        <v>1658</v>
      </c>
      <c r="C100" t="s">
        <v>1</v>
      </c>
      <c r="D100">
        <v>0.4883720874786377</v>
      </c>
      <c r="E100" t="s">
        <v>2987</v>
      </c>
    </row>
    <row r="101" spans="1:5" x14ac:dyDescent="0.2">
      <c r="A101" t="s">
        <v>2217</v>
      </c>
      <c r="B101" t="s">
        <v>2988</v>
      </c>
      <c r="C101" t="s">
        <v>2988</v>
      </c>
      <c r="D101">
        <v>0</v>
      </c>
      <c r="E101" t="s">
        <v>2987</v>
      </c>
    </row>
    <row r="102" spans="1:5" x14ac:dyDescent="0.2">
      <c r="A102" t="s">
        <v>2218</v>
      </c>
      <c r="B102" t="s">
        <v>88</v>
      </c>
      <c r="C102" t="s">
        <v>0</v>
      </c>
      <c r="D102">
        <v>1</v>
      </c>
      <c r="E102" t="s">
        <v>2987</v>
      </c>
    </row>
    <row r="103" spans="1:5" x14ac:dyDescent="0.2">
      <c r="A103" t="s">
        <v>2219</v>
      </c>
      <c r="B103" t="s">
        <v>846</v>
      </c>
      <c r="C103" t="s">
        <v>0</v>
      </c>
      <c r="D103">
        <v>1</v>
      </c>
      <c r="E103" t="s">
        <v>2987</v>
      </c>
    </row>
    <row r="104" spans="1:5" x14ac:dyDescent="0.2">
      <c r="A104" t="s">
        <v>2220</v>
      </c>
      <c r="B104" t="s">
        <v>2988</v>
      </c>
      <c r="C104" t="s">
        <v>2988</v>
      </c>
      <c r="D104">
        <v>0.25</v>
      </c>
      <c r="E104" t="s">
        <v>2987</v>
      </c>
    </row>
    <row r="105" spans="1:5" x14ac:dyDescent="0.2">
      <c r="A105" t="s">
        <v>2221</v>
      </c>
      <c r="B105" t="s">
        <v>2988</v>
      </c>
      <c r="C105" t="s">
        <v>2988</v>
      </c>
      <c r="D105">
        <v>8.3333335816860199E-2</v>
      </c>
      <c r="E105" t="s">
        <v>2987</v>
      </c>
    </row>
    <row r="106" spans="1:5" x14ac:dyDescent="0.2">
      <c r="A106" t="s">
        <v>2222</v>
      </c>
      <c r="B106" t="s">
        <v>1120</v>
      </c>
      <c r="C106" t="s">
        <v>1</v>
      </c>
      <c r="D106">
        <v>0.61538463830947876</v>
      </c>
      <c r="E106" t="s">
        <v>2987</v>
      </c>
    </row>
    <row r="107" spans="1:5" x14ac:dyDescent="0.2">
      <c r="A107" t="s">
        <v>2223</v>
      </c>
      <c r="B107" t="s">
        <v>1122</v>
      </c>
      <c r="C107" t="s">
        <v>1</v>
      </c>
      <c r="D107">
        <v>0.6875</v>
      </c>
      <c r="E107" t="s">
        <v>2987</v>
      </c>
    </row>
    <row r="108" spans="1:5" x14ac:dyDescent="0.2">
      <c r="A108" t="s">
        <v>2224</v>
      </c>
      <c r="B108" t="s">
        <v>846</v>
      </c>
      <c r="C108" t="s">
        <v>0</v>
      </c>
      <c r="D108">
        <v>0.4285714328289032</v>
      </c>
      <c r="E108" t="s">
        <v>2987</v>
      </c>
    </row>
    <row r="109" spans="1:5" x14ac:dyDescent="0.2">
      <c r="A109" t="s">
        <v>2225</v>
      </c>
      <c r="B109" t="s">
        <v>1231</v>
      </c>
      <c r="C109" t="s">
        <v>1</v>
      </c>
      <c r="D109">
        <v>0.5625</v>
      </c>
      <c r="E109" t="s">
        <v>2987</v>
      </c>
    </row>
    <row r="110" spans="1:5" x14ac:dyDescent="0.2">
      <c r="A110" t="s">
        <v>2226</v>
      </c>
      <c r="B110" t="s">
        <v>436</v>
      </c>
      <c r="C110" t="s">
        <v>0</v>
      </c>
      <c r="D110">
        <v>0.375</v>
      </c>
      <c r="E110" t="s">
        <v>2987</v>
      </c>
    </row>
    <row r="111" spans="1:5" x14ac:dyDescent="0.2">
      <c r="A111" t="s">
        <v>2227</v>
      </c>
      <c r="B111" t="s">
        <v>1378</v>
      </c>
      <c r="C111" t="s">
        <v>1</v>
      </c>
      <c r="D111">
        <v>0.42424243688583374</v>
      </c>
      <c r="E111" t="s">
        <v>2987</v>
      </c>
    </row>
    <row r="112" spans="1:5" x14ac:dyDescent="0.2">
      <c r="A112" t="s">
        <v>2228</v>
      </c>
      <c r="B112" t="s">
        <v>2988</v>
      </c>
      <c r="C112" t="s">
        <v>2988</v>
      </c>
      <c r="D112">
        <v>0.10000000149011612</v>
      </c>
      <c r="E112" t="s">
        <v>2987</v>
      </c>
    </row>
    <row r="113" spans="1:5" x14ac:dyDescent="0.2">
      <c r="A113" t="s">
        <v>2229</v>
      </c>
      <c r="B113" t="s">
        <v>2988</v>
      </c>
      <c r="C113" t="s">
        <v>2988</v>
      </c>
      <c r="D113">
        <v>5.8823529630899429E-2</v>
      </c>
      <c r="E113" t="s">
        <v>2987</v>
      </c>
    </row>
    <row r="114" spans="1:5" x14ac:dyDescent="0.2">
      <c r="A114" t="s">
        <v>2230</v>
      </c>
      <c r="B114" t="s">
        <v>1379</v>
      </c>
      <c r="C114" t="s">
        <v>0</v>
      </c>
      <c r="D114">
        <v>1</v>
      </c>
      <c r="E114" t="s">
        <v>2987</v>
      </c>
    </row>
    <row r="115" spans="1:5" x14ac:dyDescent="0.2">
      <c r="A115" t="s">
        <v>2231</v>
      </c>
      <c r="B115" t="s">
        <v>2988</v>
      </c>
      <c r="C115" t="s">
        <v>2988</v>
      </c>
      <c r="D115">
        <v>0.1666666716337204</v>
      </c>
      <c r="E115" t="s">
        <v>2987</v>
      </c>
    </row>
    <row r="116" spans="1:5" x14ac:dyDescent="0.2">
      <c r="A116" t="s">
        <v>2232</v>
      </c>
      <c r="B116" t="s">
        <v>1586</v>
      </c>
      <c r="C116" t="s">
        <v>1</v>
      </c>
      <c r="D116">
        <v>0.48979592323303223</v>
      </c>
      <c r="E116" t="s">
        <v>2987</v>
      </c>
    </row>
    <row r="117" spans="1:5" x14ac:dyDescent="0.2">
      <c r="A117" t="s">
        <v>2233</v>
      </c>
      <c r="B117" t="s">
        <v>2988</v>
      </c>
      <c r="C117" t="s">
        <v>2988</v>
      </c>
      <c r="D117">
        <v>0</v>
      </c>
      <c r="E117" t="s">
        <v>2987</v>
      </c>
    </row>
    <row r="118" spans="1:5" x14ac:dyDescent="0.2">
      <c r="A118" t="s">
        <v>2234</v>
      </c>
      <c r="B118" t="s">
        <v>846</v>
      </c>
      <c r="C118" t="s">
        <v>0</v>
      </c>
      <c r="D118">
        <v>0.38461539149284363</v>
      </c>
      <c r="E118" t="s">
        <v>2987</v>
      </c>
    </row>
    <row r="119" spans="1:5" x14ac:dyDescent="0.2">
      <c r="A119" t="s">
        <v>2235</v>
      </c>
      <c r="B119" t="s">
        <v>696</v>
      </c>
      <c r="C119" t="s">
        <v>0</v>
      </c>
      <c r="D119">
        <v>0.44999998807907104</v>
      </c>
      <c r="E119" t="s">
        <v>2987</v>
      </c>
    </row>
    <row r="120" spans="1:5" x14ac:dyDescent="0.2">
      <c r="A120" t="s">
        <v>2236</v>
      </c>
      <c r="B120" t="s">
        <v>1950</v>
      </c>
      <c r="C120" t="s">
        <v>1</v>
      </c>
      <c r="D120">
        <v>0.4444444477558136</v>
      </c>
      <c r="E120" t="s">
        <v>2987</v>
      </c>
    </row>
    <row r="121" spans="1:5" x14ac:dyDescent="0.2">
      <c r="A121" t="s">
        <v>2237</v>
      </c>
      <c r="B121" t="s">
        <v>399</v>
      </c>
      <c r="C121" t="s">
        <v>1</v>
      </c>
      <c r="D121">
        <v>0.5161290168762207</v>
      </c>
      <c r="E121" t="s">
        <v>2987</v>
      </c>
    </row>
    <row r="122" spans="1:5" x14ac:dyDescent="0.2">
      <c r="A122" t="s">
        <v>2238</v>
      </c>
      <c r="B122" t="s">
        <v>715</v>
      </c>
      <c r="C122" t="s">
        <v>1</v>
      </c>
      <c r="D122">
        <v>0.5161290168762207</v>
      </c>
      <c r="E122" t="s">
        <v>2987</v>
      </c>
    </row>
    <row r="123" spans="1:5" x14ac:dyDescent="0.2">
      <c r="A123" t="s">
        <v>2239</v>
      </c>
      <c r="B123" t="s">
        <v>1474</v>
      </c>
      <c r="C123" t="s">
        <v>0</v>
      </c>
      <c r="D123">
        <v>0.30232557654380798</v>
      </c>
      <c r="E123" t="s">
        <v>2987</v>
      </c>
    </row>
    <row r="124" spans="1:5" x14ac:dyDescent="0.2">
      <c r="A124" t="s">
        <v>2240</v>
      </c>
      <c r="B124" t="s">
        <v>896</v>
      </c>
      <c r="C124" t="s">
        <v>0</v>
      </c>
      <c r="D124">
        <v>0.25</v>
      </c>
      <c r="E124" t="s">
        <v>2989</v>
      </c>
    </row>
    <row r="125" spans="1:5" x14ac:dyDescent="0.2">
      <c r="A125" t="s">
        <v>2241</v>
      </c>
      <c r="B125" t="s">
        <v>2113</v>
      </c>
      <c r="C125" t="s">
        <v>1</v>
      </c>
      <c r="D125">
        <v>0.42553192377090454</v>
      </c>
      <c r="E125" t="s">
        <v>2987</v>
      </c>
    </row>
    <row r="126" spans="1:5" x14ac:dyDescent="0.2">
      <c r="A126" t="s">
        <v>2242</v>
      </c>
      <c r="B126" t="s">
        <v>1185</v>
      </c>
      <c r="C126" t="s">
        <v>0</v>
      </c>
      <c r="D126">
        <v>0.46666666865348816</v>
      </c>
      <c r="E126" t="s">
        <v>2987</v>
      </c>
    </row>
    <row r="127" spans="1:5" x14ac:dyDescent="0.2">
      <c r="A127" t="s">
        <v>2243</v>
      </c>
      <c r="B127" t="s">
        <v>1646</v>
      </c>
      <c r="C127" t="s">
        <v>1</v>
      </c>
      <c r="D127">
        <v>0.55882352590560913</v>
      </c>
      <c r="E127" t="s">
        <v>2987</v>
      </c>
    </row>
    <row r="128" spans="1:5" x14ac:dyDescent="0.2">
      <c r="A128" t="s">
        <v>2244</v>
      </c>
      <c r="B128" t="s">
        <v>1646</v>
      </c>
      <c r="C128" t="s">
        <v>1</v>
      </c>
      <c r="D128">
        <v>0.65625</v>
      </c>
      <c r="E128" t="s">
        <v>2987</v>
      </c>
    </row>
    <row r="129" spans="1:5" x14ac:dyDescent="0.2">
      <c r="A129" t="s">
        <v>2245</v>
      </c>
      <c r="B129" t="s">
        <v>964</v>
      </c>
      <c r="C129" t="s">
        <v>0</v>
      </c>
      <c r="D129">
        <v>0.5</v>
      </c>
      <c r="E129" t="s">
        <v>2987</v>
      </c>
    </row>
    <row r="130" spans="1:5" x14ac:dyDescent="0.2">
      <c r="A130" t="s">
        <v>2246</v>
      </c>
      <c r="B130" t="s">
        <v>1032</v>
      </c>
      <c r="C130" t="s">
        <v>0</v>
      </c>
      <c r="D130">
        <v>0.5</v>
      </c>
      <c r="E130" t="s">
        <v>2987</v>
      </c>
    </row>
    <row r="131" spans="1:5" x14ac:dyDescent="0.2">
      <c r="A131" t="s">
        <v>2247</v>
      </c>
      <c r="B131" t="s">
        <v>2988</v>
      </c>
      <c r="C131" t="s">
        <v>2988</v>
      </c>
      <c r="D131">
        <v>0</v>
      </c>
      <c r="E131" t="s">
        <v>2987</v>
      </c>
    </row>
    <row r="132" spans="1:5" x14ac:dyDescent="0.2">
      <c r="A132" t="s">
        <v>2248</v>
      </c>
      <c r="B132" t="s">
        <v>1692</v>
      </c>
      <c r="C132" t="s">
        <v>1</v>
      </c>
      <c r="D132">
        <v>1</v>
      </c>
      <c r="E132" t="s">
        <v>2987</v>
      </c>
    </row>
    <row r="133" spans="1:5" x14ac:dyDescent="0.2">
      <c r="A133" t="s">
        <v>2249</v>
      </c>
      <c r="B133" t="s">
        <v>719</v>
      </c>
      <c r="C133" t="s">
        <v>1</v>
      </c>
      <c r="D133">
        <v>0.52941179275512695</v>
      </c>
      <c r="E133" t="s">
        <v>2987</v>
      </c>
    </row>
    <row r="134" spans="1:5" x14ac:dyDescent="0.2">
      <c r="A134" t="s">
        <v>2250</v>
      </c>
      <c r="B134" t="s">
        <v>1772</v>
      </c>
      <c r="C134" t="s">
        <v>1</v>
      </c>
      <c r="D134">
        <v>0.51851850748062134</v>
      </c>
      <c r="E134" t="s">
        <v>2987</v>
      </c>
    </row>
    <row r="135" spans="1:5" x14ac:dyDescent="0.2">
      <c r="A135" t="s">
        <v>2251</v>
      </c>
      <c r="B135" t="s">
        <v>281</v>
      </c>
      <c r="C135" t="s">
        <v>1</v>
      </c>
      <c r="D135">
        <v>1</v>
      </c>
      <c r="E135" t="s">
        <v>2987</v>
      </c>
    </row>
    <row r="136" spans="1:5" x14ac:dyDescent="0.2">
      <c r="A136" t="s">
        <v>2252</v>
      </c>
      <c r="B136" t="s">
        <v>961</v>
      </c>
      <c r="C136" t="s">
        <v>1</v>
      </c>
      <c r="D136">
        <v>0.48275861144065857</v>
      </c>
      <c r="E136" t="s">
        <v>2987</v>
      </c>
    </row>
    <row r="137" spans="1:5" x14ac:dyDescent="0.2">
      <c r="A137" t="s">
        <v>2253</v>
      </c>
      <c r="B137" t="s">
        <v>2988</v>
      </c>
      <c r="C137" t="s">
        <v>2988</v>
      </c>
      <c r="D137">
        <v>0.125</v>
      </c>
      <c r="E137" t="s">
        <v>2987</v>
      </c>
    </row>
    <row r="138" spans="1:5" x14ac:dyDescent="0.2">
      <c r="A138" t="s">
        <v>2254</v>
      </c>
      <c r="B138" t="s">
        <v>90</v>
      </c>
      <c r="C138" t="s">
        <v>0</v>
      </c>
      <c r="D138">
        <v>1</v>
      </c>
      <c r="E138" t="s">
        <v>2987</v>
      </c>
    </row>
    <row r="139" spans="1:5" x14ac:dyDescent="0.2">
      <c r="A139" t="s">
        <v>2255</v>
      </c>
      <c r="B139" t="s">
        <v>1338</v>
      </c>
      <c r="C139" t="s">
        <v>1</v>
      </c>
      <c r="D139">
        <v>0.53846156597137451</v>
      </c>
      <c r="E139" t="s">
        <v>2987</v>
      </c>
    </row>
    <row r="140" spans="1:5" x14ac:dyDescent="0.2">
      <c r="A140" t="s">
        <v>2256</v>
      </c>
      <c r="B140" t="s">
        <v>822</v>
      </c>
      <c r="C140" t="s">
        <v>0</v>
      </c>
      <c r="D140">
        <v>0.40000000596046448</v>
      </c>
      <c r="E140" t="s">
        <v>2987</v>
      </c>
    </row>
    <row r="141" spans="1:5" x14ac:dyDescent="0.2">
      <c r="A141" t="s">
        <v>2257</v>
      </c>
      <c r="B141" t="s">
        <v>1524</v>
      </c>
      <c r="C141" t="s">
        <v>1</v>
      </c>
      <c r="D141">
        <v>0.5517241358757019</v>
      </c>
      <c r="E141" t="s">
        <v>2987</v>
      </c>
    </row>
    <row r="142" spans="1:5" x14ac:dyDescent="0.2">
      <c r="A142" t="s">
        <v>2258</v>
      </c>
      <c r="B142" t="s">
        <v>1526</v>
      </c>
      <c r="C142" t="s">
        <v>1</v>
      </c>
      <c r="D142">
        <v>0.51219511032104492</v>
      </c>
      <c r="E142" t="s">
        <v>2987</v>
      </c>
    </row>
    <row r="143" spans="1:5" x14ac:dyDescent="0.2">
      <c r="A143" t="s">
        <v>2259</v>
      </c>
      <c r="B143" t="s">
        <v>1146</v>
      </c>
      <c r="C143" t="s">
        <v>1</v>
      </c>
      <c r="D143">
        <v>0.74074071645736694</v>
      </c>
      <c r="E143" t="s">
        <v>2987</v>
      </c>
    </row>
    <row r="144" spans="1:5" x14ac:dyDescent="0.2">
      <c r="A144" t="s">
        <v>2260</v>
      </c>
      <c r="B144" t="s">
        <v>2988</v>
      </c>
      <c r="C144" t="s">
        <v>2988</v>
      </c>
      <c r="D144">
        <v>3.4482758492231369E-2</v>
      </c>
      <c r="E144" t="s">
        <v>2987</v>
      </c>
    </row>
    <row r="145" spans="1:5" x14ac:dyDescent="0.2">
      <c r="A145" t="s">
        <v>2261</v>
      </c>
      <c r="B145" t="s">
        <v>1104</v>
      </c>
      <c r="C145" t="s">
        <v>1</v>
      </c>
      <c r="D145">
        <v>0.5</v>
      </c>
      <c r="E145" t="s">
        <v>2987</v>
      </c>
    </row>
    <row r="146" spans="1:5" x14ac:dyDescent="0.2">
      <c r="A146" t="s">
        <v>2262</v>
      </c>
      <c r="B146" t="s">
        <v>1380</v>
      </c>
      <c r="C146" t="s">
        <v>1</v>
      </c>
      <c r="D146">
        <v>0.4444444477558136</v>
      </c>
      <c r="E146" t="s">
        <v>2987</v>
      </c>
    </row>
    <row r="147" spans="1:5" x14ac:dyDescent="0.2">
      <c r="A147" t="s">
        <v>2263</v>
      </c>
      <c r="B147" t="s">
        <v>1698</v>
      </c>
      <c r="C147" t="s">
        <v>1</v>
      </c>
      <c r="D147">
        <v>0.51851850748062134</v>
      </c>
      <c r="E147" t="s">
        <v>2987</v>
      </c>
    </row>
    <row r="148" spans="1:5" x14ac:dyDescent="0.2">
      <c r="A148" t="s">
        <v>2264</v>
      </c>
      <c r="B148" t="s">
        <v>188</v>
      </c>
      <c r="C148" t="s">
        <v>0</v>
      </c>
      <c r="D148">
        <v>0.51351350545883179</v>
      </c>
      <c r="E148" t="s">
        <v>2987</v>
      </c>
    </row>
    <row r="149" spans="1:5" x14ac:dyDescent="0.2">
      <c r="A149" t="s">
        <v>2265</v>
      </c>
      <c r="B149" t="s">
        <v>5</v>
      </c>
      <c r="C149" t="s">
        <v>1</v>
      </c>
      <c r="D149">
        <v>0.27777779102325439</v>
      </c>
      <c r="E149" t="s">
        <v>2989</v>
      </c>
    </row>
    <row r="150" spans="1:5" x14ac:dyDescent="0.2">
      <c r="A150" t="s">
        <v>2266</v>
      </c>
      <c r="B150" t="s">
        <v>375</v>
      </c>
      <c r="C150" t="s">
        <v>1</v>
      </c>
      <c r="D150">
        <v>0.63414633274078369</v>
      </c>
      <c r="E150" t="s">
        <v>2987</v>
      </c>
    </row>
    <row r="151" spans="1:5" x14ac:dyDescent="0.2">
      <c r="A151" t="s">
        <v>2267</v>
      </c>
      <c r="B151" t="s">
        <v>9</v>
      </c>
      <c r="C151" t="s">
        <v>1</v>
      </c>
      <c r="D151">
        <v>0.29347825050354004</v>
      </c>
      <c r="E151" t="s">
        <v>2989</v>
      </c>
    </row>
    <row r="152" spans="1:5" x14ac:dyDescent="0.2">
      <c r="A152" t="s">
        <v>2268</v>
      </c>
      <c r="B152" t="s">
        <v>334</v>
      </c>
      <c r="C152" t="s">
        <v>0</v>
      </c>
      <c r="D152">
        <v>0.375</v>
      </c>
      <c r="E152" t="s">
        <v>2987</v>
      </c>
    </row>
    <row r="153" spans="1:5" x14ac:dyDescent="0.2">
      <c r="A153" t="s">
        <v>2269</v>
      </c>
      <c r="B153" t="s">
        <v>492</v>
      </c>
      <c r="C153" t="s">
        <v>0</v>
      </c>
      <c r="D153">
        <v>0.54838711023330688</v>
      </c>
      <c r="E153" t="s">
        <v>2987</v>
      </c>
    </row>
    <row r="154" spans="1:5" x14ac:dyDescent="0.2">
      <c r="A154" t="s">
        <v>2270</v>
      </c>
      <c r="B154" t="s">
        <v>965</v>
      </c>
      <c r="C154" t="s">
        <v>1</v>
      </c>
      <c r="D154">
        <v>1</v>
      </c>
      <c r="E154" t="s">
        <v>2987</v>
      </c>
    </row>
    <row r="155" spans="1:5" x14ac:dyDescent="0.2">
      <c r="A155" t="s">
        <v>2271</v>
      </c>
      <c r="B155" t="s">
        <v>492</v>
      </c>
      <c r="C155" t="s">
        <v>0</v>
      </c>
      <c r="D155">
        <v>1</v>
      </c>
      <c r="E155" t="s">
        <v>2987</v>
      </c>
    </row>
    <row r="156" spans="1:5" x14ac:dyDescent="0.2">
      <c r="A156" t="s">
        <v>2272</v>
      </c>
      <c r="B156" t="s">
        <v>965</v>
      </c>
      <c r="C156" t="s">
        <v>1</v>
      </c>
      <c r="D156">
        <v>0.57142859697341919</v>
      </c>
      <c r="E156" t="s">
        <v>2987</v>
      </c>
    </row>
    <row r="157" spans="1:5" x14ac:dyDescent="0.2">
      <c r="A157" t="s">
        <v>2273</v>
      </c>
      <c r="B157" t="s">
        <v>969</v>
      </c>
      <c r="C157" t="s">
        <v>1</v>
      </c>
      <c r="D157">
        <v>0.43478259444236755</v>
      </c>
      <c r="E157" t="s">
        <v>2987</v>
      </c>
    </row>
    <row r="158" spans="1:5" x14ac:dyDescent="0.2">
      <c r="A158" t="s">
        <v>2274</v>
      </c>
      <c r="B158" t="s">
        <v>1272</v>
      </c>
      <c r="C158" t="s">
        <v>0</v>
      </c>
      <c r="D158">
        <v>0.42105263471603394</v>
      </c>
      <c r="E158" t="s">
        <v>2987</v>
      </c>
    </row>
    <row r="159" spans="1:5" x14ac:dyDescent="0.2">
      <c r="A159" t="s">
        <v>2275</v>
      </c>
      <c r="B159" t="s">
        <v>690</v>
      </c>
      <c r="C159" t="s">
        <v>0</v>
      </c>
      <c r="D159">
        <v>0.60000002384185791</v>
      </c>
      <c r="E159" t="s">
        <v>2987</v>
      </c>
    </row>
    <row r="160" spans="1:5" x14ac:dyDescent="0.2">
      <c r="A160" t="s">
        <v>2276</v>
      </c>
      <c r="B160" t="s">
        <v>1355</v>
      </c>
      <c r="C160" t="s">
        <v>0</v>
      </c>
      <c r="D160">
        <v>0.64999997615814209</v>
      </c>
      <c r="E160" t="s">
        <v>2987</v>
      </c>
    </row>
    <row r="161" spans="1:5" x14ac:dyDescent="0.2">
      <c r="A161" t="s">
        <v>2277</v>
      </c>
      <c r="B161" t="s">
        <v>1161</v>
      </c>
      <c r="C161" t="s">
        <v>0</v>
      </c>
      <c r="D161">
        <v>0.60000002384185791</v>
      </c>
      <c r="E161" t="s">
        <v>2987</v>
      </c>
    </row>
    <row r="162" spans="1:5" x14ac:dyDescent="0.2">
      <c r="A162" t="s">
        <v>2278</v>
      </c>
      <c r="B162" t="s">
        <v>1161</v>
      </c>
      <c r="C162" t="s">
        <v>0</v>
      </c>
      <c r="D162">
        <v>0.60000002384185791</v>
      </c>
      <c r="E162" t="s">
        <v>2987</v>
      </c>
    </row>
    <row r="163" spans="1:5" x14ac:dyDescent="0.2">
      <c r="A163" t="s">
        <v>2279</v>
      </c>
      <c r="B163" t="s">
        <v>1379</v>
      </c>
      <c r="C163" t="s">
        <v>0</v>
      </c>
      <c r="D163">
        <v>0.625</v>
      </c>
      <c r="E163" t="s">
        <v>2987</v>
      </c>
    </row>
    <row r="164" spans="1:5" x14ac:dyDescent="0.2">
      <c r="A164" t="s">
        <v>2280</v>
      </c>
      <c r="B164" t="s">
        <v>1620</v>
      </c>
      <c r="C164" t="s">
        <v>1</v>
      </c>
      <c r="D164">
        <v>0.55555558204650879</v>
      </c>
      <c r="E164" t="s">
        <v>2987</v>
      </c>
    </row>
    <row r="165" spans="1:5" x14ac:dyDescent="0.2">
      <c r="A165" t="s">
        <v>2281</v>
      </c>
      <c r="B165" t="s">
        <v>1773</v>
      </c>
      <c r="C165" t="s">
        <v>1</v>
      </c>
      <c r="D165">
        <v>0.50980395078659058</v>
      </c>
      <c r="E165" t="s">
        <v>2987</v>
      </c>
    </row>
    <row r="166" spans="1:5" x14ac:dyDescent="0.2">
      <c r="A166" t="s">
        <v>2282</v>
      </c>
      <c r="B166" t="s">
        <v>2988</v>
      </c>
      <c r="C166" t="s">
        <v>2988</v>
      </c>
      <c r="D166">
        <v>0.1666666716337204</v>
      </c>
      <c r="E166" t="s">
        <v>2987</v>
      </c>
    </row>
    <row r="167" spans="1:5" x14ac:dyDescent="0.2">
      <c r="A167" t="s">
        <v>2283</v>
      </c>
      <c r="B167" t="s">
        <v>2988</v>
      </c>
      <c r="C167" t="s">
        <v>2988</v>
      </c>
      <c r="D167">
        <v>0</v>
      </c>
      <c r="E167" t="s">
        <v>2987</v>
      </c>
    </row>
    <row r="168" spans="1:5" x14ac:dyDescent="0.2">
      <c r="A168" t="s">
        <v>2284</v>
      </c>
      <c r="B168" t="s">
        <v>1260</v>
      </c>
      <c r="C168" t="s">
        <v>0</v>
      </c>
      <c r="D168">
        <v>0.5</v>
      </c>
      <c r="E168" t="s">
        <v>2987</v>
      </c>
    </row>
    <row r="169" spans="1:5" x14ac:dyDescent="0.2">
      <c r="A169" t="s">
        <v>2285</v>
      </c>
      <c r="B169" t="s">
        <v>2988</v>
      </c>
      <c r="C169" t="s">
        <v>2988</v>
      </c>
      <c r="D169">
        <v>0.1111111119389534</v>
      </c>
      <c r="E169" t="s">
        <v>2987</v>
      </c>
    </row>
    <row r="170" spans="1:5" x14ac:dyDescent="0.2">
      <c r="A170" t="s">
        <v>2286</v>
      </c>
      <c r="B170" t="s">
        <v>2008</v>
      </c>
      <c r="C170" t="s">
        <v>1</v>
      </c>
      <c r="D170">
        <v>0.55555558204650879</v>
      </c>
      <c r="E170" t="s">
        <v>2987</v>
      </c>
    </row>
    <row r="171" spans="1:5" x14ac:dyDescent="0.2">
      <c r="A171" t="s">
        <v>2287</v>
      </c>
      <c r="B171" t="s">
        <v>1676</v>
      </c>
      <c r="C171" t="s">
        <v>1</v>
      </c>
      <c r="D171">
        <v>1</v>
      </c>
      <c r="E171" t="s">
        <v>2987</v>
      </c>
    </row>
    <row r="172" spans="1:5" x14ac:dyDescent="0.2">
      <c r="A172" t="s">
        <v>2288</v>
      </c>
      <c r="B172" t="s">
        <v>2988</v>
      </c>
      <c r="C172" t="s">
        <v>2988</v>
      </c>
      <c r="D172">
        <v>0.125</v>
      </c>
      <c r="E172" t="s">
        <v>2987</v>
      </c>
    </row>
    <row r="173" spans="1:5" x14ac:dyDescent="0.2">
      <c r="A173" t="s">
        <v>2289</v>
      </c>
      <c r="B173" t="s">
        <v>2988</v>
      </c>
      <c r="C173" t="s">
        <v>2988</v>
      </c>
      <c r="D173">
        <v>6.6666670143604279E-2</v>
      </c>
      <c r="E173" t="s">
        <v>2987</v>
      </c>
    </row>
    <row r="174" spans="1:5" x14ac:dyDescent="0.2">
      <c r="A174" t="s">
        <v>2290</v>
      </c>
      <c r="B174" t="s">
        <v>2988</v>
      </c>
      <c r="C174" t="s">
        <v>2988</v>
      </c>
      <c r="D174">
        <v>0</v>
      </c>
      <c r="E174" t="s">
        <v>2987</v>
      </c>
    </row>
    <row r="175" spans="1:5" x14ac:dyDescent="0.2">
      <c r="A175" t="s">
        <v>2291</v>
      </c>
      <c r="B175" t="s">
        <v>2988</v>
      </c>
      <c r="C175" t="s">
        <v>2988</v>
      </c>
      <c r="D175">
        <v>0</v>
      </c>
      <c r="E175" t="s">
        <v>2987</v>
      </c>
    </row>
    <row r="176" spans="1:5" x14ac:dyDescent="0.2">
      <c r="A176" t="s">
        <v>2292</v>
      </c>
      <c r="B176" t="s">
        <v>405</v>
      </c>
      <c r="C176" t="s">
        <v>1</v>
      </c>
      <c r="D176">
        <v>0.5517241358757019</v>
      </c>
      <c r="E176" t="s">
        <v>2987</v>
      </c>
    </row>
    <row r="177" spans="1:5" x14ac:dyDescent="0.2">
      <c r="A177" t="s">
        <v>2293</v>
      </c>
      <c r="B177" t="s">
        <v>2988</v>
      </c>
      <c r="C177" t="s">
        <v>2988</v>
      </c>
      <c r="D177">
        <v>0</v>
      </c>
      <c r="E177" t="s">
        <v>2987</v>
      </c>
    </row>
    <row r="178" spans="1:5" x14ac:dyDescent="0.2">
      <c r="A178" t="s">
        <v>2294</v>
      </c>
      <c r="B178" t="s">
        <v>2988</v>
      </c>
      <c r="C178" t="s">
        <v>2988</v>
      </c>
      <c r="D178">
        <v>0</v>
      </c>
      <c r="E178" t="s">
        <v>2987</v>
      </c>
    </row>
    <row r="179" spans="1:5" x14ac:dyDescent="0.2">
      <c r="A179" t="s">
        <v>2295</v>
      </c>
      <c r="B179" t="s">
        <v>2988</v>
      </c>
      <c r="C179" t="s">
        <v>2988</v>
      </c>
      <c r="D179">
        <v>0</v>
      </c>
      <c r="E179" t="s">
        <v>2987</v>
      </c>
    </row>
    <row r="180" spans="1:5" x14ac:dyDescent="0.2">
      <c r="A180" t="s">
        <v>2296</v>
      </c>
      <c r="B180" t="s">
        <v>2988</v>
      </c>
      <c r="C180" t="s">
        <v>2988</v>
      </c>
      <c r="D180">
        <v>0</v>
      </c>
      <c r="E180" t="s">
        <v>2987</v>
      </c>
    </row>
    <row r="181" spans="1:5" x14ac:dyDescent="0.2">
      <c r="A181" t="s">
        <v>2297</v>
      </c>
      <c r="B181" t="s">
        <v>2988</v>
      </c>
      <c r="C181" t="s">
        <v>2988</v>
      </c>
      <c r="D181">
        <v>0</v>
      </c>
      <c r="E181" t="s">
        <v>2987</v>
      </c>
    </row>
    <row r="182" spans="1:5" x14ac:dyDescent="0.2">
      <c r="A182" t="s">
        <v>2298</v>
      </c>
      <c r="B182" t="s">
        <v>407</v>
      </c>
      <c r="C182" t="s">
        <v>1</v>
      </c>
      <c r="D182">
        <v>0.52631580829620361</v>
      </c>
      <c r="E182" t="s">
        <v>2987</v>
      </c>
    </row>
    <row r="183" spans="1:5" x14ac:dyDescent="0.2">
      <c r="A183" t="s">
        <v>2299</v>
      </c>
      <c r="B183" t="s">
        <v>407</v>
      </c>
      <c r="C183" t="s">
        <v>1</v>
      </c>
      <c r="D183">
        <v>0.31428572535514832</v>
      </c>
      <c r="E183" t="s">
        <v>2987</v>
      </c>
    </row>
    <row r="184" spans="1:5" x14ac:dyDescent="0.2">
      <c r="A184" t="s">
        <v>2300</v>
      </c>
      <c r="B184" t="s">
        <v>1165</v>
      </c>
      <c r="C184" t="s">
        <v>0</v>
      </c>
      <c r="D184">
        <v>1</v>
      </c>
      <c r="E184" t="s">
        <v>2987</v>
      </c>
    </row>
    <row r="185" spans="1:5" x14ac:dyDescent="0.2">
      <c r="A185" t="s">
        <v>2301</v>
      </c>
      <c r="B185" t="s">
        <v>2988</v>
      </c>
      <c r="C185" t="s">
        <v>2988</v>
      </c>
      <c r="D185">
        <v>0.28571429848670959</v>
      </c>
      <c r="E185" t="s">
        <v>2987</v>
      </c>
    </row>
    <row r="186" spans="1:5" x14ac:dyDescent="0.2">
      <c r="A186" t="s">
        <v>2302</v>
      </c>
      <c r="B186" t="s">
        <v>107</v>
      </c>
      <c r="C186" t="s">
        <v>1</v>
      </c>
      <c r="D186">
        <v>0.57142859697341919</v>
      </c>
      <c r="E186" t="s">
        <v>2987</v>
      </c>
    </row>
    <row r="187" spans="1:5" x14ac:dyDescent="0.2">
      <c r="A187" t="s">
        <v>2303</v>
      </c>
      <c r="B187" t="s">
        <v>107</v>
      </c>
      <c r="C187" t="s">
        <v>1</v>
      </c>
      <c r="D187">
        <v>0.55263155698776245</v>
      </c>
      <c r="E187" t="s">
        <v>2987</v>
      </c>
    </row>
    <row r="188" spans="1:5" x14ac:dyDescent="0.2">
      <c r="A188" t="s">
        <v>2304</v>
      </c>
      <c r="B188" t="s">
        <v>1925</v>
      </c>
      <c r="C188" t="s">
        <v>1</v>
      </c>
      <c r="D188">
        <v>0.5161290168762207</v>
      </c>
      <c r="E188" t="s">
        <v>2987</v>
      </c>
    </row>
    <row r="189" spans="1:5" x14ac:dyDescent="0.2">
      <c r="A189" t="s">
        <v>2305</v>
      </c>
      <c r="B189" t="s">
        <v>1233</v>
      </c>
      <c r="C189" t="s">
        <v>1</v>
      </c>
      <c r="D189">
        <v>0.57142859697341919</v>
      </c>
      <c r="E189" t="s">
        <v>2987</v>
      </c>
    </row>
    <row r="190" spans="1:5" x14ac:dyDescent="0.2">
      <c r="A190" t="s">
        <v>2306</v>
      </c>
      <c r="B190" t="s">
        <v>756</v>
      </c>
      <c r="C190" t="s">
        <v>0</v>
      </c>
      <c r="D190">
        <v>0.5</v>
      </c>
      <c r="E190" t="s">
        <v>2987</v>
      </c>
    </row>
    <row r="191" spans="1:5" x14ac:dyDescent="0.2">
      <c r="A191" t="s">
        <v>2307</v>
      </c>
      <c r="B191" t="s">
        <v>286</v>
      </c>
      <c r="C191" t="s">
        <v>0</v>
      </c>
      <c r="D191">
        <v>0.6086956262588501</v>
      </c>
      <c r="E191" t="s">
        <v>2987</v>
      </c>
    </row>
    <row r="192" spans="1:5" x14ac:dyDescent="0.2">
      <c r="A192" t="s">
        <v>2308</v>
      </c>
      <c r="B192" t="s">
        <v>1199</v>
      </c>
      <c r="C192" t="s">
        <v>0</v>
      </c>
      <c r="D192">
        <v>0.5</v>
      </c>
      <c r="E192" t="s">
        <v>2987</v>
      </c>
    </row>
    <row r="193" spans="1:5" x14ac:dyDescent="0.2">
      <c r="A193" t="s">
        <v>2309</v>
      </c>
      <c r="B193" t="s">
        <v>2988</v>
      </c>
      <c r="C193" t="s">
        <v>2988</v>
      </c>
      <c r="D193">
        <v>0</v>
      </c>
      <c r="E193" t="s">
        <v>2987</v>
      </c>
    </row>
    <row r="194" spans="1:5" x14ac:dyDescent="0.2">
      <c r="A194" t="s">
        <v>2310</v>
      </c>
      <c r="B194" t="s">
        <v>1805</v>
      </c>
      <c r="C194" t="s">
        <v>1</v>
      </c>
      <c r="D194">
        <v>0.39130434393882751</v>
      </c>
      <c r="E194" t="s">
        <v>2987</v>
      </c>
    </row>
    <row r="195" spans="1:5" x14ac:dyDescent="0.2">
      <c r="A195" t="s">
        <v>2311</v>
      </c>
      <c r="B195" t="s">
        <v>1521</v>
      </c>
      <c r="C195" t="s">
        <v>0</v>
      </c>
      <c r="D195">
        <v>0.48148149251937866</v>
      </c>
      <c r="E195" t="s">
        <v>2987</v>
      </c>
    </row>
    <row r="196" spans="1:5" x14ac:dyDescent="0.2">
      <c r="A196" t="s">
        <v>2312</v>
      </c>
      <c r="B196" t="s">
        <v>1521</v>
      </c>
      <c r="C196" t="s">
        <v>0</v>
      </c>
      <c r="D196">
        <v>0.65116280317306519</v>
      </c>
      <c r="E196" t="s">
        <v>2987</v>
      </c>
    </row>
    <row r="197" spans="1:5" x14ac:dyDescent="0.2">
      <c r="A197" t="s">
        <v>2313</v>
      </c>
      <c r="B197" t="s">
        <v>2988</v>
      </c>
      <c r="C197" t="s">
        <v>2988</v>
      </c>
      <c r="D197">
        <v>0.1428571492433548</v>
      </c>
      <c r="E197" t="s">
        <v>2987</v>
      </c>
    </row>
    <row r="198" spans="1:5" x14ac:dyDescent="0.2">
      <c r="A198" t="s">
        <v>2314</v>
      </c>
      <c r="B198" t="s">
        <v>287</v>
      </c>
      <c r="C198" t="s">
        <v>1</v>
      </c>
      <c r="D198">
        <v>0.47999998927116394</v>
      </c>
      <c r="E198" t="s">
        <v>2987</v>
      </c>
    </row>
    <row r="199" spans="1:5" x14ac:dyDescent="0.2">
      <c r="A199" t="s">
        <v>2315</v>
      </c>
      <c r="B199" t="s">
        <v>307</v>
      </c>
      <c r="C199" t="s">
        <v>1</v>
      </c>
      <c r="D199">
        <v>0.4166666567325592</v>
      </c>
      <c r="E199" t="s">
        <v>2987</v>
      </c>
    </row>
    <row r="200" spans="1:5" x14ac:dyDescent="0.2">
      <c r="A200" t="s">
        <v>2316</v>
      </c>
      <c r="B200" t="s">
        <v>382</v>
      </c>
      <c r="C200" t="s">
        <v>0</v>
      </c>
      <c r="D200">
        <v>0.4117647111415863</v>
      </c>
      <c r="E200" t="s">
        <v>2987</v>
      </c>
    </row>
    <row r="201" spans="1:5" x14ac:dyDescent="0.2">
      <c r="A201" t="s">
        <v>2317</v>
      </c>
      <c r="B201" t="s">
        <v>1806</v>
      </c>
      <c r="C201" t="s">
        <v>1</v>
      </c>
      <c r="D201">
        <v>0.33766233921051025</v>
      </c>
      <c r="E201" t="s">
        <v>2987</v>
      </c>
    </row>
    <row r="202" spans="1:5" x14ac:dyDescent="0.2">
      <c r="A202" t="s">
        <v>2318</v>
      </c>
      <c r="B202" t="s">
        <v>2988</v>
      </c>
      <c r="C202" t="s">
        <v>2988</v>
      </c>
      <c r="D202">
        <v>0</v>
      </c>
      <c r="E202" t="s">
        <v>2987</v>
      </c>
    </row>
    <row r="203" spans="1:5" x14ac:dyDescent="0.2">
      <c r="A203" t="s">
        <v>2319</v>
      </c>
      <c r="B203" t="s">
        <v>2988</v>
      </c>
      <c r="C203" t="s">
        <v>2988</v>
      </c>
      <c r="D203">
        <v>0.1428571492433548</v>
      </c>
      <c r="E203" t="s">
        <v>2987</v>
      </c>
    </row>
    <row r="204" spans="1:5" x14ac:dyDescent="0.2">
      <c r="A204" t="s">
        <v>2320</v>
      </c>
      <c r="B204" t="s">
        <v>2988</v>
      </c>
      <c r="C204" t="s">
        <v>2988</v>
      </c>
      <c r="D204">
        <v>0</v>
      </c>
      <c r="E204" t="s">
        <v>2987</v>
      </c>
    </row>
    <row r="205" spans="1:5" x14ac:dyDescent="0.2">
      <c r="A205" t="s">
        <v>2321</v>
      </c>
      <c r="B205" t="s">
        <v>2988</v>
      </c>
      <c r="C205" t="s">
        <v>2988</v>
      </c>
      <c r="D205">
        <v>0</v>
      </c>
      <c r="E205" t="s">
        <v>2987</v>
      </c>
    </row>
    <row r="206" spans="1:5" x14ac:dyDescent="0.2">
      <c r="A206" t="s">
        <v>2322</v>
      </c>
      <c r="B206" t="s">
        <v>1469</v>
      </c>
      <c r="C206" t="s">
        <v>1</v>
      </c>
      <c r="D206">
        <v>1</v>
      </c>
      <c r="E206" t="s">
        <v>2987</v>
      </c>
    </row>
    <row r="207" spans="1:5" x14ac:dyDescent="0.2">
      <c r="A207" t="s">
        <v>2323</v>
      </c>
      <c r="B207" t="s">
        <v>2988</v>
      </c>
      <c r="C207" t="s">
        <v>2988</v>
      </c>
      <c r="D207">
        <v>0</v>
      </c>
      <c r="E207" t="s">
        <v>2987</v>
      </c>
    </row>
    <row r="208" spans="1:5" x14ac:dyDescent="0.2">
      <c r="A208" t="s">
        <v>2324</v>
      </c>
      <c r="B208" t="s">
        <v>2988</v>
      </c>
      <c r="C208" t="s">
        <v>2988</v>
      </c>
      <c r="D208">
        <v>4.3478261679410934E-2</v>
      </c>
      <c r="E208" t="s">
        <v>2987</v>
      </c>
    </row>
    <row r="209" spans="1:5" x14ac:dyDescent="0.2">
      <c r="A209" t="s">
        <v>2325</v>
      </c>
      <c r="B209" t="s">
        <v>2988</v>
      </c>
      <c r="C209" t="s">
        <v>2988</v>
      </c>
      <c r="D209">
        <v>7.1428574621677399E-2</v>
      </c>
      <c r="E209" t="s">
        <v>2987</v>
      </c>
    </row>
    <row r="210" spans="1:5" x14ac:dyDescent="0.2">
      <c r="A210" t="s">
        <v>2326</v>
      </c>
      <c r="B210" t="s">
        <v>372</v>
      </c>
      <c r="C210" t="s">
        <v>0</v>
      </c>
      <c r="D210">
        <v>0.42307692766189575</v>
      </c>
      <c r="E210" t="s">
        <v>2987</v>
      </c>
    </row>
    <row r="211" spans="1:5" x14ac:dyDescent="0.2">
      <c r="A211" t="s">
        <v>2327</v>
      </c>
      <c r="B211" t="s">
        <v>372</v>
      </c>
      <c r="C211" t="s">
        <v>0</v>
      </c>
      <c r="D211">
        <v>0.42307692766189575</v>
      </c>
      <c r="E211" t="s">
        <v>2987</v>
      </c>
    </row>
    <row r="212" spans="1:5" x14ac:dyDescent="0.2">
      <c r="A212" t="s">
        <v>2328</v>
      </c>
      <c r="B212" t="s">
        <v>2988</v>
      </c>
      <c r="C212" t="s">
        <v>2988</v>
      </c>
      <c r="D212">
        <v>0.125</v>
      </c>
      <c r="E212" t="s">
        <v>2987</v>
      </c>
    </row>
    <row r="213" spans="1:5" x14ac:dyDescent="0.2">
      <c r="A213" t="s">
        <v>2329</v>
      </c>
      <c r="B213" t="s">
        <v>2988</v>
      </c>
      <c r="C213" t="s">
        <v>2988</v>
      </c>
      <c r="D213">
        <v>0</v>
      </c>
      <c r="E213" t="s">
        <v>2987</v>
      </c>
    </row>
    <row r="214" spans="1:5" x14ac:dyDescent="0.2">
      <c r="A214" t="s">
        <v>2330</v>
      </c>
      <c r="B214" t="s">
        <v>552</v>
      </c>
      <c r="C214" t="s">
        <v>0</v>
      </c>
      <c r="D214">
        <v>0.42105263471603394</v>
      </c>
      <c r="E214" t="s">
        <v>2987</v>
      </c>
    </row>
    <row r="215" spans="1:5" x14ac:dyDescent="0.2">
      <c r="A215" t="s">
        <v>2331</v>
      </c>
      <c r="B215" t="s">
        <v>552</v>
      </c>
      <c r="C215" t="s">
        <v>0</v>
      </c>
      <c r="D215">
        <v>0.40909090638160706</v>
      </c>
      <c r="E215" t="s">
        <v>2987</v>
      </c>
    </row>
    <row r="216" spans="1:5" x14ac:dyDescent="0.2">
      <c r="A216" t="s">
        <v>2332</v>
      </c>
      <c r="B216" t="s">
        <v>92</v>
      </c>
      <c r="C216" t="s">
        <v>0</v>
      </c>
      <c r="D216">
        <v>1</v>
      </c>
      <c r="E216" t="s">
        <v>2987</v>
      </c>
    </row>
    <row r="217" spans="1:5" x14ac:dyDescent="0.2">
      <c r="A217" t="s">
        <v>2333</v>
      </c>
      <c r="B217" t="s">
        <v>758</v>
      </c>
      <c r="C217" t="s">
        <v>0</v>
      </c>
      <c r="D217">
        <v>0.66666668653488159</v>
      </c>
      <c r="E217" t="s">
        <v>2987</v>
      </c>
    </row>
    <row r="218" spans="1:5" x14ac:dyDescent="0.2">
      <c r="A218" t="s">
        <v>2334</v>
      </c>
      <c r="B218" t="s">
        <v>92</v>
      </c>
      <c r="C218" t="s">
        <v>0</v>
      </c>
      <c r="D218">
        <v>0.53333336114883423</v>
      </c>
      <c r="E218" t="s">
        <v>2987</v>
      </c>
    </row>
    <row r="219" spans="1:5" x14ac:dyDescent="0.2">
      <c r="A219" t="s">
        <v>2335</v>
      </c>
      <c r="B219" t="s">
        <v>2988</v>
      </c>
      <c r="C219" t="s">
        <v>2988</v>
      </c>
      <c r="D219">
        <v>0.1428571492433548</v>
      </c>
      <c r="E219" t="s">
        <v>2987</v>
      </c>
    </row>
    <row r="220" spans="1:5" x14ac:dyDescent="0.2">
      <c r="A220" t="s">
        <v>2336</v>
      </c>
      <c r="B220" t="s">
        <v>2988</v>
      </c>
      <c r="C220" t="s">
        <v>2988</v>
      </c>
      <c r="D220">
        <v>0.25</v>
      </c>
      <c r="E220" t="s">
        <v>2987</v>
      </c>
    </row>
    <row r="221" spans="1:5" x14ac:dyDescent="0.2">
      <c r="A221" t="s">
        <v>2337</v>
      </c>
      <c r="B221" t="s">
        <v>446</v>
      </c>
      <c r="C221" t="s">
        <v>0</v>
      </c>
      <c r="D221">
        <v>0.47368422150611877</v>
      </c>
      <c r="E221" t="s">
        <v>2987</v>
      </c>
    </row>
    <row r="222" spans="1:5" x14ac:dyDescent="0.2">
      <c r="A222" t="s">
        <v>2338</v>
      </c>
      <c r="B222" t="s">
        <v>1385</v>
      </c>
      <c r="C222" t="s">
        <v>1</v>
      </c>
      <c r="D222">
        <v>0.5</v>
      </c>
      <c r="E222" t="s">
        <v>2987</v>
      </c>
    </row>
    <row r="223" spans="1:5" x14ac:dyDescent="0.2">
      <c r="A223" t="s">
        <v>2339</v>
      </c>
      <c r="B223" t="s">
        <v>1702</v>
      </c>
      <c r="C223" t="s">
        <v>1</v>
      </c>
      <c r="D223">
        <v>0.62857145071029663</v>
      </c>
      <c r="E223" t="s">
        <v>2987</v>
      </c>
    </row>
    <row r="224" spans="1:5" x14ac:dyDescent="0.2">
      <c r="A224" t="s">
        <v>2340</v>
      </c>
      <c r="B224" t="s">
        <v>1528</v>
      </c>
      <c r="C224" t="s">
        <v>1</v>
      </c>
      <c r="D224">
        <v>0.4375</v>
      </c>
      <c r="E224" t="s">
        <v>2987</v>
      </c>
    </row>
    <row r="225" spans="1:5" x14ac:dyDescent="0.2">
      <c r="A225" t="s">
        <v>2341</v>
      </c>
      <c r="B225" t="s">
        <v>212</v>
      </c>
      <c r="C225" t="s">
        <v>0</v>
      </c>
      <c r="D225">
        <v>0.5625</v>
      </c>
      <c r="E225" t="s">
        <v>2987</v>
      </c>
    </row>
    <row r="226" spans="1:5" x14ac:dyDescent="0.2">
      <c r="A226" t="s">
        <v>2342</v>
      </c>
      <c r="B226" t="s">
        <v>2</v>
      </c>
      <c r="C226" t="s">
        <v>0</v>
      </c>
      <c r="D226">
        <v>0.40000000596046448</v>
      </c>
      <c r="E226" t="s">
        <v>2987</v>
      </c>
    </row>
    <row r="227" spans="1:5" x14ac:dyDescent="0.2">
      <c r="A227" t="s">
        <v>2343</v>
      </c>
      <c r="B227" t="s">
        <v>2</v>
      </c>
      <c r="C227" t="s">
        <v>0</v>
      </c>
      <c r="D227">
        <v>0.41025641560554504</v>
      </c>
      <c r="E227" t="s">
        <v>2987</v>
      </c>
    </row>
    <row r="228" spans="1:5" x14ac:dyDescent="0.2">
      <c r="A228" t="s">
        <v>2344</v>
      </c>
      <c r="B228" t="s">
        <v>1139</v>
      </c>
      <c r="C228" t="s">
        <v>0</v>
      </c>
      <c r="D228">
        <v>0.28125</v>
      </c>
      <c r="E228" t="s">
        <v>2989</v>
      </c>
    </row>
    <row r="229" spans="1:5" x14ac:dyDescent="0.2">
      <c r="A229" t="s">
        <v>2345</v>
      </c>
      <c r="B229" t="s">
        <v>1139</v>
      </c>
      <c r="C229" t="s">
        <v>0</v>
      </c>
      <c r="D229">
        <v>0.30000001192092896</v>
      </c>
      <c r="E229" t="s">
        <v>2987</v>
      </c>
    </row>
    <row r="230" spans="1:5" x14ac:dyDescent="0.2">
      <c r="A230" t="s">
        <v>2346</v>
      </c>
      <c r="B230" t="s">
        <v>1890</v>
      </c>
      <c r="C230" t="s">
        <v>1</v>
      </c>
      <c r="D230">
        <v>0.5</v>
      </c>
      <c r="E230" t="s">
        <v>2987</v>
      </c>
    </row>
    <row r="231" spans="1:5" x14ac:dyDescent="0.2">
      <c r="A231" t="s">
        <v>2347</v>
      </c>
      <c r="B231" t="s">
        <v>1769</v>
      </c>
      <c r="C231" t="s">
        <v>1</v>
      </c>
      <c r="D231">
        <v>0.54545456171035767</v>
      </c>
      <c r="E231" t="s">
        <v>2987</v>
      </c>
    </row>
    <row r="232" spans="1:5" x14ac:dyDescent="0.2">
      <c r="A232" t="s">
        <v>2348</v>
      </c>
      <c r="B232" t="s">
        <v>156</v>
      </c>
      <c r="C232" t="s">
        <v>0</v>
      </c>
      <c r="D232">
        <v>0.58333331346511841</v>
      </c>
      <c r="E232" t="s">
        <v>2987</v>
      </c>
    </row>
    <row r="233" spans="1:5" x14ac:dyDescent="0.2">
      <c r="A233" t="s">
        <v>2349</v>
      </c>
      <c r="B233" t="s">
        <v>1037</v>
      </c>
      <c r="C233" t="s">
        <v>1</v>
      </c>
      <c r="D233">
        <v>0.4444444477558136</v>
      </c>
      <c r="E233" t="s">
        <v>2987</v>
      </c>
    </row>
    <row r="234" spans="1:5" x14ac:dyDescent="0.2">
      <c r="A234" t="s">
        <v>2350</v>
      </c>
      <c r="B234" t="s">
        <v>2988</v>
      </c>
      <c r="C234" t="s">
        <v>2988</v>
      </c>
      <c r="D234">
        <v>0.23076923191547394</v>
      </c>
      <c r="E234" t="s">
        <v>2987</v>
      </c>
    </row>
    <row r="235" spans="1:5" x14ac:dyDescent="0.2">
      <c r="A235" t="s">
        <v>2351</v>
      </c>
      <c r="B235" t="s">
        <v>1471</v>
      </c>
      <c r="C235" t="s">
        <v>1</v>
      </c>
      <c r="D235">
        <v>0.625</v>
      </c>
      <c r="E235" t="s">
        <v>2987</v>
      </c>
    </row>
    <row r="236" spans="1:5" x14ac:dyDescent="0.2">
      <c r="A236" t="s">
        <v>2352</v>
      </c>
      <c r="B236" t="s">
        <v>289</v>
      </c>
      <c r="C236" t="s">
        <v>1</v>
      </c>
      <c r="D236">
        <v>1</v>
      </c>
      <c r="E236" t="s">
        <v>2987</v>
      </c>
    </row>
    <row r="237" spans="1:5" x14ac:dyDescent="0.2">
      <c r="A237" t="s">
        <v>2353</v>
      </c>
      <c r="B237" t="s">
        <v>1015</v>
      </c>
      <c r="C237" t="s">
        <v>1</v>
      </c>
      <c r="D237">
        <v>0.3888888955116272</v>
      </c>
      <c r="E237" t="s">
        <v>2987</v>
      </c>
    </row>
    <row r="238" spans="1:5" x14ac:dyDescent="0.2">
      <c r="A238" t="s">
        <v>2354</v>
      </c>
      <c r="B238" t="s">
        <v>413</v>
      </c>
      <c r="C238" t="s">
        <v>1</v>
      </c>
      <c r="D238">
        <v>0.46666666865348816</v>
      </c>
      <c r="E238" t="s">
        <v>2987</v>
      </c>
    </row>
    <row r="239" spans="1:5" x14ac:dyDescent="0.2">
      <c r="A239" t="s">
        <v>2355</v>
      </c>
      <c r="B239" t="s">
        <v>1014</v>
      </c>
      <c r="C239" t="s">
        <v>0</v>
      </c>
      <c r="D239">
        <v>0.5</v>
      </c>
      <c r="E239" t="s">
        <v>2987</v>
      </c>
    </row>
    <row r="240" spans="1:5" x14ac:dyDescent="0.2">
      <c r="A240" t="s">
        <v>2356</v>
      </c>
      <c r="B240" t="s">
        <v>1556</v>
      </c>
      <c r="C240" t="s">
        <v>1</v>
      </c>
      <c r="D240">
        <v>0.77419352531433105</v>
      </c>
      <c r="E240" t="s">
        <v>2987</v>
      </c>
    </row>
    <row r="241" spans="1:5" x14ac:dyDescent="0.2">
      <c r="A241" t="s">
        <v>2357</v>
      </c>
      <c r="B241" t="s">
        <v>1471</v>
      </c>
      <c r="C241" t="s">
        <v>1</v>
      </c>
      <c r="D241">
        <v>1</v>
      </c>
      <c r="E241" t="s">
        <v>2987</v>
      </c>
    </row>
    <row r="242" spans="1:5" x14ac:dyDescent="0.2">
      <c r="A242" t="s">
        <v>2358</v>
      </c>
      <c r="B242" t="s">
        <v>1116</v>
      </c>
      <c r="C242" t="s">
        <v>1</v>
      </c>
      <c r="D242">
        <v>0.28358209133148193</v>
      </c>
      <c r="E242" t="s">
        <v>2989</v>
      </c>
    </row>
    <row r="243" spans="1:5" x14ac:dyDescent="0.2">
      <c r="A243" t="s">
        <v>2359</v>
      </c>
      <c r="B243" t="s">
        <v>884</v>
      </c>
      <c r="C243" t="s">
        <v>0</v>
      </c>
      <c r="D243">
        <v>0.47058823704719543</v>
      </c>
      <c r="E243" t="s">
        <v>2987</v>
      </c>
    </row>
    <row r="244" spans="1:5" x14ac:dyDescent="0.2">
      <c r="A244" t="s">
        <v>2360</v>
      </c>
      <c r="B244" t="s">
        <v>1103</v>
      </c>
      <c r="C244" t="s">
        <v>0</v>
      </c>
      <c r="D244">
        <v>0.4375</v>
      </c>
      <c r="E244" t="s">
        <v>2987</v>
      </c>
    </row>
    <row r="245" spans="1:5" x14ac:dyDescent="0.2">
      <c r="A245" t="s">
        <v>2361</v>
      </c>
      <c r="B245" t="s">
        <v>1774</v>
      </c>
      <c r="C245" t="s">
        <v>1</v>
      </c>
      <c r="D245">
        <v>0.53846156597137451</v>
      </c>
      <c r="E245" t="s">
        <v>2987</v>
      </c>
    </row>
    <row r="246" spans="1:5" x14ac:dyDescent="0.2">
      <c r="A246" t="s">
        <v>2362</v>
      </c>
      <c r="B246" t="s">
        <v>1647</v>
      </c>
      <c r="C246" t="s">
        <v>1</v>
      </c>
      <c r="D246">
        <v>0.46666666865348816</v>
      </c>
      <c r="E246" t="s">
        <v>2987</v>
      </c>
    </row>
    <row r="247" spans="1:5" x14ac:dyDescent="0.2">
      <c r="A247" t="s">
        <v>2363</v>
      </c>
      <c r="B247" t="s">
        <v>2988</v>
      </c>
      <c r="C247" t="s">
        <v>2988</v>
      </c>
      <c r="D247">
        <v>0</v>
      </c>
      <c r="E247" t="s">
        <v>2987</v>
      </c>
    </row>
    <row r="248" spans="1:5" x14ac:dyDescent="0.2">
      <c r="A248" t="s">
        <v>2364</v>
      </c>
      <c r="B248" t="s">
        <v>1807</v>
      </c>
      <c r="C248" t="s">
        <v>1</v>
      </c>
      <c r="D248">
        <v>0.5151515007019043</v>
      </c>
      <c r="E248" t="s">
        <v>2987</v>
      </c>
    </row>
    <row r="249" spans="1:5" x14ac:dyDescent="0.2">
      <c r="A249" t="s">
        <v>2365</v>
      </c>
      <c r="B249" t="s">
        <v>2988</v>
      </c>
      <c r="C249" t="s">
        <v>2988</v>
      </c>
      <c r="D249">
        <v>0</v>
      </c>
      <c r="E249" t="s">
        <v>2987</v>
      </c>
    </row>
    <row r="250" spans="1:5" x14ac:dyDescent="0.2">
      <c r="A250" t="s">
        <v>2366</v>
      </c>
      <c r="B250" t="s">
        <v>2988</v>
      </c>
      <c r="C250" t="s">
        <v>2988</v>
      </c>
      <c r="D250">
        <v>0</v>
      </c>
      <c r="E250" t="s">
        <v>2987</v>
      </c>
    </row>
    <row r="251" spans="1:5" x14ac:dyDescent="0.2">
      <c r="A251" t="s">
        <v>2367</v>
      </c>
      <c r="B251" t="s">
        <v>2988</v>
      </c>
      <c r="C251" t="s">
        <v>2988</v>
      </c>
      <c r="D251">
        <v>0.125</v>
      </c>
      <c r="E251" t="s">
        <v>2987</v>
      </c>
    </row>
    <row r="252" spans="1:5" x14ac:dyDescent="0.2">
      <c r="A252" t="s">
        <v>2368</v>
      </c>
      <c r="B252" t="s">
        <v>2988</v>
      </c>
      <c r="C252" t="s">
        <v>2988</v>
      </c>
      <c r="D252">
        <v>0</v>
      </c>
      <c r="E252" t="s">
        <v>2987</v>
      </c>
    </row>
    <row r="253" spans="1:5" x14ac:dyDescent="0.2">
      <c r="A253" t="s">
        <v>2369</v>
      </c>
      <c r="B253" t="s">
        <v>971</v>
      </c>
      <c r="C253" t="s">
        <v>1</v>
      </c>
      <c r="D253">
        <v>0.46153846383094788</v>
      </c>
      <c r="E253" t="s">
        <v>2987</v>
      </c>
    </row>
    <row r="254" spans="1:5" x14ac:dyDescent="0.2">
      <c r="A254" t="s">
        <v>2370</v>
      </c>
      <c r="B254" t="s">
        <v>991</v>
      </c>
      <c r="C254" t="s">
        <v>0</v>
      </c>
      <c r="D254">
        <v>0.46666666865348816</v>
      </c>
      <c r="E254" t="s">
        <v>2987</v>
      </c>
    </row>
    <row r="255" spans="1:5" x14ac:dyDescent="0.2">
      <c r="A255" t="s">
        <v>2371</v>
      </c>
      <c r="B255" t="s">
        <v>1040</v>
      </c>
      <c r="C255" t="s">
        <v>0</v>
      </c>
      <c r="D255">
        <v>0.41860464215278625</v>
      </c>
      <c r="E255" t="s">
        <v>2987</v>
      </c>
    </row>
    <row r="256" spans="1:5" x14ac:dyDescent="0.2">
      <c r="A256" t="s">
        <v>2372</v>
      </c>
      <c r="B256" t="s">
        <v>1040</v>
      </c>
      <c r="C256" t="s">
        <v>0</v>
      </c>
      <c r="D256">
        <v>0.40000000596046448</v>
      </c>
      <c r="E256" t="s">
        <v>2987</v>
      </c>
    </row>
    <row r="257" spans="1:5" x14ac:dyDescent="0.2">
      <c r="A257" t="s">
        <v>2373</v>
      </c>
      <c r="B257" t="s">
        <v>2988</v>
      </c>
      <c r="C257" t="s">
        <v>2988</v>
      </c>
      <c r="D257">
        <v>0.1428571492433548</v>
      </c>
      <c r="E257" t="s">
        <v>2987</v>
      </c>
    </row>
    <row r="258" spans="1:5" x14ac:dyDescent="0.2">
      <c r="A258" t="s">
        <v>2374</v>
      </c>
      <c r="B258" t="s">
        <v>417</v>
      </c>
      <c r="C258" t="s">
        <v>1</v>
      </c>
      <c r="D258">
        <v>0.4166666567325592</v>
      </c>
      <c r="E258" t="s">
        <v>2987</v>
      </c>
    </row>
    <row r="259" spans="1:5" x14ac:dyDescent="0.2">
      <c r="A259" t="s">
        <v>2375</v>
      </c>
      <c r="B259" t="s">
        <v>417</v>
      </c>
      <c r="C259" t="s">
        <v>1</v>
      </c>
      <c r="D259">
        <v>0.60000002384185791</v>
      </c>
      <c r="E259" t="s">
        <v>2987</v>
      </c>
    </row>
    <row r="260" spans="1:5" x14ac:dyDescent="0.2">
      <c r="A260" t="s">
        <v>2376</v>
      </c>
      <c r="B260" t="s">
        <v>2988</v>
      </c>
      <c r="C260" t="s">
        <v>2988</v>
      </c>
      <c r="D260">
        <v>7.6923079788684845E-2</v>
      </c>
      <c r="E260" t="s">
        <v>2987</v>
      </c>
    </row>
    <row r="261" spans="1:5" x14ac:dyDescent="0.2">
      <c r="A261" t="s">
        <v>2377</v>
      </c>
      <c r="B261" t="s">
        <v>2988</v>
      </c>
      <c r="C261" t="s">
        <v>2988</v>
      </c>
      <c r="D261">
        <v>0.25</v>
      </c>
      <c r="E261" t="s">
        <v>2987</v>
      </c>
    </row>
    <row r="262" spans="1:5" x14ac:dyDescent="0.2">
      <c r="A262" t="s">
        <v>2378</v>
      </c>
      <c r="B262" t="s">
        <v>415</v>
      </c>
      <c r="C262" t="s">
        <v>1</v>
      </c>
      <c r="D262">
        <v>0.4375</v>
      </c>
      <c r="E262" t="s">
        <v>2987</v>
      </c>
    </row>
    <row r="263" spans="1:5" x14ac:dyDescent="0.2">
      <c r="A263" t="s">
        <v>2379</v>
      </c>
      <c r="B263" t="s">
        <v>2009</v>
      </c>
      <c r="C263" t="s">
        <v>1</v>
      </c>
      <c r="D263">
        <v>0.40000000596046448</v>
      </c>
      <c r="E263" t="s">
        <v>2987</v>
      </c>
    </row>
    <row r="264" spans="1:5" x14ac:dyDescent="0.2">
      <c r="A264" t="s">
        <v>2380</v>
      </c>
      <c r="B264" t="s">
        <v>822</v>
      </c>
      <c r="C264" t="s">
        <v>0</v>
      </c>
      <c r="D264">
        <v>0.60000002384185791</v>
      </c>
      <c r="E264" t="s">
        <v>2987</v>
      </c>
    </row>
    <row r="265" spans="1:5" x14ac:dyDescent="0.2">
      <c r="A265" t="s">
        <v>2381</v>
      </c>
      <c r="B265" t="s">
        <v>1583</v>
      </c>
      <c r="C265" t="s">
        <v>1</v>
      </c>
      <c r="D265">
        <v>0.40000000596046448</v>
      </c>
      <c r="E265" t="s">
        <v>2987</v>
      </c>
    </row>
    <row r="266" spans="1:5" x14ac:dyDescent="0.2">
      <c r="A266" t="s">
        <v>2382</v>
      </c>
      <c r="B266" t="s">
        <v>2988</v>
      </c>
      <c r="C266" t="s">
        <v>2988</v>
      </c>
      <c r="D266">
        <v>0.125</v>
      </c>
      <c r="E266" t="s">
        <v>2987</v>
      </c>
    </row>
    <row r="267" spans="1:5" x14ac:dyDescent="0.2">
      <c r="A267" t="s">
        <v>2383</v>
      </c>
      <c r="B267" t="s">
        <v>1167</v>
      </c>
      <c r="C267" t="s">
        <v>0</v>
      </c>
      <c r="D267">
        <v>0.55555558204650879</v>
      </c>
      <c r="E267" t="s">
        <v>2987</v>
      </c>
    </row>
    <row r="268" spans="1:5" x14ac:dyDescent="0.2">
      <c r="A268" t="s">
        <v>2384</v>
      </c>
      <c r="B268" t="s">
        <v>419</v>
      </c>
      <c r="C268" t="s">
        <v>1</v>
      </c>
      <c r="D268">
        <v>0.5161290168762207</v>
      </c>
      <c r="E268" t="s">
        <v>2987</v>
      </c>
    </row>
    <row r="269" spans="1:5" x14ac:dyDescent="0.2">
      <c r="A269" t="s">
        <v>2385</v>
      </c>
      <c r="B269" t="s">
        <v>29</v>
      </c>
      <c r="C269" t="s">
        <v>1</v>
      </c>
      <c r="D269">
        <v>0.39344263076782227</v>
      </c>
      <c r="E269" t="s">
        <v>2987</v>
      </c>
    </row>
    <row r="270" spans="1:5" x14ac:dyDescent="0.2">
      <c r="A270" t="s">
        <v>2386</v>
      </c>
      <c r="B270" t="s">
        <v>2010</v>
      </c>
      <c r="C270" t="s">
        <v>1</v>
      </c>
      <c r="D270">
        <v>0.59259259700775146</v>
      </c>
      <c r="E270" t="s">
        <v>2987</v>
      </c>
    </row>
    <row r="271" spans="1:5" x14ac:dyDescent="0.2">
      <c r="A271" t="s">
        <v>2387</v>
      </c>
      <c r="B271" t="s">
        <v>898</v>
      </c>
      <c r="C271" t="s">
        <v>0</v>
      </c>
      <c r="D271">
        <v>0.66666668653488159</v>
      </c>
      <c r="E271" t="s">
        <v>2987</v>
      </c>
    </row>
    <row r="272" spans="1:5" x14ac:dyDescent="0.2">
      <c r="A272" t="s">
        <v>2388</v>
      </c>
      <c r="B272" t="s">
        <v>1581</v>
      </c>
      <c r="C272" t="s">
        <v>1</v>
      </c>
      <c r="D272">
        <v>0.6111111044883728</v>
      </c>
      <c r="E272" t="s">
        <v>2987</v>
      </c>
    </row>
    <row r="273" spans="1:5" x14ac:dyDescent="0.2">
      <c r="A273" t="s">
        <v>2389</v>
      </c>
      <c r="B273" t="s">
        <v>2988</v>
      </c>
      <c r="C273" t="s">
        <v>2988</v>
      </c>
      <c r="D273">
        <v>0</v>
      </c>
      <c r="E273" t="s">
        <v>2987</v>
      </c>
    </row>
    <row r="274" spans="1:5" x14ac:dyDescent="0.2">
      <c r="A274" t="s">
        <v>2390</v>
      </c>
      <c r="B274" t="s">
        <v>2988</v>
      </c>
      <c r="C274" t="s">
        <v>2988</v>
      </c>
      <c r="D274">
        <v>0</v>
      </c>
      <c r="E274" t="s">
        <v>2987</v>
      </c>
    </row>
    <row r="275" spans="1:5" x14ac:dyDescent="0.2">
      <c r="A275" t="s">
        <v>2391</v>
      </c>
      <c r="B275" t="s">
        <v>2988</v>
      </c>
      <c r="C275" t="s">
        <v>2988</v>
      </c>
      <c r="D275">
        <v>0.15384615957736969</v>
      </c>
      <c r="E275" t="s">
        <v>2987</v>
      </c>
    </row>
    <row r="276" spans="1:5" x14ac:dyDescent="0.2">
      <c r="A276" t="s">
        <v>2392</v>
      </c>
      <c r="B276" t="s">
        <v>94</v>
      </c>
      <c r="C276" t="s">
        <v>0</v>
      </c>
      <c r="D276">
        <v>1</v>
      </c>
      <c r="E276" t="s">
        <v>2987</v>
      </c>
    </row>
    <row r="277" spans="1:5" x14ac:dyDescent="0.2">
      <c r="A277" t="s">
        <v>2393</v>
      </c>
      <c r="B277" t="s">
        <v>2988</v>
      </c>
      <c r="C277" t="s">
        <v>2988</v>
      </c>
      <c r="D277">
        <v>0</v>
      </c>
      <c r="E277" t="s">
        <v>2987</v>
      </c>
    </row>
    <row r="278" spans="1:5" x14ac:dyDescent="0.2">
      <c r="A278" t="s">
        <v>2394</v>
      </c>
      <c r="B278" t="s">
        <v>2988</v>
      </c>
      <c r="C278" t="s">
        <v>2988</v>
      </c>
      <c r="D278">
        <v>0</v>
      </c>
      <c r="E278" t="s">
        <v>2987</v>
      </c>
    </row>
    <row r="279" spans="1:5" x14ac:dyDescent="0.2">
      <c r="A279" t="s">
        <v>2395</v>
      </c>
      <c r="B279" t="s">
        <v>2988</v>
      </c>
      <c r="C279" t="s">
        <v>2988</v>
      </c>
      <c r="D279">
        <v>0</v>
      </c>
      <c r="E279" t="s">
        <v>2987</v>
      </c>
    </row>
    <row r="280" spans="1:5" x14ac:dyDescent="0.2">
      <c r="A280" t="s">
        <v>2396</v>
      </c>
      <c r="B280" t="s">
        <v>2988</v>
      </c>
      <c r="C280" t="s">
        <v>2988</v>
      </c>
      <c r="D280">
        <v>0.125</v>
      </c>
      <c r="E280" t="s">
        <v>2987</v>
      </c>
    </row>
    <row r="281" spans="1:5" x14ac:dyDescent="0.2">
      <c r="A281" t="s">
        <v>2397</v>
      </c>
      <c r="B281" t="s">
        <v>2988</v>
      </c>
      <c r="C281" t="s">
        <v>2988</v>
      </c>
      <c r="D281">
        <v>0.125</v>
      </c>
      <c r="E281" t="s">
        <v>2987</v>
      </c>
    </row>
    <row r="282" spans="1:5" x14ac:dyDescent="0.2">
      <c r="A282" t="s">
        <v>2398</v>
      </c>
      <c r="B282" t="s">
        <v>1314</v>
      </c>
      <c r="C282" t="s">
        <v>1</v>
      </c>
      <c r="D282">
        <v>0.43243244290351868</v>
      </c>
      <c r="E282" t="s">
        <v>2987</v>
      </c>
    </row>
    <row r="283" spans="1:5" x14ac:dyDescent="0.2">
      <c r="A283" t="s">
        <v>2399</v>
      </c>
      <c r="B283" t="s">
        <v>2988</v>
      </c>
      <c r="C283" t="s">
        <v>2988</v>
      </c>
      <c r="D283">
        <v>0.125</v>
      </c>
      <c r="E283" t="s">
        <v>2987</v>
      </c>
    </row>
    <row r="284" spans="1:5" x14ac:dyDescent="0.2">
      <c r="A284" t="s">
        <v>2400</v>
      </c>
      <c r="B284" t="s">
        <v>38</v>
      </c>
      <c r="C284" t="s">
        <v>0</v>
      </c>
      <c r="D284">
        <v>0.51999998092651367</v>
      </c>
      <c r="E284" t="s">
        <v>2987</v>
      </c>
    </row>
    <row r="285" spans="1:5" x14ac:dyDescent="0.2">
      <c r="A285" t="s">
        <v>2401</v>
      </c>
      <c r="B285" t="s">
        <v>38</v>
      </c>
      <c r="C285" t="s">
        <v>0</v>
      </c>
      <c r="D285">
        <v>0.66666668653488159</v>
      </c>
      <c r="E285" t="s">
        <v>2987</v>
      </c>
    </row>
    <row r="286" spans="1:5" x14ac:dyDescent="0.2">
      <c r="A286" t="s">
        <v>2402</v>
      </c>
      <c r="B286" t="s">
        <v>38</v>
      </c>
      <c r="C286" t="s">
        <v>0</v>
      </c>
      <c r="D286">
        <v>1</v>
      </c>
      <c r="E286" t="s">
        <v>2987</v>
      </c>
    </row>
    <row r="287" spans="1:5" x14ac:dyDescent="0.2">
      <c r="A287" t="s">
        <v>2403</v>
      </c>
      <c r="B287" t="s">
        <v>2988</v>
      </c>
      <c r="C287" t="s">
        <v>2988</v>
      </c>
      <c r="D287">
        <v>0</v>
      </c>
      <c r="E287" t="s">
        <v>2987</v>
      </c>
    </row>
    <row r="288" spans="1:5" x14ac:dyDescent="0.2">
      <c r="A288" t="s">
        <v>2404</v>
      </c>
      <c r="B288" t="s">
        <v>741</v>
      </c>
      <c r="C288" t="s">
        <v>1</v>
      </c>
      <c r="D288">
        <v>0.5</v>
      </c>
      <c r="E288" t="s">
        <v>2987</v>
      </c>
    </row>
    <row r="289" spans="1:5" x14ac:dyDescent="0.2">
      <c r="A289" t="s">
        <v>2405</v>
      </c>
      <c r="B289" t="s">
        <v>2988</v>
      </c>
      <c r="C289" t="s">
        <v>2988</v>
      </c>
      <c r="D289">
        <v>0.10000000149011612</v>
      </c>
      <c r="E289" t="s">
        <v>2987</v>
      </c>
    </row>
    <row r="290" spans="1:5" x14ac:dyDescent="0.2">
      <c r="A290" t="s">
        <v>2406</v>
      </c>
      <c r="B290" t="s">
        <v>1691</v>
      </c>
      <c r="C290" t="s">
        <v>1</v>
      </c>
      <c r="D290">
        <v>0.4285714328289032</v>
      </c>
      <c r="E290" t="s">
        <v>2987</v>
      </c>
    </row>
    <row r="291" spans="1:5" x14ac:dyDescent="0.2">
      <c r="A291" t="s">
        <v>2407</v>
      </c>
      <c r="B291" t="s">
        <v>941</v>
      </c>
      <c r="C291" t="s">
        <v>1</v>
      </c>
      <c r="D291">
        <v>0.46153846383094788</v>
      </c>
      <c r="E291" t="s">
        <v>2987</v>
      </c>
    </row>
    <row r="292" spans="1:5" x14ac:dyDescent="0.2">
      <c r="A292" t="s">
        <v>2408</v>
      </c>
      <c r="B292" t="s">
        <v>1788</v>
      </c>
      <c r="C292" t="s">
        <v>1</v>
      </c>
      <c r="D292">
        <v>0.48571428656578064</v>
      </c>
      <c r="E292" t="s">
        <v>2987</v>
      </c>
    </row>
    <row r="293" spans="1:5" x14ac:dyDescent="0.2">
      <c r="A293" t="s">
        <v>2409</v>
      </c>
      <c r="B293" t="s">
        <v>384</v>
      </c>
      <c r="C293" t="s">
        <v>0</v>
      </c>
      <c r="D293">
        <v>0.59259259700775146</v>
      </c>
      <c r="E293" t="s">
        <v>2987</v>
      </c>
    </row>
    <row r="294" spans="1:5" x14ac:dyDescent="0.2">
      <c r="A294" t="s">
        <v>2410</v>
      </c>
      <c r="B294" t="s">
        <v>330</v>
      </c>
      <c r="C294" t="s">
        <v>0</v>
      </c>
      <c r="D294">
        <v>0.3611111044883728</v>
      </c>
      <c r="E294" t="s">
        <v>2987</v>
      </c>
    </row>
    <row r="295" spans="1:5" x14ac:dyDescent="0.2">
      <c r="A295" t="s">
        <v>2411</v>
      </c>
      <c r="B295" t="s">
        <v>1790</v>
      </c>
      <c r="C295" t="s">
        <v>1</v>
      </c>
      <c r="D295">
        <v>0.41304346919059753</v>
      </c>
      <c r="E295" t="s">
        <v>2987</v>
      </c>
    </row>
    <row r="296" spans="1:5" x14ac:dyDescent="0.2">
      <c r="A296" t="s">
        <v>2412</v>
      </c>
      <c r="B296" t="s">
        <v>745</v>
      </c>
      <c r="C296" t="s">
        <v>1</v>
      </c>
      <c r="D296">
        <v>0.56000000238418579</v>
      </c>
      <c r="E296" t="s">
        <v>2987</v>
      </c>
    </row>
    <row r="297" spans="1:5" x14ac:dyDescent="0.2">
      <c r="A297" t="s">
        <v>2413</v>
      </c>
      <c r="B297" t="s">
        <v>557</v>
      </c>
      <c r="C297" t="s">
        <v>1</v>
      </c>
      <c r="D297">
        <v>0.66666668653488159</v>
      </c>
      <c r="E297" t="s">
        <v>2987</v>
      </c>
    </row>
    <row r="298" spans="1:5" x14ac:dyDescent="0.2">
      <c r="A298" t="s">
        <v>2414</v>
      </c>
      <c r="B298" t="s">
        <v>1763</v>
      </c>
      <c r="C298" t="s">
        <v>1</v>
      </c>
      <c r="D298">
        <v>1</v>
      </c>
      <c r="E298" t="s">
        <v>2987</v>
      </c>
    </row>
    <row r="299" spans="1:5" x14ac:dyDescent="0.2">
      <c r="A299" t="s">
        <v>2415</v>
      </c>
      <c r="B299" t="s">
        <v>2988</v>
      </c>
      <c r="C299" t="s">
        <v>2988</v>
      </c>
      <c r="D299">
        <v>0.125</v>
      </c>
      <c r="E299" t="s">
        <v>2987</v>
      </c>
    </row>
    <row r="300" spans="1:5" x14ac:dyDescent="0.2">
      <c r="A300" t="s">
        <v>2416</v>
      </c>
      <c r="B300" t="s">
        <v>687</v>
      </c>
      <c r="C300" t="s">
        <v>0</v>
      </c>
      <c r="D300">
        <v>0.4375</v>
      </c>
      <c r="E300" t="s">
        <v>2987</v>
      </c>
    </row>
    <row r="301" spans="1:5" x14ac:dyDescent="0.2">
      <c r="A301" t="s">
        <v>2417</v>
      </c>
      <c r="B301" t="s">
        <v>2040</v>
      </c>
      <c r="C301" t="s">
        <v>1</v>
      </c>
      <c r="D301">
        <v>0.4444444477558136</v>
      </c>
      <c r="E301" t="s">
        <v>2987</v>
      </c>
    </row>
    <row r="302" spans="1:5" x14ac:dyDescent="0.2">
      <c r="A302" t="s">
        <v>2418</v>
      </c>
      <c r="B302" t="s">
        <v>2988</v>
      </c>
      <c r="C302" t="s">
        <v>2988</v>
      </c>
      <c r="D302">
        <v>0.1428571492433548</v>
      </c>
      <c r="E302" t="s">
        <v>2987</v>
      </c>
    </row>
    <row r="303" spans="1:5" x14ac:dyDescent="0.2">
      <c r="A303" t="s">
        <v>2419</v>
      </c>
      <c r="B303" t="s">
        <v>632</v>
      </c>
      <c r="C303" t="s">
        <v>0</v>
      </c>
      <c r="D303">
        <v>0.5625</v>
      </c>
      <c r="E303" t="s">
        <v>2987</v>
      </c>
    </row>
    <row r="304" spans="1:5" x14ac:dyDescent="0.2">
      <c r="A304" t="s">
        <v>2420</v>
      </c>
      <c r="B304" t="s">
        <v>2988</v>
      </c>
      <c r="C304" t="s">
        <v>2988</v>
      </c>
      <c r="D304">
        <v>0</v>
      </c>
      <c r="E304" t="s">
        <v>2987</v>
      </c>
    </row>
    <row r="305" spans="1:5" x14ac:dyDescent="0.2">
      <c r="A305" t="s">
        <v>2421</v>
      </c>
      <c r="B305" t="s">
        <v>1113</v>
      </c>
      <c r="C305" t="s">
        <v>0</v>
      </c>
      <c r="D305">
        <v>0.52631580829620361</v>
      </c>
      <c r="E305" t="s">
        <v>2987</v>
      </c>
    </row>
    <row r="306" spans="1:5" x14ac:dyDescent="0.2">
      <c r="A306" t="s">
        <v>2422</v>
      </c>
      <c r="B306" t="s">
        <v>2988</v>
      </c>
      <c r="C306" t="s">
        <v>2988</v>
      </c>
      <c r="D306">
        <v>0.1428571492433548</v>
      </c>
      <c r="E306" t="s">
        <v>2987</v>
      </c>
    </row>
    <row r="307" spans="1:5" x14ac:dyDescent="0.2">
      <c r="A307" t="s">
        <v>2423</v>
      </c>
      <c r="B307" t="s">
        <v>2988</v>
      </c>
      <c r="C307" t="s">
        <v>2988</v>
      </c>
      <c r="D307">
        <v>0</v>
      </c>
      <c r="E307" t="s">
        <v>2987</v>
      </c>
    </row>
    <row r="308" spans="1:5" x14ac:dyDescent="0.2">
      <c r="A308" t="s">
        <v>2424</v>
      </c>
      <c r="B308" t="s">
        <v>361</v>
      </c>
      <c r="C308" t="s">
        <v>0</v>
      </c>
      <c r="D308">
        <v>0.47368422150611877</v>
      </c>
      <c r="E308" t="s">
        <v>2987</v>
      </c>
    </row>
    <row r="309" spans="1:5" x14ac:dyDescent="0.2">
      <c r="A309" t="s">
        <v>2425</v>
      </c>
      <c r="B309" t="s">
        <v>1389</v>
      </c>
      <c r="C309" t="s">
        <v>1</v>
      </c>
      <c r="D309">
        <v>0.36363637447357178</v>
      </c>
      <c r="E309" t="s">
        <v>2987</v>
      </c>
    </row>
    <row r="310" spans="1:5" x14ac:dyDescent="0.2">
      <c r="A310" t="s">
        <v>2426</v>
      </c>
      <c r="B310" t="s">
        <v>1660</v>
      </c>
      <c r="C310" t="s">
        <v>1</v>
      </c>
      <c r="D310">
        <v>0.52777779102325439</v>
      </c>
      <c r="E310" t="s">
        <v>2987</v>
      </c>
    </row>
    <row r="311" spans="1:5" x14ac:dyDescent="0.2">
      <c r="A311" t="s">
        <v>2427</v>
      </c>
      <c r="B311" t="s">
        <v>1661</v>
      </c>
      <c r="C311" t="s">
        <v>1</v>
      </c>
      <c r="D311">
        <v>0.50684928894042969</v>
      </c>
      <c r="E311" t="s">
        <v>2987</v>
      </c>
    </row>
    <row r="312" spans="1:5" x14ac:dyDescent="0.2">
      <c r="A312" t="s">
        <v>2428</v>
      </c>
      <c r="B312" t="s">
        <v>1660</v>
      </c>
      <c r="C312" t="s">
        <v>1</v>
      </c>
      <c r="D312">
        <v>0.43478259444236755</v>
      </c>
      <c r="E312" t="s">
        <v>2987</v>
      </c>
    </row>
    <row r="313" spans="1:5" x14ac:dyDescent="0.2">
      <c r="A313" t="s">
        <v>2429</v>
      </c>
      <c r="B313" t="s">
        <v>826</v>
      </c>
      <c r="C313" t="s">
        <v>0</v>
      </c>
      <c r="D313">
        <v>0.66666668653488159</v>
      </c>
      <c r="E313" t="s">
        <v>2987</v>
      </c>
    </row>
    <row r="314" spans="1:5" x14ac:dyDescent="0.2">
      <c r="A314" t="s">
        <v>2430</v>
      </c>
      <c r="B314" t="s">
        <v>915</v>
      </c>
      <c r="C314" t="s">
        <v>1</v>
      </c>
      <c r="D314">
        <v>0.36000001430511475</v>
      </c>
      <c r="E314" t="s">
        <v>2987</v>
      </c>
    </row>
    <row r="315" spans="1:5" x14ac:dyDescent="0.2">
      <c r="A315" t="s">
        <v>2431</v>
      </c>
      <c r="B315" t="s">
        <v>788</v>
      </c>
      <c r="C315" t="s">
        <v>0</v>
      </c>
      <c r="D315">
        <v>0.52941179275512695</v>
      </c>
      <c r="E315" t="s">
        <v>2987</v>
      </c>
    </row>
    <row r="316" spans="1:5" x14ac:dyDescent="0.2">
      <c r="A316" t="s">
        <v>2432</v>
      </c>
      <c r="B316" t="s">
        <v>2988</v>
      </c>
      <c r="C316" t="s">
        <v>2988</v>
      </c>
      <c r="D316">
        <v>0</v>
      </c>
      <c r="E316" t="s">
        <v>2987</v>
      </c>
    </row>
    <row r="317" spans="1:5" x14ac:dyDescent="0.2">
      <c r="A317" t="s">
        <v>2433</v>
      </c>
      <c r="B317" t="s">
        <v>2988</v>
      </c>
      <c r="C317" t="s">
        <v>2988</v>
      </c>
      <c r="D317">
        <v>0</v>
      </c>
      <c r="E317" t="s">
        <v>2987</v>
      </c>
    </row>
    <row r="318" spans="1:5" x14ac:dyDescent="0.2">
      <c r="A318" t="s">
        <v>2434</v>
      </c>
      <c r="B318" t="s">
        <v>1391</v>
      </c>
      <c r="C318" t="s">
        <v>1</v>
      </c>
      <c r="D318">
        <v>0.44736841320991516</v>
      </c>
      <c r="E318" t="s">
        <v>2987</v>
      </c>
    </row>
    <row r="319" spans="1:5" x14ac:dyDescent="0.2">
      <c r="A319" t="s">
        <v>2435</v>
      </c>
      <c r="B319" t="s">
        <v>1391</v>
      </c>
      <c r="C319" t="s">
        <v>1</v>
      </c>
      <c r="D319">
        <v>0.4375</v>
      </c>
      <c r="E319" t="s">
        <v>2987</v>
      </c>
    </row>
    <row r="320" spans="1:5" x14ac:dyDescent="0.2">
      <c r="A320" t="s">
        <v>2436</v>
      </c>
      <c r="B320" t="s">
        <v>747</v>
      </c>
      <c r="C320" t="s">
        <v>1</v>
      </c>
      <c r="D320">
        <v>0.5</v>
      </c>
      <c r="E320" t="s">
        <v>2987</v>
      </c>
    </row>
    <row r="321" spans="1:5" x14ac:dyDescent="0.2">
      <c r="A321" t="s">
        <v>2437</v>
      </c>
      <c r="B321" t="s">
        <v>386</v>
      </c>
      <c r="C321" t="s">
        <v>0</v>
      </c>
      <c r="D321">
        <v>0.53846156597137451</v>
      </c>
      <c r="E321" t="s">
        <v>2987</v>
      </c>
    </row>
    <row r="322" spans="1:5" x14ac:dyDescent="0.2">
      <c r="A322" t="s">
        <v>2438</v>
      </c>
      <c r="B322" t="s">
        <v>1835</v>
      </c>
      <c r="C322" t="s">
        <v>1</v>
      </c>
      <c r="D322">
        <v>0.4375</v>
      </c>
      <c r="E322" t="s">
        <v>2987</v>
      </c>
    </row>
    <row r="323" spans="1:5" x14ac:dyDescent="0.2">
      <c r="A323" t="s">
        <v>2439</v>
      </c>
      <c r="B323" t="s">
        <v>848</v>
      </c>
      <c r="C323" t="s">
        <v>0</v>
      </c>
      <c r="D323">
        <v>1</v>
      </c>
      <c r="E323" t="s">
        <v>2987</v>
      </c>
    </row>
    <row r="324" spans="1:5" x14ac:dyDescent="0.2">
      <c r="A324" t="s">
        <v>2440</v>
      </c>
      <c r="B324" t="s">
        <v>2988</v>
      </c>
      <c r="C324" t="s">
        <v>2988</v>
      </c>
      <c r="D324">
        <v>0</v>
      </c>
      <c r="E324" t="s">
        <v>2987</v>
      </c>
    </row>
    <row r="325" spans="1:5" x14ac:dyDescent="0.2">
      <c r="A325" t="s">
        <v>2441</v>
      </c>
      <c r="B325" t="s">
        <v>840</v>
      </c>
      <c r="C325" t="s">
        <v>0</v>
      </c>
      <c r="D325">
        <v>0.5</v>
      </c>
      <c r="E325" t="s">
        <v>2987</v>
      </c>
    </row>
    <row r="326" spans="1:5" x14ac:dyDescent="0.2">
      <c r="A326" t="s">
        <v>2442</v>
      </c>
      <c r="B326" t="s">
        <v>232</v>
      </c>
      <c r="C326" t="s">
        <v>0</v>
      </c>
      <c r="D326">
        <v>0.375</v>
      </c>
      <c r="E326" t="s">
        <v>2987</v>
      </c>
    </row>
    <row r="327" spans="1:5" x14ac:dyDescent="0.2">
      <c r="A327" t="s">
        <v>2443</v>
      </c>
      <c r="B327" t="s">
        <v>388</v>
      </c>
      <c r="C327" t="s">
        <v>0</v>
      </c>
      <c r="D327">
        <v>1</v>
      </c>
      <c r="E327" t="s">
        <v>2987</v>
      </c>
    </row>
    <row r="328" spans="1:5" x14ac:dyDescent="0.2">
      <c r="A328" t="s">
        <v>2444</v>
      </c>
      <c r="B328" t="s">
        <v>390</v>
      </c>
      <c r="C328" t="s">
        <v>0</v>
      </c>
      <c r="D328">
        <v>0.60000002384185791</v>
      </c>
      <c r="E328" t="s">
        <v>2987</v>
      </c>
    </row>
    <row r="329" spans="1:5" x14ac:dyDescent="0.2">
      <c r="A329" t="s">
        <v>2445</v>
      </c>
      <c r="B329" t="s">
        <v>2988</v>
      </c>
      <c r="C329" t="s">
        <v>2988</v>
      </c>
      <c r="D329">
        <v>0</v>
      </c>
      <c r="E329" t="s">
        <v>2987</v>
      </c>
    </row>
    <row r="330" spans="1:5" x14ac:dyDescent="0.2">
      <c r="A330" t="s">
        <v>2446</v>
      </c>
      <c r="B330" t="s">
        <v>2988</v>
      </c>
      <c r="C330" t="s">
        <v>2988</v>
      </c>
      <c r="D330">
        <v>7.6923079788684845E-2</v>
      </c>
      <c r="E330" t="s">
        <v>2987</v>
      </c>
    </row>
    <row r="331" spans="1:5" x14ac:dyDescent="0.2">
      <c r="A331" t="s">
        <v>2447</v>
      </c>
      <c r="B331" t="s">
        <v>1155</v>
      </c>
      <c r="C331" t="s">
        <v>0</v>
      </c>
      <c r="D331">
        <v>0.53333336114883423</v>
      </c>
      <c r="E331" t="s">
        <v>2987</v>
      </c>
    </row>
    <row r="332" spans="1:5" x14ac:dyDescent="0.2">
      <c r="A332" t="s">
        <v>2448</v>
      </c>
      <c r="B332" t="s">
        <v>1157</v>
      </c>
      <c r="C332" t="s">
        <v>0</v>
      </c>
      <c r="D332">
        <v>0.67857140302658081</v>
      </c>
      <c r="E332" t="s">
        <v>2987</v>
      </c>
    </row>
    <row r="333" spans="1:5" x14ac:dyDescent="0.2">
      <c r="A333" t="s">
        <v>2449</v>
      </c>
      <c r="B333" t="s">
        <v>1155</v>
      </c>
      <c r="C333" t="s">
        <v>0</v>
      </c>
      <c r="D333">
        <v>0.47826087474822998</v>
      </c>
      <c r="E333" t="s">
        <v>2987</v>
      </c>
    </row>
    <row r="334" spans="1:5" x14ac:dyDescent="0.2">
      <c r="A334" t="s">
        <v>2450</v>
      </c>
      <c r="B334" t="s">
        <v>1666</v>
      </c>
      <c r="C334" t="s">
        <v>1</v>
      </c>
      <c r="D334">
        <v>0.86486488580703735</v>
      </c>
      <c r="E334" t="s">
        <v>2987</v>
      </c>
    </row>
    <row r="335" spans="1:5" x14ac:dyDescent="0.2">
      <c r="A335" t="s">
        <v>2451</v>
      </c>
      <c r="B335" t="s">
        <v>981</v>
      </c>
      <c r="C335" t="s">
        <v>0</v>
      </c>
      <c r="D335">
        <v>1</v>
      </c>
      <c r="E335" t="s">
        <v>2987</v>
      </c>
    </row>
    <row r="336" spans="1:5" x14ac:dyDescent="0.2">
      <c r="A336" t="s">
        <v>2452</v>
      </c>
      <c r="B336" t="s">
        <v>976</v>
      </c>
      <c r="C336" t="s">
        <v>1</v>
      </c>
      <c r="D336">
        <v>0.46666666865348816</v>
      </c>
      <c r="E336" t="s">
        <v>2987</v>
      </c>
    </row>
    <row r="337" spans="1:5" x14ac:dyDescent="0.2">
      <c r="A337" t="s">
        <v>2453</v>
      </c>
      <c r="B337" t="s">
        <v>478</v>
      </c>
      <c r="C337" t="s">
        <v>0</v>
      </c>
      <c r="D337">
        <v>0.65116280317306519</v>
      </c>
      <c r="E337" t="s">
        <v>2987</v>
      </c>
    </row>
    <row r="338" spans="1:5" x14ac:dyDescent="0.2">
      <c r="A338" t="s">
        <v>2454</v>
      </c>
      <c r="B338" t="s">
        <v>480</v>
      </c>
      <c r="C338" t="s">
        <v>0</v>
      </c>
      <c r="D338">
        <v>0.54545456171035767</v>
      </c>
      <c r="E338" t="s">
        <v>2987</v>
      </c>
    </row>
    <row r="339" spans="1:5" x14ac:dyDescent="0.2">
      <c r="A339" t="s">
        <v>2455</v>
      </c>
      <c r="B339" t="s">
        <v>482</v>
      </c>
      <c r="C339" t="s">
        <v>0</v>
      </c>
      <c r="D339">
        <v>0.63414633274078369</v>
      </c>
      <c r="E339" t="s">
        <v>2987</v>
      </c>
    </row>
    <row r="340" spans="1:5" x14ac:dyDescent="0.2">
      <c r="A340" t="s">
        <v>2456</v>
      </c>
      <c r="B340" t="s">
        <v>1394</v>
      </c>
      <c r="C340" t="s">
        <v>0</v>
      </c>
      <c r="D340">
        <v>0.4444444477558136</v>
      </c>
      <c r="E340" t="s">
        <v>2987</v>
      </c>
    </row>
    <row r="341" spans="1:5" x14ac:dyDescent="0.2">
      <c r="A341" t="s">
        <v>2457</v>
      </c>
      <c r="B341" t="s">
        <v>1678</v>
      </c>
      <c r="C341" t="s">
        <v>1</v>
      </c>
      <c r="D341">
        <v>0.5</v>
      </c>
      <c r="E341" t="s">
        <v>2987</v>
      </c>
    </row>
    <row r="342" spans="1:5" x14ac:dyDescent="0.2">
      <c r="A342" t="s">
        <v>2458</v>
      </c>
      <c r="B342" t="s">
        <v>2988</v>
      </c>
      <c r="C342" t="s">
        <v>2988</v>
      </c>
      <c r="D342">
        <v>7.1428574621677399E-2</v>
      </c>
      <c r="E342" t="s">
        <v>2987</v>
      </c>
    </row>
    <row r="343" spans="1:5" x14ac:dyDescent="0.2">
      <c r="A343" t="s">
        <v>2459</v>
      </c>
      <c r="B343" t="s">
        <v>692</v>
      </c>
      <c r="C343" t="s">
        <v>0</v>
      </c>
      <c r="D343">
        <v>0.52499997615814209</v>
      </c>
      <c r="E343" t="s">
        <v>2987</v>
      </c>
    </row>
    <row r="344" spans="1:5" x14ac:dyDescent="0.2">
      <c r="A344" t="s">
        <v>2460</v>
      </c>
      <c r="B344" t="s">
        <v>1148</v>
      </c>
      <c r="C344" t="s">
        <v>1</v>
      </c>
      <c r="D344">
        <v>0.74074071645736694</v>
      </c>
      <c r="E344" t="s">
        <v>2987</v>
      </c>
    </row>
    <row r="345" spans="1:5" x14ac:dyDescent="0.2">
      <c r="A345" t="s">
        <v>2461</v>
      </c>
      <c r="B345" t="s">
        <v>120</v>
      </c>
      <c r="C345" t="s">
        <v>0</v>
      </c>
      <c r="D345">
        <v>1</v>
      </c>
      <c r="E345" t="s">
        <v>2987</v>
      </c>
    </row>
    <row r="346" spans="1:5" x14ac:dyDescent="0.2">
      <c r="A346" t="s">
        <v>2462</v>
      </c>
      <c r="B346" t="s">
        <v>757</v>
      </c>
      <c r="C346" t="s">
        <v>1</v>
      </c>
      <c r="D346">
        <v>0.48275861144065857</v>
      </c>
      <c r="E346" t="s">
        <v>2987</v>
      </c>
    </row>
    <row r="347" spans="1:5" x14ac:dyDescent="0.2">
      <c r="A347" t="s">
        <v>2463</v>
      </c>
      <c r="B347" t="s">
        <v>850</v>
      </c>
      <c r="C347" t="s">
        <v>0</v>
      </c>
      <c r="D347">
        <v>1</v>
      </c>
      <c r="E347" t="s">
        <v>2987</v>
      </c>
    </row>
    <row r="348" spans="1:5" x14ac:dyDescent="0.2">
      <c r="A348" t="s">
        <v>2464</v>
      </c>
      <c r="B348" t="s">
        <v>2988</v>
      </c>
      <c r="C348" t="s">
        <v>2988</v>
      </c>
      <c r="D348">
        <v>0</v>
      </c>
      <c r="E348" t="s">
        <v>2987</v>
      </c>
    </row>
    <row r="349" spans="1:5" x14ac:dyDescent="0.2">
      <c r="A349" t="s">
        <v>2465</v>
      </c>
      <c r="B349" t="s">
        <v>396</v>
      </c>
      <c r="C349" t="s">
        <v>0</v>
      </c>
      <c r="D349">
        <v>0.46153846383094788</v>
      </c>
      <c r="E349" t="s">
        <v>2987</v>
      </c>
    </row>
    <row r="350" spans="1:5" x14ac:dyDescent="0.2">
      <c r="A350" t="s">
        <v>2466</v>
      </c>
      <c r="B350" t="s">
        <v>1985</v>
      </c>
      <c r="C350" t="s">
        <v>1</v>
      </c>
      <c r="D350">
        <v>0.3888888955116272</v>
      </c>
      <c r="E350" t="s">
        <v>2987</v>
      </c>
    </row>
    <row r="351" spans="1:5" x14ac:dyDescent="0.2">
      <c r="A351" t="s">
        <v>2467</v>
      </c>
      <c r="B351" t="s">
        <v>956</v>
      </c>
      <c r="C351" t="s">
        <v>0</v>
      </c>
      <c r="D351">
        <v>0.5</v>
      </c>
      <c r="E351" t="s">
        <v>2987</v>
      </c>
    </row>
    <row r="352" spans="1:5" x14ac:dyDescent="0.2">
      <c r="A352" t="s">
        <v>2468</v>
      </c>
      <c r="B352" t="s">
        <v>993</v>
      </c>
      <c r="C352" t="s">
        <v>0</v>
      </c>
      <c r="D352">
        <v>0.52941179275512695</v>
      </c>
      <c r="E352" t="s">
        <v>2987</v>
      </c>
    </row>
    <row r="353" spans="1:5" x14ac:dyDescent="0.2">
      <c r="A353" t="s">
        <v>2469</v>
      </c>
      <c r="B353" t="s">
        <v>2988</v>
      </c>
      <c r="C353" t="s">
        <v>2988</v>
      </c>
      <c r="D353">
        <v>0</v>
      </c>
      <c r="E353" t="s">
        <v>2987</v>
      </c>
    </row>
    <row r="354" spans="1:5" x14ac:dyDescent="0.2">
      <c r="A354" t="s">
        <v>2470</v>
      </c>
      <c r="B354" t="s">
        <v>1473</v>
      </c>
      <c r="C354" t="s">
        <v>1</v>
      </c>
      <c r="D354">
        <v>1</v>
      </c>
      <c r="E354" t="s">
        <v>2987</v>
      </c>
    </row>
    <row r="355" spans="1:5" x14ac:dyDescent="0.2">
      <c r="A355" t="s">
        <v>2471</v>
      </c>
      <c r="B355" t="s">
        <v>2988</v>
      </c>
      <c r="C355" t="s">
        <v>2988</v>
      </c>
      <c r="D355">
        <v>0.15384615957736969</v>
      </c>
      <c r="E355" t="s">
        <v>2987</v>
      </c>
    </row>
    <row r="356" spans="1:5" x14ac:dyDescent="0.2">
      <c r="A356" t="s">
        <v>2472</v>
      </c>
      <c r="B356" t="s">
        <v>2071</v>
      </c>
      <c r="C356" t="s">
        <v>1</v>
      </c>
      <c r="D356">
        <v>0.5</v>
      </c>
      <c r="E356" t="s">
        <v>2987</v>
      </c>
    </row>
    <row r="357" spans="1:5" x14ac:dyDescent="0.2">
      <c r="A357" t="s">
        <v>2473</v>
      </c>
      <c r="B357" t="s">
        <v>1344</v>
      </c>
      <c r="C357" t="s">
        <v>1</v>
      </c>
      <c r="D357">
        <v>0.57142859697341919</v>
      </c>
      <c r="E357" t="s">
        <v>2987</v>
      </c>
    </row>
    <row r="358" spans="1:5" x14ac:dyDescent="0.2">
      <c r="A358" t="s">
        <v>2474</v>
      </c>
      <c r="B358" t="s">
        <v>8</v>
      </c>
      <c r="C358" t="s">
        <v>0</v>
      </c>
      <c r="D358">
        <v>0.5</v>
      </c>
      <c r="E358" t="s">
        <v>2987</v>
      </c>
    </row>
    <row r="359" spans="1:5" x14ac:dyDescent="0.2">
      <c r="A359" t="s">
        <v>2475</v>
      </c>
      <c r="B359" t="s">
        <v>423</v>
      </c>
      <c r="C359" t="s">
        <v>1</v>
      </c>
      <c r="D359">
        <v>0.51428574323654175</v>
      </c>
      <c r="E359" t="s">
        <v>2987</v>
      </c>
    </row>
    <row r="360" spans="1:5" x14ac:dyDescent="0.2">
      <c r="A360" t="s">
        <v>2476</v>
      </c>
      <c r="B360" t="s">
        <v>425</v>
      </c>
      <c r="C360" t="s">
        <v>1</v>
      </c>
      <c r="D360">
        <v>0.52941179275512695</v>
      </c>
      <c r="E360" t="s">
        <v>2987</v>
      </c>
    </row>
    <row r="361" spans="1:5" x14ac:dyDescent="0.2">
      <c r="A361" t="s">
        <v>2477</v>
      </c>
      <c r="B361" t="s">
        <v>2988</v>
      </c>
      <c r="C361" t="s">
        <v>2988</v>
      </c>
      <c r="D361">
        <v>0.125</v>
      </c>
      <c r="E361" t="s">
        <v>2987</v>
      </c>
    </row>
    <row r="362" spans="1:5" x14ac:dyDescent="0.2">
      <c r="A362" t="s">
        <v>2478</v>
      </c>
      <c r="B362" t="s">
        <v>1791</v>
      </c>
      <c r="C362" t="s">
        <v>1</v>
      </c>
      <c r="D362">
        <v>0.4848484992980957</v>
      </c>
      <c r="E362" t="s">
        <v>2987</v>
      </c>
    </row>
    <row r="363" spans="1:5" x14ac:dyDescent="0.2">
      <c r="A363" t="s">
        <v>2479</v>
      </c>
      <c r="B363" t="s">
        <v>1405</v>
      </c>
      <c r="C363" t="s">
        <v>1</v>
      </c>
      <c r="D363">
        <v>0.36000001430511475</v>
      </c>
      <c r="E363" t="s">
        <v>2987</v>
      </c>
    </row>
    <row r="364" spans="1:5" x14ac:dyDescent="0.2">
      <c r="A364" t="s">
        <v>2480</v>
      </c>
      <c r="B364" t="s">
        <v>1405</v>
      </c>
      <c r="C364" t="s">
        <v>1</v>
      </c>
      <c r="D364">
        <v>0.4285714328289032</v>
      </c>
      <c r="E364" t="s">
        <v>2987</v>
      </c>
    </row>
    <row r="365" spans="1:5" x14ac:dyDescent="0.2">
      <c r="A365" t="s">
        <v>2481</v>
      </c>
      <c r="B365" t="s">
        <v>2988</v>
      </c>
      <c r="C365" t="s">
        <v>2988</v>
      </c>
      <c r="D365">
        <v>0</v>
      </c>
      <c r="E365" t="s">
        <v>2987</v>
      </c>
    </row>
    <row r="366" spans="1:5" x14ac:dyDescent="0.2">
      <c r="A366" t="s">
        <v>2482</v>
      </c>
      <c r="B366" t="s">
        <v>761</v>
      </c>
      <c r="C366" t="s">
        <v>1</v>
      </c>
      <c r="D366">
        <v>0.51851850748062134</v>
      </c>
      <c r="E366" t="s">
        <v>2987</v>
      </c>
    </row>
    <row r="367" spans="1:5" x14ac:dyDescent="0.2">
      <c r="A367" t="s">
        <v>2483</v>
      </c>
      <c r="B367" t="s">
        <v>1346</v>
      </c>
      <c r="C367" t="s">
        <v>1</v>
      </c>
      <c r="D367">
        <v>0.5161290168762207</v>
      </c>
      <c r="E367" t="s">
        <v>2987</v>
      </c>
    </row>
    <row r="368" spans="1:5" x14ac:dyDescent="0.2">
      <c r="A368" t="s">
        <v>2484</v>
      </c>
      <c r="B368" t="s">
        <v>1299</v>
      </c>
      <c r="C368" t="s">
        <v>0</v>
      </c>
      <c r="D368">
        <v>0.59259259700775146</v>
      </c>
      <c r="E368" t="s">
        <v>2987</v>
      </c>
    </row>
    <row r="369" spans="1:5" x14ac:dyDescent="0.2">
      <c r="A369" t="s">
        <v>2485</v>
      </c>
      <c r="B369" t="s">
        <v>830</v>
      </c>
      <c r="C369" t="s">
        <v>0</v>
      </c>
      <c r="D369">
        <v>1</v>
      </c>
      <c r="E369" t="s">
        <v>2987</v>
      </c>
    </row>
    <row r="370" spans="1:5" x14ac:dyDescent="0.2">
      <c r="A370" t="s">
        <v>2486</v>
      </c>
      <c r="B370" t="s">
        <v>1193</v>
      </c>
      <c r="C370" t="s">
        <v>0</v>
      </c>
      <c r="D370">
        <v>0.3888888955116272</v>
      </c>
      <c r="E370" t="s">
        <v>2987</v>
      </c>
    </row>
    <row r="371" spans="1:5" x14ac:dyDescent="0.2">
      <c r="A371" t="s">
        <v>2487</v>
      </c>
      <c r="B371" t="s">
        <v>765</v>
      </c>
      <c r="C371" t="s">
        <v>1</v>
      </c>
      <c r="D371">
        <v>0.40000000596046448</v>
      </c>
      <c r="E371" t="s">
        <v>2987</v>
      </c>
    </row>
    <row r="372" spans="1:5" x14ac:dyDescent="0.2">
      <c r="A372" t="s">
        <v>2488</v>
      </c>
      <c r="B372" t="s">
        <v>832</v>
      </c>
      <c r="C372" t="s">
        <v>0</v>
      </c>
      <c r="D372">
        <v>1</v>
      </c>
      <c r="E372" t="s">
        <v>2987</v>
      </c>
    </row>
    <row r="373" spans="1:5" x14ac:dyDescent="0.2">
      <c r="A373" t="s">
        <v>2489</v>
      </c>
      <c r="B373" t="s">
        <v>767</v>
      </c>
      <c r="C373" t="s">
        <v>1</v>
      </c>
      <c r="D373">
        <v>0.53846156597137451</v>
      </c>
      <c r="E373" t="s">
        <v>2987</v>
      </c>
    </row>
    <row r="374" spans="1:5" x14ac:dyDescent="0.2">
      <c r="A374" t="s">
        <v>2490</v>
      </c>
      <c r="B374" t="s">
        <v>2988</v>
      </c>
      <c r="C374" t="s">
        <v>2988</v>
      </c>
      <c r="D374">
        <v>0</v>
      </c>
      <c r="E374" t="s">
        <v>2987</v>
      </c>
    </row>
    <row r="375" spans="1:5" x14ac:dyDescent="0.2">
      <c r="A375" t="s">
        <v>2491</v>
      </c>
      <c r="B375" t="s">
        <v>2988</v>
      </c>
      <c r="C375" t="s">
        <v>2988</v>
      </c>
      <c r="D375">
        <v>0</v>
      </c>
      <c r="E375" t="s">
        <v>2987</v>
      </c>
    </row>
    <row r="376" spans="1:5" x14ac:dyDescent="0.2">
      <c r="A376" t="s">
        <v>2492</v>
      </c>
      <c r="B376" t="s">
        <v>2988</v>
      </c>
      <c r="C376" t="s">
        <v>2988</v>
      </c>
      <c r="D376">
        <v>0</v>
      </c>
      <c r="E376" t="s">
        <v>2987</v>
      </c>
    </row>
    <row r="377" spans="1:5" x14ac:dyDescent="0.2">
      <c r="A377" t="s">
        <v>2493</v>
      </c>
      <c r="B377" t="s">
        <v>2988</v>
      </c>
      <c r="C377" t="s">
        <v>2988</v>
      </c>
      <c r="D377">
        <v>0</v>
      </c>
      <c r="E377" t="s">
        <v>2987</v>
      </c>
    </row>
    <row r="378" spans="1:5" x14ac:dyDescent="0.2">
      <c r="A378" t="s">
        <v>2494</v>
      </c>
      <c r="B378" t="s">
        <v>2988</v>
      </c>
      <c r="C378" t="s">
        <v>2988</v>
      </c>
      <c r="D378">
        <v>0</v>
      </c>
      <c r="E378" t="s">
        <v>2987</v>
      </c>
    </row>
    <row r="379" spans="1:5" x14ac:dyDescent="0.2">
      <c r="A379" t="s">
        <v>2495</v>
      </c>
      <c r="B379" t="s">
        <v>427</v>
      </c>
      <c r="C379" t="s">
        <v>1</v>
      </c>
      <c r="D379">
        <v>0.55882352590560913</v>
      </c>
      <c r="E379" t="s">
        <v>2987</v>
      </c>
    </row>
    <row r="380" spans="1:5" x14ac:dyDescent="0.2">
      <c r="A380" t="s">
        <v>2496</v>
      </c>
      <c r="B380" t="s">
        <v>427</v>
      </c>
      <c r="C380" t="s">
        <v>1</v>
      </c>
      <c r="D380">
        <v>0.54054051637649536</v>
      </c>
      <c r="E380" t="s">
        <v>2987</v>
      </c>
    </row>
    <row r="381" spans="1:5" x14ac:dyDescent="0.2">
      <c r="A381" t="s">
        <v>2497</v>
      </c>
      <c r="B381" t="s">
        <v>216</v>
      </c>
      <c r="C381" t="s">
        <v>0</v>
      </c>
      <c r="D381">
        <v>1</v>
      </c>
      <c r="E381" t="s">
        <v>2987</v>
      </c>
    </row>
    <row r="382" spans="1:5" x14ac:dyDescent="0.2">
      <c r="A382" t="s">
        <v>2498</v>
      </c>
      <c r="B382" t="s">
        <v>1560</v>
      </c>
      <c r="C382" t="s">
        <v>1</v>
      </c>
      <c r="D382">
        <v>0.8888888955116272</v>
      </c>
      <c r="E382" t="s">
        <v>2987</v>
      </c>
    </row>
    <row r="383" spans="1:5" x14ac:dyDescent="0.2">
      <c r="A383" t="s">
        <v>2499</v>
      </c>
      <c r="B383" t="s">
        <v>1598</v>
      </c>
      <c r="C383" t="s">
        <v>1</v>
      </c>
      <c r="D383">
        <v>0.39534884691238403</v>
      </c>
      <c r="E383" t="s">
        <v>2987</v>
      </c>
    </row>
    <row r="384" spans="1:5" x14ac:dyDescent="0.2">
      <c r="A384" t="s">
        <v>2500</v>
      </c>
      <c r="B384" t="s">
        <v>985</v>
      </c>
      <c r="C384" t="s">
        <v>0</v>
      </c>
      <c r="D384">
        <v>0.47499999403953552</v>
      </c>
      <c r="E384" t="s">
        <v>2987</v>
      </c>
    </row>
    <row r="385" spans="1:5" x14ac:dyDescent="0.2">
      <c r="A385" t="s">
        <v>2501</v>
      </c>
      <c r="B385" t="s">
        <v>985</v>
      </c>
      <c r="C385" t="s">
        <v>0</v>
      </c>
      <c r="D385">
        <v>0.47222220897674561</v>
      </c>
      <c r="E385" t="s">
        <v>2987</v>
      </c>
    </row>
    <row r="386" spans="1:5" x14ac:dyDescent="0.2">
      <c r="A386" t="s">
        <v>2502</v>
      </c>
      <c r="B386" t="s">
        <v>1891</v>
      </c>
      <c r="C386" t="s">
        <v>1</v>
      </c>
      <c r="D386">
        <v>0.5625</v>
      </c>
      <c r="E386" t="s">
        <v>2987</v>
      </c>
    </row>
    <row r="387" spans="1:5" x14ac:dyDescent="0.2">
      <c r="A387" t="s">
        <v>2503</v>
      </c>
      <c r="B387" t="s">
        <v>840</v>
      </c>
      <c r="C387" t="s">
        <v>0</v>
      </c>
      <c r="D387">
        <v>0.5</v>
      </c>
      <c r="E387" t="s">
        <v>2987</v>
      </c>
    </row>
    <row r="388" spans="1:5" x14ac:dyDescent="0.2">
      <c r="A388" t="s">
        <v>2504</v>
      </c>
      <c r="B388" t="s">
        <v>1608</v>
      </c>
      <c r="C388" t="s">
        <v>1</v>
      </c>
      <c r="D388">
        <v>0.66666668653488159</v>
      </c>
      <c r="E388" t="s">
        <v>2987</v>
      </c>
    </row>
    <row r="389" spans="1:5" x14ac:dyDescent="0.2">
      <c r="A389" t="s">
        <v>2505</v>
      </c>
      <c r="B389" t="s">
        <v>1381</v>
      </c>
      <c r="C389" t="s">
        <v>0</v>
      </c>
      <c r="D389">
        <v>0.53333336114883423</v>
      </c>
      <c r="E389" t="s">
        <v>2987</v>
      </c>
    </row>
    <row r="390" spans="1:5" x14ac:dyDescent="0.2">
      <c r="A390" t="s">
        <v>2506</v>
      </c>
      <c r="B390" t="s">
        <v>342</v>
      </c>
      <c r="C390" t="s">
        <v>0</v>
      </c>
      <c r="D390">
        <v>0.31372550129890442</v>
      </c>
      <c r="E390" t="s">
        <v>2987</v>
      </c>
    </row>
    <row r="391" spans="1:5" x14ac:dyDescent="0.2">
      <c r="A391" t="s">
        <v>2507</v>
      </c>
      <c r="B391" t="s">
        <v>220</v>
      </c>
      <c r="C391" t="s">
        <v>0</v>
      </c>
      <c r="D391">
        <v>0.56000000238418579</v>
      </c>
      <c r="E391" t="s">
        <v>2987</v>
      </c>
    </row>
    <row r="392" spans="1:5" x14ac:dyDescent="0.2">
      <c r="A392" t="s">
        <v>2508</v>
      </c>
      <c r="B392" t="s">
        <v>344</v>
      </c>
      <c r="C392" t="s">
        <v>0</v>
      </c>
      <c r="D392">
        <v>0.4117647111415863</v>
      </c>
      <c r="E392" t="s">
        <v>2987</v>
      </c>
    </row>
    <row r="393" spans="1:5" x14ac:dyDescent="0.2">
      <c r="A393" t="s">
        <v>2509</v>
      </c>
      <c r="B393" t="s">
        <v>485</v>
      </c>
      <c r="C393" t="s">
        <v>1</v>
      </c>
      <c r="D393">
        <v>0.52380955219268799</v>
      </c>
      <c r="E393" t="s">
        <v>2987</v>
      </c>
    </row>
    <row r="394" spans="1:5" x14ac:dyDescent="0.2">
      <c r="A394" t="s">
        <v>2510</v>
      </c>
      <c r="B394" t="s">
        <v>2988</v>
      </c>
      <c r="C394" t="s">
        <v>2988</v>
      </c>
      <c r="D394">
        <v>0</v>
      </c>
      <c r="E394" t="s">
        <v>2987</v>
      </c>
    </row>
    <row r="395" spans="1:5" x14ac:dyDescent="0.2">
      <c r="A395" t="s">
        <v>2511</v>
      </c>
      <c r="B395" t="s">
        <v>2988</v>
      </c>
      <c r="C395" t="s">
        <v>2988</v>
      </c>
      <c r="D395">
        <v>0</v>
      </c>
      <c r="E395" t="s">
        <v>2987</v>
      </c>
    </row>
    <row r="396" spans="1:5" x14ac:dyDescent="0.2">
      <c r="A396" t="s">
        <v>2512</v>
      </c>
      <c r="B396" t="s">
        <v>2988</v>
      </c>
      <c r="C396" t="s">
        <v>2988</v>
      </c>
      <c r="D396">
        <v>0.1428571492433548</v>
      </c>
      <c r="E396" t="s">
        <v>2987</v>
      </c>
    </row>
    <row r="397" spans="1:5" x14ac:dyDescent="0.2">
      <c r="A397" t="s">
        <v>2513</v>
      </c>
      <c r="B397" t="s">
        <v>2988</v>
      </c>
      <c r="C397" t="s">
        <v>2988</v>
      </c>
      <c r="D397">
        <v>7.1428574621677399E-2</v>
      </c>
      <c r="E397" t="s">
        <v>2987</v>
      </c>
    </row>
    <row r="398" spans="1:5" x14ac:dyDescent="0.2">
      <c r="A398" t="s">
        <v>2514</v>
      </c>
      <c r="B398" t="s">
        <v>1940</v>
      </c>
      <c r="C398" t="s">
        <v>1</v>
      </c>
      <c r="D398">
        <v>0.47999998927116394</v>
      </c>
      <c r="E398" t="s">
        <v>2987</v>
      </c>
    </row>
    <row r="399" spans="1:5" x14ac:dyDescent="0.2">
      <c r="A399" t="s">
        <v>2515</v>
      </c>
      <c r="B399" t="s">
        <v>96</v>
      </c>
      <c r="C399" t="s">
        <v>0</v>
      </c>
      <c r="D399">
        <v>1</v>
      </c>
      <c r="E399" t="s">
        <v>2987</v>
      </c>
    </row>
    <row r="400" spans="1:5" x14ac:dyDescent="0.2">
      <c r="A400" t="s">
        <v>2516</v>
      </c>
      <c r="B400" t="s">
        <v>1407</v>
      </c>
      <c r="C400" t="s">
        <v>1</v>
      </c>
      <c r="D400">
        <v>0.48275861144065857</v>
      </c>
      <c r="E400" t="s">
        <v>2987</v>
      </c>
    </row>
    <row r="401" spans="1:5" x14ac:dyDescent="0.2">
      <c r="A401" t="s">
        <v>2517</v>
      </c>
      <c r="B401" t="s">
        <v>1152</v>
      </c>
      <c r="C401" t="s">
        <v>1</v>
      </c>
      <c r="D401">
        <v>0.53333336114883423</v>
      </c>
      <c r="E401" t="s">
        <v>2987</v>
      </c>
    </row>
    <row r="402" spans="1:5" x14ac:dyDescent="0.2">
      <c r="A402" t="s">
        <v>2518</v>
      </c>
      <c r="B402" t="s">
        <v>2988</v>
      </c>
      <c r="C402" t="s">
        <v>2988</v>
      </c>
      <c r="D402">
        <v>0.28571429848670959</v>
      </c>
      <c r="E402" t="s">
        <v>2987</v>
      </c>
    </row>
    <row r="403" spans="1:5" x14ac:dyDescent="0.2">
      <c r="A403" t="s">
        <v>2519</v>
      </c>
      <c r="B403" t="s">
        <v>1420</v>
      </c>
      <c r="C403" t="s">
        <v>0</v>
      </c>
      <c r="D403">
        <v>0.41791045665740967</v>
      </c>
      <c r="E403" t="s">
        <v>2987</v>
      </c>
    </row>
    <row r="404" spans="1:5" x14ac:dyDescent="0.2">
      <c r="A404" t="s">
        <v>2520</v>
      </c>
      <c r="B404" t="s">
        <v>2988</v>
      </c>
      <c r="C404" t="s">
        <v>2988</v>
      </c>
      <c r="D404">
        <v>0.125</v>
      </c>
      <c r="E404" t="s">
        <v>2987</v>
      </c>
    </row>
    <row r="405" spans="1:5" x14ac:dyDescent="0.2">
      <c r="A405" t="s">
        <v>2521</v>
      </c>
      <c r="B405" t="s">
        <v>1251</v>
      </c>
      <c r="C405" t="s">
        <v>1</v>
      </c>
      <c r="D405">
        <v>0.47058823704719543</v>
      </c>
      <c r="E405" t="s">
        <v>2987</v>
      </c>
    </row>
    <row r="406" spans="1:5" x14ac:dyDescent="0.2">
      <c r="A406" t="s">
        <v>2522</v>
      </c>
      <c r="B406" t="s">
        <v>122</v>
      </c>
      <c r="C406" t="s">
        <v>0</v>
      </c>
      <c r="D406">
        <v>1</v>
      </c>
      <c r="E406" t="s">
        <v>2987</v>
      </c>
    </row>
    <row r="407" spans="1:5" x14ac:dyDescent="0.2">
      <c r="A407" t="s">
        <v>2523</v>
      </c>
      <c r="B407" t="s">
        <v>1897</v>
      </c>
      <c r="C407" t="s">
        <v>1</v>
      </c>
      <c r="D407">
        <v>0.5517241358757019</v>
      </c>
      <c r="E407" t="s">
        <v>2987</v>
      </c>
    </row>
    <row r="408" spans="1:5" x14ac:dyDescent="0.2">
      <c r="A408" t="s">
        <v>2524</v>
      </c>
      <c r="B408" t="s">
        <v>2988</v>
      </c>
      <c r="C408" t="s">
        <v>2988</v>
      </c>
      <c r="D408">
        <v>0</v>
      </c>
      <c r="E408" t="s">
        <v>2987</v>
      </c>
    </row>
    <row r="409" spans="1:5" x14ac:dyDescent="0.2">
      <c r="A409" t="s">
        <v>2525</v>
      </c>
      <c r="B409" t="s">
        <v>777</v>
      </c>
      <c r="C409" t="s">
        <v>1</v>
      </c>
      <c r="D409">
        <v>0.57142859697341919</v>
      </c>
      <c r="E409" t="s">
        <v>2987</v>
      </c>
    </row>
    <row r="410" spans="1:5" x14ac:dyDescent="0.2">
      <c r="A410" t="s">
        <v>2526</v>
      </c>
      <c r="B410" t="s">
        <v>1879</v>
      </c>
      <c r="C410" t="s">
        <v>1</v>
      </c>
      <c r="D410">
        <v>0.48571428656578064</v>
      </c>
      <c r="E410" t="s">
        <v>2987</v>
      </c>
    </row>
    <row r="411" spans="1:5" x14ac:dyDescent="0.2">
      <c r="A411" t="s">
        <v>2527</v>
      </c>
      <c r="B411" t="s">
        <v>1879</v>
      </c>
      <c r="C411" t="s">
        <v>1</v>
      </c>
      <c r="D411">
        <v>0.5151515007019043</v>
      </c>
      <c r="E411" t="s">
        <v>2987</v>
      </c>
    </row>
    <row r="412" spans="1:5" x14ac:dyDescent="0.2">
      <c r="A412" t="s">
        <v>2528</v>
      </c>
      <c r="B412" t="s">
        <v>1879</v>
      </c>
      <c r="C412" t="s">
        <v>1</v>
      </c>
      <c r="D412">
        <v>0.48571428656578064</v>
      </c>
      <c r="E412" t="s">
        <v>2987</v>
      </c>
    </row>
    <row r="413" spans="1:5" x14ac:dyDescent="0.2">
      <c r="A413" t="s">
        <v>2529</v>
      </c>
      <c r="B413" t="s">
        <v>2988</v>
      </c>
      <c r="C413" t="s">
        <v>2988</v>
      </c>
      <c r="D413">
        <v>0</v>
      </c>
      <c r="E413" t="s">
        <v>2987</v>
      </c>
    </row>
    <row r="414" spans="1:5" x14ac:dyDescent="0.2">
      <c r="A414" t="s">
        <v>2530</v>
      </c>
      <c r="B414" t="s">
        <v>2988</v>
      </c>
      <c r="C414" t="s">
        <v>2988</v>
      </c>
      <c r="D414">
        <v>0</v>
      </c>
      <c r="E414" t="s">
        <v>2987</v>
      </c>
    </row>
    <row r="415" spans="1:5" x14ac:dyDescent="0.2">
      <c r="A415" t="s">
        <v>2531</v>
      </c>
      <c r="B415" t="s">
        <v>2988</v>
      </c>
      <c r="C415" t="s">
        <v>2988</v>
      </c>
      <c r="D415">
        <v>0.125</v>
      </c>
      <c r="E415" t="s">
        <v>2987</v>
      </c>
    </row>
    <row r="416" spans="1:5" x14ac:dyDescent="0.2">
      <c r="A416" t="s">
        <v>2532</v>
      </c>
      <c r="B416" t="s">
        <v>2988</v>
      </c>
      <c r="C416" t="s">
        <v>2988</v>
      </c>
      <c r="D416">
        <v>4.1666667908430099E-2</v>
      </c>
      <c r="E416" t="s">
        <v>2987</v>
      </c>
    </row>
    <row r="417" spans="1:5" x14ac:dyDescent="0.2">
      <c r="A417" t="s">
        <v>2533</v>
      </c>
      <c r="B417" t="s">
        <v>2988</v>
      </c>
      <c r="C417" t="s">
        <v>2988</v>
      </c>
      <c r="D417">
        <v>4.1666667908430099E-2</v>
      </c>
      <c r="E417" t="s">
        <v>2987</v>
      </c>
    </row>
    <row r="418" spans="1:5" x14ac:dyDescent="0.2">
      <c r="A418" t="s">
        <v>2534</v>
      </c>
      <c r="B418" t="s">
        <v>980</v>
      </c>
      <c r="C418" t="s">
        <v>1</v>
      </c>
      <c r="D418">
        <v>1</v>
      </c>
      <c r="E418" t="s">
        <v>2987</v>
      </c>
    </row>
    <row r="419" spans="1:5" x14ac:dyDescent="0.2">
      <c r="A419" t="s">
        <v>2535</v>
      </c>
      <c r="B419" t="s">
        <v>2988</v>
      </c>
      <c r="C419" t="s">
        <v>2988</v>
      </c>
      <c r="D419">
        <v>0</v>
      </c>
      <c r="E419" t="s">
        <v>2987</v>
      </c>
    </row>
    <row r="420" spans="1:5" x14ac:dyDescent="0.2">
      <c r="A420" t="s">
        <v>2536</v>
      </c>
      <c r="B420" t="s">
        <v>1776</v>
      </c>
      <c r="C420" t="s">
        <v>1</v>
      </c>
      <c r="D420">
        <v>0.42105263471603394</v>
      </c>
      <c r="E420" t="s">
        <v>2987</v>
      </c>
    </row>
    <row r="421" spans="1:5" x14ac:dyDescent="0.2">
      <c r="A421" t="s">
        <v>2537</v>
      </c>
      <c r="B421" t="s">
        <v>779</v>
      </c>
      <c r="C421" t="s">
        <v>1</v>
      </c>
      <c r="D421">
        <v>0.59259259700775146</v>
      </c>
      <c r="E421" t="s">
        <v>2987</v>
      </c>
    </row>
    <row r="422" spans="1:5" x14ac:dyDescent="0.2">
      <c r="A422" t="s">
        <v>2538</v>
      </c>
      <c r="B422" t="s">
        <v>1327</v>
      </c>
      <c r="C422" t="s">
        <v>0</v>
      </c>
      <c r="D422">
        <v>0.4444444477558136</v>
      </c>
      <c r="E422" t="s">
        <v>2987</v>
      </c>
    </row>
    <row r="423" spans="1:5" x14ac:dyDescent="0.2">
      <c r="A423" t="s">
        <v>2539</v>
      </c>
      <c r="B423" t="s">
        <v>1668</v>
      </c>
      <c r="C423" t="s">
        <v>1</v>
      </c>
      <c r="D423">
        <v>0.46341463923454285</v>
      </c>
      <c r="E423" t="s">
        <v>2987</v>
      </c>
    </row>
    <row r="424" spans="1:5" x14ac:dyDescent="0.2">
      <c r="A424" t="s">
        <v>2540</v>
      </c>
      <c r="B424" t="s">
        <v>1668</v>
      </c>
      <c r="C424" t="s">
        <v>1</v>
      </c>
      <c r="D424">
        <v>0.39215686917304993</v>
      </c>
      <c r="E424" t="s">
        <v>2987</v>
      </c>
    </row>
    <row r="425" spans="1:5" x14ac:dyDescent="0.2">
      <c r="A425" t="s">
        <v>2541</v>
      </c>
      <c r="B425" t="s">
        <v>1668</v>
      </c>
      <c r="C425" t="s">
        <v>1</v>
      </c>
      <c r="D425">
        <v>0.39215686917304993</v>
      </c>
      <c r="E425" t="s">
        <v>2987</v>
      </c>
    </row>
    <row r="426" spans="1:5" x14ac:dyDescent="0.2">
      <c r="A426" t="s">
        <v>2542</v>
      </c>
      <c r="B426" t="s">
        <v>2988</v>
      </c>
      <c r="C426" t="s">
        <v>2988</v>
      </c>
      <c r="D426">
        <v>0</v>
      </c>
      <c r="E426" t="s">
        <v>2987</v>
      </c>
    </row>
    <row r="427" spans="1:5" x14ac:dyDescent="0.2">
      <c r="A427" t="s">
        <v>2543</v>
      </c>
      <c r="B427" t="s">
        <v>543</v>
      </c>
      <c r="C427" t="s">
        <v>1</v>
      </c>
      <c r="D427">
        <v>0.37288135290145874</v>
      </c>
      <c r="E427" t="s">
        <v>2987</v>
      </c>
    </row>
    <row r="428" spans="1:5" x14ac:dyDescent="0.2">
      <c r="A428" t="s">
        <v>2544</v>
      </c>
      <c r="B428" t="s">
        <v>1844</v>
      </c>
      <c r="C428" t="s">
        <v>1</v>
      </c>
      <c r="D428">
        <v>0.39436620473861694</v>
      </c>
      <c r="E428" t="s">
        <v>2987</v>
      </c>
    </row>
    <row r="429" spans="1:5" x14ac:dyDescent="0.2">
      <c r="A429" t="s">
        <v>2545</v>
      </c>
      <c r="B429" t="s">
        <v>1844</v>
      </c>
      <c r="C429" t="s">
        <v>1</v>
      </c>
      <c r="D429">
        <v>0.36986300349235535</v>
      </c>
      <c r="E429" t="s">
        <v>2987</v>
      </c>
    </row>
    <row r="430" spans="1:5" x14ac:dyDescent="0.2">
      <c r="A430" t="s">
        <v>2546</v>
      </c>
      <c r="B430" t="s">
        <v>111</v>
      </c>
      <c r="C430" t="s">
        <v>1</v>
      </c>
      <c r="D430">
        <v>0.47826087474822998</v>
      </c>
      <c r="E430" t="s">
        <v>2987</v>
      </c>
    </row>
    <row r="431" spans="1:5" x14ac:dyDescent="0.2">
      <c r="A431" t="s">
        <v>2547</v>
      </c>
      <c r="B431" t="s">
        <v>111</v>
      </c>
      <c r="C431" t="s">
        <v>1</v>
      </c>
      <c r="D431">
        <v>0.625</v>
      </c>
      <c r="E431" t="s">
        <v>2987</v>
      </c>
    </row>
    <row r="432" spans="1:5" x14ac:dyDescent="0.2">
      <c r="A432" t="s">
        <v>2548</v>
      </c>
      <c r="B432" t="s">
        <v>111</v>
      </c>
      <c r="C432" t="s">
        <v>1</v>
      </c>
      <c r="D432">
        <v>0.91666668653488159</v>
      </c>
      <c r="E432" t="s">
        <v>2987</v>
      </c>
    </row>
    <row r="433" spans="1:5" x14ac:dyDescent="0.2">
      <c r="A433" t="s">
        <v>2549</v>
      </c>
      <c r="B433" t="s">
        <v>2988</v>
      </c>
      <c r="C433" t="s">
        <v>2988</v>
      </c>
      <c r="D433">
        <v>0.125</v>
      </c>
      <c r="E433" t="s">
        <v>2987</v>
      </c>
    </row>
    <row r="434" spans="1:5" x14ac:dyDescent="0.2">
      <c r="A434" t="s">
        <v>2550</v>
      </c>
      <c r="B434" t="s">
        <v>2013</v>
      </c>
      <c r="C434" t="s">
        <v>1</v>
      </c>
      <c r="D434">
        <v>1</v>
      </c>
      <c r="E434" t="s">
        <v>2987</v>
      </c>
    </row>
    <row r="435" spans="1:5" x14ac:dyDescent="0.2">
      <c r="A435" t="s">
        <v>2551</v>
      </c>
      <c r="B435" t="s">
        <v>634</v>
      </c>
      <c r="C435" t="s">
        <v>0</v>
      </c>
      <c r="D435">
        <v>0.66666668653488159</v>
      </c>
      <c r="E435" t="s">
        <v>2987</v>
      </c>
    </row>
    <row r="436" spans="1:5" x14ac:dyDescent="0.2">
      <c r="A436" t="s">
        <v>2552</v>
      </c>
      <c r="B436" t="s">
        <v>1954</v>
      </c>
      <c r="C436" t="s">
        <v>1</v>
      </c>
      <c r="D436">
        <v>0.47368422150611877</v>
      </c>
      <c r="E436" t="s">
        <v>2987</v>
      </c>
    </row>
    <row r="437" spans="1:5" x14ac:dyDescent="0.2">
      <c r="A437" t="s">
        <v>2553</v>
      </c>
      <c r="B437" t="s">
        <v>150</v>
      </c>
      <c r="C437" t="s">
        <v>0</v>
      </c>
      <c r="D437">
        <v>0.6086956262588501</v>
      </c>
      <c r="E437" t="s">
        <v>2987</v>
      </c>
    </row>
    <row r="438" spans="1:5" x14ac:dyDescent="0.2">
      <c r="A438" t="s">
        <v>2554</v>
      </c>
      <c r="B438" t="s">
        <v>1020</v>
      </c>
      <c r="C438" t="s">
        <v>0</v>
      </c>
      <c r="D438">
        <v>0.40000000596046448</v>
      </c>
      <c r="E438" t="s">
        <v>2987</v>
      </c>
    </row>
    <row r="439" spans="1:5" x14ac:dyDescent="0.2">
      <c r="A439" t="s">
        <v>2555</v>
      </c>
      <c r="B439" t="s">
        <v>2988</v>
      </c>
      <c r="C439" t="s">
        <v>2988</v>
      </c>
      <c r="D439">
        <v>6.6666670143604279E-2</v>
      </c>
      <c r="E439" t="s">
        <v>2987</v>
      </c>
    </row>
    <row r="440" spans="1:5" x14ac:dyDescent="0.2">
      <c r="A440" t="s">
        <v>2556</v>
      </c>
      <c r="B440" t="s">
        <v>2988</v>
      </c>
      <c r="C440" t="s">
        <v>2988</v>
      </c>
      <c r="D440">
        <v>7.6923079788684845E-2</v>
      </c>
      <c r="E440" t="s">
        <v>2987</v>
      </c>
    </row>
    <row r="441" spans="1:5" x14ac:dyDescent="0.2">
      <c r="A441" t="s">
        <v>255</v>
      </c>
      <c r="B441" t="s">
        <v>255</v>
      </c>
      <c r="C441" t="s">
        <v>1</v>
      </c>
      <c r="D441">
        <v>1</v>
      </c>
      <c r="E441" t="s">
        <v>2987</v>
      </c>
    </row>
    <row r="442" spans="1:5" x14ac:dyDescent="0.2">
      <c r="A442" t="s">
        <v>2557</v>
      </c>
      <c r="B442" t="s">
        <v>1649</v>
      </c>
      <c r="C442" t="s">
        <v>1</v>
      </c>
      <c r="D442">
        <v>0.53333336114883423</v>
      </c>
      <c r="E442" t="s">
        <v>2987</v>
      </c>
    </row>
    <row r="443" spans="1:5" x14ac:dyDescent="0.2">
      <c r="A443" t="s">
        <v>2558</v>
      </c>
      <c r="B443" t="s">
        <v>2988</v>
      </c>
      <c r="C443" t="s">
        <v>2988</v>
      </c>
      <c r="D443">
        <v>0.28571429848670959</v>
      </c>
      <c r="E443" t="s">
        <v>2987</v>
      </c>
    </row>
    <row r="444" spans="1:5" x14ac:dyDescent="0.2">
      <c r="A444" t="s">
        <v>2559</v>
      </c>
      <c r="B444" t="s">
        <v>280</v>
      </c>
      <c r="C444" t="s">
        <v>0</v>
      </c>
      <c r="D444">
        <v>0.5</v>
      </c>
      <c r="E444" t="s">
        <v>2987</v>
      </c>
    </row>
    <row r="445" spans="1:5" x14ac:dyDescent="0.2">
      <c r="A445" t="s">
        <v>2560</v>
      </c>
      <c r="B445" t="s">
        <v>280</v>
      </c>
      <c r="C445" t="s">
        <v>0</v>
      </c>
      <c r="D445">
        <v>0.40000000596046448</v>
      </c>
      <c r="E445" t="s">
        <v>2987</v>
      </c>
    </row>
    <row r="446" spans="1:5" x14ac:dyDescent="0.2">
      <c r="A446" t="s">
        <v>2561</v>
      </c>
      <c r="B446" t="s">
        <v>1301</v>
      </c>
      <c r="C446" t="s">
        <v>0</v>
      </c>
      <c r="D446">
        <v>0.61538463830947876</v>
      </c>
      <c r="E446" t="s">
        <v>2987</v>
      </c>
    </row>
    <row r="447" spans="1:5" x14ac:dyDescent="0.2">
      <c r="A447" t="s">
        <v>2562</v>
      </c>
      <c r="B447" t="s">
        <v>113</v>
      </c>
      <c r="C447" t="s">
        <v>1</v>
      </c>
      <c r="D447">
        <v>0.53846156597137451</v>
      </c>
      <c r="E447" t="s">
        <v>2987</v>
      </c>
    </row>
    <row r="448" spans="1:5" x14ac:dyDescent="0.2">
      <c r="A448" t="s">
        <v>2563</v>
      </c>
      <c r="B448" t="s">
        <v>115</v>
      </c>
      <c r="C448" t="s">
        <v>1</v>
      </c>
      <c r="D448">
        <v>0.625</v>
      </c>
      <c r="E448" t="s">
        <v>2987</v>
      </c>
    </row>
    <row r="449" spans="1:5" x14ac:dyDescent="0.2">
      <c r="A449" t="s">
        <v>2564</v>
      </c>
      <c r="B449" t="s">
        <v>100</v>
      </c>
      <c r="C449" t="s">
        <v>0</v>
      </c>
      <c r="D449">
        <v>0.5</v>
      </c>
      <c r="E449" t="s">
        <v>2987</v>
      </c>
    </row>
    <row r="450" spans="1:5" x14ac:dyDescent="0.2">
      <c r="A450" t="s">
        <v>2565</v>
      </c>
      <c r="B450" t="s">
        <v>1303</v>
      </c>
      <c r="C450" t="s">
        <v>0</v>
      </c>
      <c r="D450">
        <v>0.52173912525177002</v>
      </c>
      <c r="E450" t="s">
        <v>2987</v>
      </c>
    </row>
    <row r="451" spans="1:5" x14ac:dyDescent="0.2">
      <c r="A451" t="s">
        <v>2566</v>
      </c>
      <c r="B451" t="s">
        <v>1839</v>
      </c>
      <c r="C451" t="s">
        <v>1</v>
      </c>
      <c r="D451">
        <v>0.43902438879013062</v>
      </c>
      <c r="E451" t="s">
        <v>2987</v>
      </c>
    </row>
    <row r="452" spans="1:5" x14ac:dyDescent="0.2">
      <c r="A452" t="s">
        <v>2567</v>
      </c>
      <c r="B452" t="s">
        <v>2988</v>
      </c>
      <c r="C452" t="s">
        <v>2988</v>
      </c>
      <c r="D452">
        <v>0.1428571492433548</v>
      </c>
      <c r="E452" t="s">
        <v>2987</v>
      </c>
    </row>
    <row r="453" spans="1:5" x14ac:dyDescent="0.2">
      <c r="A453" t="s">
        <v>2568</v>
      </c>
      <c r="B453" t="s">
        <v>254</v>
      </c>
      <c r="C453" t="s">
        <v>0</v>
      </c>
      <c r="D453">
        <v>0.57142859697341919</v>
      </c>
      <c r="E453" t="s">
        <v>2987</v>
      </c>
    </row>
    <row r="454" spans="1:5" x14ac:dyDescent="0.2">
      <c r="A454" t="s">
        <v>2569</v>
      </c>
      <c r="B454" t="s">
        <v>32</v>
      </c>
      <c r="C454" t="s">
        <v>0</v>
      </c>
      <c r="D454">
        <v>0.42105263471603394</v>
      </c>
      <c r="E454" t="s">
        <v>2987</v>
      </c>
    </row>
    <row r="455" spans="1:5" x14ac:dyDescent="0.2">
      <c r="A455" t="s">
        <v>2570</v>
      </c>
      <c r="B455" t="s">
        <v>977</v>
      </c>
      <c r="C455" t="s">
        <v>0</v>
      </c>
      <c r="D455">
        <v>0.4285714328289032</v>
      </c>
      <c r="E455" t="s">
        <v>2987</v>
      </c>
    </row>
    <row r="456" spans="1:5" x14ac:dyDescent="0.2">
      <c r="A456" t="s">
        <v>2571</v>
      </c>
      <c r="B456" t="s">
        <v>1859</v>
      </c>
      <c r="C456" t="s">
        <v>1</v>
      </c>
      <c r="D456">
        <v>0.34482759237289429</v>
      </c>
      <c r="E456" t="s">
        <v>2987</v>
      </c>
    </row>
    <row r="457" spans="1:5" x14ac:dyDescent="0.2">
      <c r="A457" t="s">
        <v>2572</v>
      </c>
      <c r="B457" t="s">
        <v>400</v>
      </c>
      <c r="C457" t="s">
        <v>0</v>
      </c>
      <c r="D457">
        <v>0.53846156597137451</v>
      </c>
      <c r="E457" t="s">
        <v>2987</v>
      </c>
    </row>
    <row r="458" spans="1:5" x14ac:dyDescent="0.2">
      <c r="A458" t="s">
        <v>2573</v>
      </c>
      <c r="B458" t="s">
        <v>335</v>
      </c>
      <c r="C458" t="s">
        <v>1</v>
      </c>
      <c r="D458">
        <v>0.39473685622215271</v>
      </c>
      <c r="E458" t="s">
        <v>2987</v>
      </c>
    </row>
    <row r="459" spans="1:5" x14ac:dyDescent="0.2">
      <c r="A459" t="s">
        <v>2574</v>
      </c>
      <c r="B459" t="s">
        <v>886</v>
      </c>
      <c r="C459" t="s">
        <v>0</v>
      </c>
      <c r="D459">
        <v>0.3055555522441864</v>
      </c>
      <c r="E459" t="s">
        <v>2987</v>
      </c>
    </row>
    <row r="460" spans="1:5" x14ac:dyDescent="0.2">
      <c r="A460" t="s">
        <v>2575</v>
      </c>
      <c r="B460" t="s">
        <v>1430</v>
      </c>
      <c r="C460" t="s">
        <v>0</v>
      </c>
      <c r="D460">
        <v>0.47826087474822998</v>
      </c>
      <c r="E460" t="s">
        <v>2987</v>
      </c>
    </row>
    <row r="461" spans="1:5" x14ac:dyDescent="0.2">
      <c r="A461" t="s">
        <v>2576</v>
      </c>
      <c r="B461" t="s">
        <v>2988</v>
      </c>
      <c r="C461" t="s">
        <v>2988</v>
      </c>
      <c r="D461">
        <v>0.10000000149011612</v>
      </c>
      <c r="E461" t="s">
        <v>2987</v>
      </c>
    </row>
    <row r="462" spans="1:5" x14ac:dyDescent="0.2">
      <c r="A462" t="s">
        <v>2577</v>
      </c>
      <c r="B462" t="s">
        <v>1591</v>
      </c>
      <c r="C462" t="s">
        <v>1</v>
      </c>
      <c r="D462">
        <v>0.40000000596046448</v>
      </c>
      <c r="E462" t="s">
        <v>2987</v>
      </c>
    </row>
    <row r="463" spans="1:5" x14ac:dyDescent="0.2">
      <c r="A463" t="s">
        <v>2578</v>
      </c>
      <c r="B463" t="s">
        <v>2988</v>
      </c>
      <c r="C463" t="s">
        <v>2988</v>
      </c>
      <c r="D463">
        <v>0.2222222238779068</v>
      </c>
      <c r="E463" t="s">
        <v>2987</v>
      </c>
    </row>
    <row r="464" spans="1:5" x14ac:dyDescent="0.2">
      <c r="A464" t="s">
        <v>2579</v>
      </c>
      <c r="B464" t="s">
        <v>2988</v>
      </c>
      <c r="C464" t="s">
        <v>2988</v>
      </c>
      <c r="D464">
        <v>0.4285714328289032</v>
      </c>
      <c r="E464" t="s">
        <v>2987</v>
      </c>
    </row>
    <row r="465" spans="1:5" x14ac:dyDescent="0.2">
      <c r="A465" t="s">
        <v>2580</v>
      </c>
      <c r="B465" t="s">
        <v>914</v>
      </c>
      <c r="C465" t="s">
        <v>0</v>
      </c>
      <c r="D465">
        <v>0.5116279125213623</v>
      </c>
      <c r="E465" t="s">
        <v>2987</v>
      </c>
    </row>
    <row r="466" spans="1:5" x14ac:dyDescent="0.2">
      <c r="A466" t="s">
        <v>2581</v>
      </c>
      <c r="B466" t="s">
        <v>2015</v>
      </c>
      <c r="C466" t="s">
        <v>1</v>
      </c>
      <c r="D466">
        <v>0.46666666865348816</v>
      </c>
      <c r="E466" t="s">
        <v>2987</v>
      </c>
    </row>
    <row r="467" spans="1:5" x14ac:dyDescent="0.2">
      <c r="A467" t="s">
        <v>2582</v>
      </c>
      <c r="B467" t="s">
        <v>834</v>
      </c>
      <c r="C467" t="s">
        <v>0</v>
      </c>
      <c r="D467">
        <v>1</v>
      </c>
      <c r="E467" t="s">
        <v>2987</v>
      </c>
    </row>
    <row r="468" spans="1:5" x14ac:dyDescent="0.2">
      <c r="A468" t="s">
        <v>2583</v>
      </c>
      <c r="B468" t="s">
        <v>1669</v>
      </c>
      <c r="C468" t="s">
        <v>1</v>
      </c>
      <c r="D468">
        <v>0.54166668653488159</v>
      </c>
      <c r="E468" t="s">
        <v>2987</v>
      </c>
    </row>
    <row r="469" spans="1:5" x14ac:dyDescent="0.2">
      <c r="A469" t="s">
        <v>2584</v>
      </c>
      <c r="B469" t="s">
        <v>1669</v>
      </c>
      <c r="C469" t="s">
        <v>1</v>
      </c>
      <c r="D469">
        <v>0.5</v>
      </c>
      <c r="E469" t="s">
        <v>2987</v>
      </c>
    </row>
    <row r="470" spans="1:5" x14ac:dyDescent="0.2">
      <c r="A470" t="s">
        <v>2585</v>
      </c>
      <c r="B470" t="s">
        <v>834</v>
      </c>
      <c r="C470" t="s">
        <v>0</v>
      </c>
      <c r="D470">
        <v>0.55555558204650879</v>
      </c>
      <c r="E470" t="s">
        <v>2987</v>
      </c>
    </row>
    <row r="471" spans="1:5" x14ac:dyDescent="0.2">
      <c r="A471" t="s">
        <v>2586</v>
      </c>
      <c r="B471" t="s">
        <v>834</v>
      </c>
      <c r="C471" t="s">
        <v>0</v>
      </c>
      <c r="D471">
        <v>0.55555558204650879</v>
      </c>
      <c r="E471" t="s">
        <v>2987</v>
      </c>
    </row>
    <row r="472" spans="1:5" x14ac:dyDescent="0.2">
      <c r="A472" t="s">
        <v>2587</v>
      </c>
      <c r="B472" t="s">
        <v>834</v>
      </c>
      <c r="C472" t="s">
        <v>0</v>
      </c>
      <c r="D472">
        <v>0.625</v>
      </c>
      <c r="E472" t="s">
        <v>2987</v>
      </c>
    </row>
    <row r="473" spans="1:5" x14ac:dyDescent="0.2">
      <c r="A473" t="s">
        <v>2588</v>
      </c>
      <c r="B473" t="s">
        <v>1671</v>
      </c>
      <c r="C473" t="s">
        <v>1</v>
      </c>
      <c r="D473">
        <v>0.41463413834571838</v>
      </c>
      <c r="E473" t="s">
        <v>2987</v>
      </c>
    </row>
    <row r="474" spans="1:5" x14ac:dyDescent="0.2">
      <c r="A474" t="s">
        <v>2589</v>
      </c>
      <c r="B474" t="s">
        <v>1671</v>
      </c>
      <c r="C474" t="s">
        <v>1</v>
      </c>
      <c r="D474">
        <v>0.43589743971824646</v>
      </c>
      <c r="E474" t="s">
        <v>2987</v>
      </c>
    </row>
    <row r="475" spans="1:5" x14ac:dyDescent="0.2">
      <c r="A475" t="s">
        <v>2590</v>
      </c>
      <c r="B475" t="s">
        <v>1669</v>
      </c>
      <c r="C475" t="s">
        <v>1</v>
      </c>
      <c r="D475">
        <v>0.4583333432674408</v>
      </c>
      <c r="E475" t="s">
        <v>2987</v>
      </c>
    </row>
    <row r="476" spans="1:5" x14ac:dyDescent="0.2">
      <c r="A476" t="s">
        <v>2591</v>
      </c>
      <c r="B476" t="s">
        <v>1669</v>
      </c>
      <c r="C476" t="s">
        <v>1</v>
      </c>
      <c r="D476">
        <v>0.4464285671710968</v>
      </c>
      <c r="E476" t="s">
        <v>2987</v>
      </c>
    </row>
    <row r="477" spans="1:5" x14ac:dyDescent="0.2">
      <c r="A477" t="s">
        <v>2592</v>
      </c>
      <c r="B477" t="s">
        <v>1490</v>
      </c>
      <c r="C477" t="s">
        <v>1</v>
      </c>
      <c r="D477">
        <v>0.64864861965179443</v>
      </c>
      <c r="E477" t="s">
        <v>2987</v>
      </c>
    </row>
    <row r="478" spans="1:5" x14ac:dyDescent="0.2">
      <c r="A478" t="s">
        <v>2593</v>
      </c>
      <c r="B478" t="s">
        <v>160</v>
      </c>
      <c r="C478" t="s">
        <v>0</v>
      </c>
      <c r="D478">
        <v>0.31818181276321411</v>
      </c>
      <c r="E478" t="s">
        <v>2987</v>
      </c>
    </row>
    <row r="479" spans="1:5" x14ac:dyDescent="0.2">
      <c r="A479" t="s">
        <v>2594</v>
      </c>
      <c r="B479" t="s">
        <v>758</v>
      </c>
      <c r="C479" t="s">
        <v>0</v>
      </c>
      <c r="D479">
        <v>0.5</v>
      </c>
      <c r="E479" t="s">
        <v>2987</v>
      </c>
    </row>
    <row r="480" spans="1:5" x14ac:dyDescent="0.2">
      <c r="A480" t="s">
        <v>2595</v>
      </c>
      <c r="B480" t="s">
        <v>756</v>
      </c>
      <c r="C480" t="s">
        <v>0</v>
      </c>
      <c r="D480">
        <v>0.66666668653488159</v>
      </c>
      <c r="E480" t="s">
        <v>2987</v>
      </c>
    </row>
    <row r="481" spans="1:5" x14ac:dyDescent="0.2">
      <c r="A481" t="s">
        <v>2596</v>
      </c>
      <c r="B481" t="s">
        <v>984</v>
      </c>
      <c r="C481" t="s">
        <v>1</v>
      </c>
      <c r="D481">
        <v>0.5161290168762207</v>
      </c>
      <c r="E481" t="s">
        <v>2987</v>
      </c>
    </row>
    <row r="482" spans="1:5" x14ac:dyDescent="0.2">
      <c r="A482" t="s">
        <v>2597</v>
      </c>
      <c r="B482" t="s">
        <v>350</v>
      </c>
      <c r="C482" t="s">
        <v>0</v>
      </c>
      <c r="D482">
        <v>0.60606062412261963</v>
      </c>
      <c r="E482" t="s">
        <v>2987</v>
      </c>
    </row>
    <row r="483" spans="1:5" x14ac:dyDescent="0.2">
      <c r="A483" t="s">
        <v>2598</v>
      </c>
      <c r="B483" t="s">
        <v>2988</v>
      </c>
      <c r="C483" t="s">
        <v>2988</v>
      </c>
      <c r="D483">
        <v>9.0909093618392944E-2</v>
      </c>
      <c r="E483" t="s">
        <v>2987</v>
      </c>
    </row>
    <row r="484" spans="1:5" x14ac:dyDescent="0.2">
      <c r="A484" t="s">
        <v>2599</v>
      </c>
      <c r="B484" t="s">
        <v>2988</v>
      </c>
      <c r="C484" t="s">
        <v>2988</v>
      </c>
      <c r="D484">
        <v>0.125</v>
      </c>
      <c r="E484" t="s">
        <v>2987</v>
      </c>
    </row>
    <row r="485" spans="1:5" x14ac:dyDescent="0.2">
      <c r="A485" t="s">
        <v>2600</v>
      </c>
      <c r="B485" t="s">
        <v>190</v>
      </c>
      <c r="C485" t="s">
        <v>0</v>
      </c>
      <c r="D485">
        <v>0.46666666865348816</v>
      </c>
      <c r="E485" t="s">
        <v>2987</v>
      </c>
    </row>
    <row r="486" spans="1:5" x14ac:dyDescent="0.2">
      <c r="A486" t="s">
        <v>2601</v>
      </c>
      <c r="B486" t="s">
        <v>836</v>
      </c>
      <c r="C486" t="s">
        <v>0</v>
      </c>
      <c r="D486">
        <v>1</v>
      </c>
      <c r="E486" t="s">
        <v>2987</v>
      </c>
    </row>
    <row r="487" spans="1:5" x14ac:dyDescent="0.2">
      <c r="A487" t="s">
        <v>2602</v>
      </c>
      <c r="B487" t="s">
        <v>1324</v>
      </c>
      <c r="C487" t="s">
        <v>1</v>
      </c>
      <c r="D487">
        <v>0.43243244290351868</v>
      </c>
      <c r="E487" t="s">
        <v>2987</v>
      </c>
    </row>
    <row r="488" spans="1:5" x14ac:dyDescent="0.2">
      <c r="A488" t="s">
        <v>2603</v>
      </c>
      <c r="B488" t="s">
        <v>1794</v>
      </c>
      <c r="C488" t="s">
        <v>1</v>
      </c>
      <c r="D488">
        <v>0.5</v>
      </c>
      <c r="E488" t="s">
        <v>2987</v>
      </c>
    </row>
    <row r="489" spans="1:5" x14ac:dyDescent="0.2">
      <c r="A489" t="s">
        <v>2604</v>
      </c>
      <c r="B489" t="s">
        <v>1795</v>
      </c>
      <c r="C489" t="s">
        <v>1</v>
      </c>
      <c r="D489">
        <v>0.47297295928001404</v>
      </c>
      <c r="E489" t="s">
        <v>2987</v>
      </c>
    </row>
    <row r="490" spans="1:5" x14ac:dyDescent="0.2">
      <c r="A490" t="s">
        <v>2605</v>
      </c>
      <c r="B490" t="s">
        <v>2988</v>
      </c>
      <c r="C490" t="s">
        <v>2988</v>
      </c>
      <c r="D490">
        <v>0.28571429848670959</v>
      </c>
      <c r="E490" t="s">
        <v>2987</v>
      </c>
    </row>
    <row r="491" spans="1:5" x14ac:dyDescent="0.2">
      <c r="A491" t="s">
        <v>2606</v>
      </c>
      <c r="B491" t="s">
        <v>48</v>
      </c>
      <c r="C491" t="s">
        <v>0</v>
      </c>
      <c r="D491">
        <v>0.57142859697341919</v>
      </c>
      <c r="E491" t="s">
        <v>2987</v>
      </c>
    </row>
    <row r="492" spans="1:5" x14ac:dyDescent="0.2">
      <c r="A492" t="s">
        <v>2607</v>
      </c>
      <c r="B492" t="s">
        <v>2988</v>
      </c>
      <c r="C492" t="s">
        <v>2988</v>
      </c>
      <c r="D492">
        <v>9.0909093618392944E-2</v>
      </c>
      <c r="E492" t="s">
        <v>2987</v>
      </c>
    </row>
    <row r="493" spans="1:5" x14ac:dyDescent="0.2">
      <c r="A493" t="s">
        <v>2608</v>
      </c>
      <c r="B493" t="s">
        <v>791</v>
      </c>
      <c r="C493" t="s">
        <v>1</v>
      </c>
      <c r="D493">
        <v>0.48275861144065857</v>
      </c>
      <c r="E493" t="s">
        <v>2987</v>
      </c>
    </row>
    <row r="494" spans="1:5" x14ac:dyDescent="0.2">
      <c r="A494" t="s">
        <v>2609</v>
      </c>
      <c r="B494" t="s">
        <v>793</v>
      </c>
      <c r="C494" t="s">
        <v>1</v>
      </c>
      <c r="D494">
        <v>0.46153846383094788</v>
      </c>
      <c r="E494" t="s">
        <v>2987</v>
      </c>
    </row>
    <row r="495" spans="1:5" x14ac:dyDescent="0.2">
      <c r="A495" t="s">
        <v>2610</v>
      </c>
      <c r="B495" t="s">
        <v>500</v>
      </c>
      <c r="C495" t="s">
        <v>0</v>
      </c>
      <c r="D495">
        <v>0.71428573131561279</v>
      </c>
      <c r="E495" t="s">
        <v>2987</v>
      </c>
    </row>
    <row r="496" spans="1:5" x14ac:dyDescent="0.2">
      <c r="A496" t="s">
        <v>2611</v>
      </c>
      <c r="B496" t="s">
        <v>986</v>
      </c>
      <c r="C496" t="s">
        <v>1</v>
      </c>
      <c r="D496">
        <v>0.60526317358016968</v>
      </c>
      <c r="E496" t="s">
        <v>2987</v>
      </c>
    </row>
    <row r="497" spans="1:5" x14ac:dyDescent="0.2">
      <c r="A497" t="s">
        <v>2612</v>
      </c>
      <c r="B497" t="s">
        <v>500</v>
      </c>
      <c r="C497" t="s">
        <v>0</v>
      </c>
      <c r="D497">
        <v>0.66666668653488159</v>
      </c>
      <c r="E497" t="s">
        <v>2987</v>
      </c>
    </row>
    <row r="498" spans="1:5" x14ac:dyDescent="0.2">
      <c r="A498" t="s">
        <v>2613</v>
      </c>
      <c r="B498" t="s">
        <v>986</v>
      </c>
      <c r="C498" t="s">
        <v>1</v>
      </c>
      <c r="D498">
        <v>0.43999999761581421</v>
      </c>
      <c r="E498" t="s">
        <v>2987</v>
      </c>
    </row>
    <row r="499" spans="1:5" x14ac:dyDescent="0.2">
      <c r="A499" t="s">
        <v>2614</v>
      </c>
      <c r="B499" t="s">
        <v>124</v>
      </c>
      <c r="C499" t="s">
        <v>0</v>
      </c>
      <c r="D499">
        <v>1</v>
      </c>
      <c r="E499" t="s">
        <v>2987</v>
      </c>
    </row>
    <row r="500" spans="1:5" x14ac:dyDescent="0.2">
      <c r="A500" t="s">
        <v>2615</v>
      </c>
      <c r="B500" t="s">
        <v>1141</v>
      </c>
      <c r="C500" t="s">
        <v>0</v>
      </c>
      <c r="D500">
        <v>0.47058823704719543</v>
      </c>
      <c r="E500" t="s">
        <v>2987</v>
      </c>
    </row>
    <row r="501" spans="1:5" x14ac:dyDescent="0.2">
      <c r="A501" t="s">
        <v>2616</v>
      </c>
      <c r="B501" t="s">
        <v>794</v>
      </c>
      <c r="C501" t="s">
        <v>0</v>
      </c>
      <c r="D501">
        <v>0.53333336114883423</v>
      </c>
      <c r="E501" t="s">
        <v>2987</v>
      </c>
    </row>
    <row r="502" spans="1:5" x14ac:dyDescent="0.2">
      <c r="A502" t="s">
        <v>2617</v>
      </c>
      <c r="B502" t="s">
        <v>2988</v>
      </c>
      <c r="C502" t="s">
        <v>2988</v>
      </c>
      <c r="D502">
        <v>0.15384615957736969</v>
      </c>
      <c r="E502" t="s">
        <v>2987</v>
      </c>
    </row>
    <row r="503" spans="1:5" x14ac:dyDescent="0.2">
      <c r="A503" t="s">
        <v>2618</v>
      </c>
      <c r="B503" t="s">
        <v>551</v>
      </c>
      <c r="C503" t="s">
        <v>1</v>
      </c>
      <c r="D503">
        <v>0.6111111044883728</v>
      </c>
      <c r="E503" t="s">
        <v>2987</v>
      </c>
    </row>
    <row r="504" spans="1:5" x14ac:dyDescent="0.2">
      <c r="A504" t="s">
        <v>2619</v>
      </c>
      <c r="B504" t="s">
        <v>888</v>
      </c>
      <c r="C504" t="s">
        <v>0</v>
      </c>
      <c r="D504">
        <v>0.58823531866073608</v>
      </c>
      <c r="E504" t="s">
        <v>2987</v>
      </c>
    </row>
    <row r="505" spans="1:5" x14ac:dyDescent="0.2">
      <c r="A505" t="s">
        <v>2620</v>
      </c>
      <c r="B505" t="s">
        <v>2988</v>
      </c>
      <c r="C505" t="s">
        <v>2988</v>
      </c>
      <c r="D505">
        <v>0.1428571492433548</v>
      </c>
      <c r="E505" t="s">
        <v>2987</v>
      </c>
    </row>
    <row r="506" spans="1:5" x14ac:dyDescent="0.2">
      <c r="A506" t="s">
        <v>2621</v>
      </c>
      <c r="B506" t="s">
        <v>1592</v>
      </c>
      <c r="C506" t="s">
        <v>1</v>
      </c>
      <c r="D506">
        <v>0.58064514398574829</v>
      </c>
      <c r="E506" t="s">
        <v>2987</v>
      </c>
    </row>
    <row r="507" spans="1:5" x14ac:dyDescent="0.2">
      <c r="A507" t="s">
        <v>2622</v>
      </c>
      <c r="B507" t="s">
        <v>1518</v>
      </c>
      <c r="C507" t="s">
        <v>1</v>
      </c>
      <c r="D507">
        <v>0.36363637447357178</v>
      </c>
      <c r="E507" t="s">
        <v>2987</v>
      </c>
    </row>
    <row r="508" spans="1:5" x14ac:dyDescent="0.2">
      <c r="A508" t="s">
        <v>2623</v>
      </c>
      <c r="B508" t="s">
        <v>487</v>
      </c>
      <c r="C508" t="s">
        <v>1</v>
      </c>
      <c r="D508">
        <v>0.46153846383094788</v>
      </c>
      <c r="E508" t="s">
        <v>2987</v>
      </c>
    </row>
    <row r="509" spans="1:5" x14ac:dyDescent="0.2">
      <c r="A509" t="s">
        <v>2624</v>
      </c>
      <c r="B509" t="s">
        <v>2988</v>
      </c>
      <c r="C509" t="s">
        <v>2988</v>
      </c>
      <c r="D509">
        <v>0.23076923191547394</v>
      </c>
      <c r="E509" t="s">
        <v>2987</v>
      </c>
    </row>
    <row r="510" spans="1:5" x14ac:dyDescent="0.2">
      <c r="A510" t="s">
        <v>2625</v>
      </c>
      <c r="B510" t="s">
        <v>2988</v>
      </c>
      <c r="C510" t="s">
        <v>2988</v>
      </c>
      <c r="D510">
        <v>7.3170728981494904E-2</v>
      </c>
      <c r="E510" t="s">
        <v>2987</v>
      </c>
    </row>
    <row r="511" spans="1:5" x14ac:dyDescent="0.2">
      <c r="A511" t="s">
        <v>2626</v>
      </c>
      <c r="B511" t="s">
        <v>1935</v>
      </c>
      <c r="C511" t="s">
        <v>1</v>
      </c>
      <c r="D511">
        <v>0.51851850748062134</v>
      </c>
      <c r="E511" t="s">
        <v>2987</v>
      </c>
    </row>
    <row r="512" spans="1:5" x14ac:dyDescent="0.2">
      <c r="A512" t="s">
        <v>2627</v>
      </c>
      <c r="B512" t="s">
        <v>1934</v>
      </c>
      <c r="C512" t="s">
        <v>1</v>
      </c>
      <c r="D512">
        <v>0.45454546809196472</v>
      </c>
      <c r="E512" t="s">
        <v>2987</v>
      </c>
    </row>
    <row r="513" spans="1:5" x14ac:dyDescent="0.2">
      <c r="A513" t="s">
        <v>2628</v>
      </c>
      <c r="B513" t="s">
        <v>1305</v>
      </c>
      <c r="C513" t="s">
        <v>0</v>
      </c>
      <c r="D513">
        <v>1</v>
      </c>
      <c r="E513" t="s">
        <v>2987</v>
      </c>
    </row>
    <row r="514" spans="1:5" x14ac:dyDescent="0.2">
      <c r="A514" t="s">
        <v>2629</v>
      </c>
      <c r="B514" t="s">
        <v>1764</v>
      </c>
      <c r="C514" t="s">
        <v>1</v>
      </c>
      <c r="D514">
        <v>1</v>
      </c>
      <c r="E514" t="s">
        <v>2987</v>
      </c>
    </row>
    <row r="515" spans="1:5" x14ac:dyDescent="0.2">
      <c r="A515" t="s">
        <v>2630</v>
      </c>
      <c r="B515" t="s">
        <v>1413</v>
      </c>
      <c r="C515" t="s">
        <v>1</v>
      </c>
      <c r="D515">
        <v>0.58064514398574829</v>
      </c>
      <c r="E515" t="s">
        <v>2987</v>
      </c>
    </row>
    <row r="516" spans="1:5" x14ac:dyDescent="0.2">
      <c r="A516" t="s">
        <v>2631</v>
      </c>
      <c r="B516" t="s">
        <v>1248</v>
      </c>
      <c r="C516" t="s">
        <v>0</v>
      </c>
      <c r="D516">
        <v>0.40000000596046448</v>
      </c>
      <c r="E516" t="s">
        <v>2987</v>
      </c>
    </row>
    <row r="517" spans="1:5" x14ac:dyDescent="0.2">
      <c r="A517" t="s">
        <v>2632</v>
      </c>
      <c r="B517" t="s">
        <v>1942</v>
      </c>
      <c r="C517" t="s">
        <v>1</v>
      </c>
      <c r="D517">
        <v>0.61538463830947876</v>
      </c>
      <c r="E517" t="s">
        <v>2987</v>
      </c>
    </row>
    <row r="518" spans="1:5" x14ac:dyDescent="0.2">
      <c r="A518" t="s">
        <v>2633</v>
      </c>
      <c r="B518" t="s">
        <v>2988</v>
      </c>
      <c r="C518" t="s">
        <v>2988</v>
      </c>
      <c r="D518">
        <v>0.1428571492433548</v>
      </c>
      <c r="E518" t="s">
        <v>2987</v>
      </c>
    </row>
    <row r="519" spans="1:5" x14ac:dyDescent="0.2">
      <c r="A519" t="s">
        <v>2634</v>
      </c>
      <c r="B519" t="s">
        <v>2988</v>
      </c>
      <c r="C519" t="s">
        <v>2988</v>
      </c>
      <c r="D519">
        <v>0.25</v>
      </c>
      <c r="E519" t="s">
        <v>2987</v>
      </c>
    </row>
    <row r="520" spans="1:5" x14ac:dyDescent="0.2">
      <c r="A520" t="s">
        <v>2635</v>
      </c>
      <c r="B520" t="s">
        <v>1616</v>
      </c>
      <c r="C520" t="s">
        <v>1</v>
      </c>
      <c r="D520">
        <v>0.5161290168762207</v>
      </c>
      <c r="E520" t="s">
        <v>2987</v>
      </c>
    </row>
    <row r="521" spans="1:5" x14ac:dyDescent="0.2">
      <c r="A521" t="s">
        <v>2636</v>
      </c>
      <c r="B521" t="s">
        <v>2016</v>
      </c>
      <c r="C521" t="s">
        <v>1</v>
      </c>
      <c r="D521">
        <v>0.80000001192092896</v>
      </c>
      <c r="E521" t="s">
        <v>2987</v>
      </c>
    </row>
    <row r="522" spans="1:5" x14ac:dyDescent="0.2">
      <c r="A522" t="s">
        <v>2637</v>
      </c>
      <c r="B522" t="s">
        <v>1379</v>
      </c>
      <c r="C522" t="s">
        <v>0</v>
      </c>
      <c r="D522">
        <v>0.45454546809196472</v>
      </c>
      <c r="E522" t="s">
        <v>2987</v>
      </c>
    </row>
    <row r="523" spans="1:5" x14ac:dyDescent="0.2">
      <c r="A523" t="s">
        <v>2638</v>
      </c>
      <c r="B523" t="s">
        <v>828</v>
      </c>
      <c r="C523" t="s">
        <v>0</v>
      </c>
      <c r="D523">
        <v>0.5</v>
      </c>
      <c r="E523" t="s">
        <v>2987</v>
      </c>
    </row>
    <row r="524" spans="1:5" x14ac:dyDescent="0.2">
      <c r="A524" t="s">
        <v>2639</v>
      </c>
      <c r="B524" t="s">
        <v>2988</v>
      </c>
      <c r="C524" t="s">
        <v>2988</v>
      </c>
      <c r="D524">
        <v>0.1428571492433548</v>
      </c>
      <c r="E524" t="s">
        <v>2987</v>
      </c>
    </row>
    <row r="525" spans="1:5" x14ac:dyDescent="0.2">
      <c r="A525" t="s">
        <v>2640</v>
      </c>
      <c r="B525" t="s">
        <v>1650</v>
      </c>
      <c r="C525" t="s">
        <v>1</v>
      </c>
      <c r="D525">
        <v>0.5</v>
      </c>
      <c r="E525" t="s">
        <v>2987</v>
      </c>
    </row>
    <row r="526" spans="1:5" x14ac:dyDescent="0.2">
      <c r="A526" t="s">
        <v>2641</v>
      </c>
      <c r="B526" t="s">
        <v>2988</v>
      </c>
      <c r="C526" t="s">
        <v>2988</v>
      </c>
      <c r="D526">
        <v>0.15384615957736969</v>
      </c>
      <c r="E526" t="s">
        <v>2987</v>
      </c>
    </row>
    <row r="527" spans="1:5" x14ac:dyDescent="0.2">
      <c r="A527" t="s">
        <v>2642</v>
      </c>
      <c r="B527" t="s">
        <v>2988</v>
      </c>
      <c r="C527" t="s">
        <v>2988</v>
      </c>
      <c r="D527">
        <v>0.28571429848670959</v>
      </c>
      <c r="E527" t="s">
        <v>2987</v>
      </c>
    </row>
    <row r="528" spans="1:5" x14ac:dyDescent="0.2">
      <c r="A528" t="s">
        <v>2643</v>
      </c>
      <c r="B528" t="s">
        <v>990</v>
      </c>
      <c r="C528" t="s">
        <v>1</v>
      </c>
      <c r="D528">
        <v>1</v>
      </c>
      <c r="E528" t="s">
        <v>2987</v>
      </c>
    </row>
    <row r="529" spans="1:5" x14ac:dyDescent="0.2">
      <c r="A529" t="s">
        <v>2644</v>
      </c>
      <c r="B529" t="s">
        <v>1598</v>
      </c>
      <c r="C529" t="s">
        <v>1</v>
      </c>
      <c r="D529">
        <v>0.3095238208770752</v>
      </c>
      <c r="E529" t="s">
        <v>2987</v>
      </c>
    </row>
    <row r="530" spans="1:5" x14ac:dyDescent="0.2">
      <c r="A530" t="s">
        <v>2645</v>
      </c>
      <c r="B530" t="s">
        <v>890</v>
      </c>
      <c r="C530" t="s">
        <v>0</v>
      </c>
      <c r="D530">
        <v>0.63157892227172852</v>
      </c>
      <c r="E530" t="s">
        <v>2987</v>
      </c>
    </row>
    <row r="531" spans="1:5" x14ac:dyDescent="0.2">
      <c r="A531" t="s">
        <v>2646</v>
      </c>
      <c r="B531" t="s">
        <v>2988</v>
      </c>
      <c r="C531" t="s">
        <v>2988</v>
      </c>
      <c r="D531">
        <v>2.7027027681469917E-2</v>
      </c>
      <c r="E531" t="s">
        <v>2987</v>
      </c>
    </row>
    <row r="532" spans="1:5" x14ac:dyDescent="0.2">
      <c r="A532" t="s">
        <v>2647</v>
      </c>
      <c r="B532" t="s">
        <v>2988</v>
      </c>
      <c r="C532" t="s">
        <v>2988</v>
      </c>
      <c r="D532">
        <v>3.5714287310838699E-2</v>
      </c>
      <c r="E532" t="s">
        <v>2987</v>
      </c>
    </row>
    <row r="533" spans="1:5" x14ac:dyDescent="0.2">
      <c r="A533" t="s">
        <v>257</v>
      </c>
      <c r="B533" t="s">
        <v>257</v>
      </c>
      <c r="C533" t="s">
        <v>1</v>
      </c>
      <c r="D533">
        <v>1</v>
      </c>
      <c r="E533" t="s">
        <v>2987</v>
      </c>
    </row>
    <row r="534" spans="1:5" x14ac:dyDescent="0.2">
      <c r="A534" t="s">
        <v>2648</v>
      </c>
      <c r="B534" t="s">
        <v>484</v>
      </c>
      <c r="C534" t="s">
        <v>0</v>
      </c>
      <c r="D534">
        <v>0.53333336114883423</v>
      </c>
      <c r="E534" t="s">
        <v>2987</v>
      </c>
    </row>
    <row r="535" spans="1:5" x14ac:dyDescent="0.2">
      <c r="A535" t="s">
        <v>2649</v>
      </c>
      <c r="B535" t="s">
        <v>248</v>
      </c>
      <c r="C535" t="s">
        <v>0</v>
      </c>
      <c r="D535">
        <v>0.4444444477558136</v>
      </c>
      <c r="E535" t="s">
        <v>2987</v>
      </c>
    </row>
    <row r="536" spans="1:5" x14ac:dyDescent="0.2">
      <c r="A536" t="s">
        <v>2650</v>
      </c>
      <c r="B536" t="s">
        <v>248</v>
      </c>
      <c r="C536" t="s">
        <v>0</v>
      </c>
      <c r="D536">
        <v>0.46666666865348816</v>
      </c>
      <c r="E536" t="s">
        <v>2987</v>
      </c>
    </row>
    <row r="537" spans="1:5" x14ac:dyDescent="0.2">
      <c r="A537" t="s">
        <v>2651</v>
      </c>
      <c r="B537" t="s">
        <v>2988</v>
      </c>
      <c r="C537" t="s">
        <v>2988</v>
      </c>
      <c r="D537">
        <v>0.15384615957736969</v>
      </c>
      <c r="E537" t="s">
        <v>2987</v>
      </c>
    </row>
    <row r="538" spans="1:5" x14ac:dyDescent="0.2">
      <c r="A538" t="s">
        <v>2652</v>
      </c>
      <c r="B538" t="s">
        <v>2988</v>
      </c>
      <c r="C538" t="s">
        <v>2988</v>
      </c>
      <c r="D538">
        <v>0.2222222238779068</v>
      </c>
      <c r="E538" t="s">
        <v>2987</v>
      </c>
    </row>
    <row r="539" spans="1:5" x14ac:dyDescent="0.2">
      <c r="A539" t="s">
        <v>2653</v>
      </c>
      <c r="B539" t="s">
        <v>1129</v>
      </c>
      <c r="C539" t="s">
        <v>0</v>
      </c>
      <c r="D539">
        <v>0.5</v>
      </c>
      <c r="E539" t="s">
        <v>2987</v>
      </c>
    </row>
    <row r="540" spans="1:5" x14ac:dyDescent="0.2">
      <c r="A540" t="s">
        <v>2654</v>
      </c>
      <c r="B540" t="s">
        <v>196</v>
      </c>
      <c r="C540" t="s">
        <v>0</v>
      </c>
      <c r="D540">
        <v>0.4285714328289032</v>
      </c>
      <c r="E540" t="s">
        <v>2987</v>
      </c>
    </row>
    <row r="541" spans="1:5" x14ac:dyDescent="0.2">
      <c r="A541" t="s">
        <v>2655</v>
      </c>
      <c r="B541" t="s">
        <v>1123</v>
      </c>
      <c r="C541" t="s">
        <v>0</v>
      </c>
      <c r="D541">
        <v>0.5517241358757019</v>
      </c>
      <c r="E541" t="s">
        <v>2987</v>
      </c>
    </row>
    <row r="542" spans="1:5" x14ac:dyDescent="0.2">
      <c r="A542" t="s">
        <v>2656</v>
      </c>
      <c r="B542" t="s">
        <v>1248</v>
      </c>
      <c r="C542" t="s">
        <v>0</v>
      </c>
      <c r="D542">
        <v>0.31707316637039185</v>
      </c>
      <c r="E542" t="s">
        <v>2987</v>
      </c>
    </row>
    <row r="543" spans="1:5" x14ac:dyDescent="0.2">
      <c r="A543" t="s">
        <v>2657</v>
      </c>
      <c r="B543" t="s">
        <v>1566</v>
      </c>
      <c r="C543" t="s">
        <v>1</v>
      </c>
      <c r="D543">
        <v>0.56410259008407593</v>
      </c>
      <c r="E543" t="s">
        <v>2987</v>
      </c>
    </row>
    <row r="544" spans="1:5" x14ac:dyDescent="0.2">
      <c r="A544" t="s">
        <v>2658</v>
      </c>
      <c r="B544" t="s">
        <v>1566</v>
      </c>
      <c r="C544" t="s">
        <v>1</v>
      </c>
      <c r="D544">
        <v>0.53846156597137451</v>
      </c>
      <c r="E544" t="s">
        <v>2987</v>
      </c>
    </row>
    <row r="545" spans="1:5" x14ac:dyDescent="0.2">
      <c r="A545" t="s">
        <v>2659</v>
      </c>
      <c r="B545" t="s">
        <v>2988</v>
      </c>
      <c r="C545" t="s">
        <v>2988</v>
      </c>
      <c r="D545">
        <v>0.1428571492433548</v>
      </c>
      <c r="E545" t="s">
        <v>2987</v>
      </c>
    </row>
    <row r="546" spans="1:5" x14ac:dyDescent="0.2">
      <c r="A546" t="s">
        <v>2660</v>
      </c>
      <c r="B546" t="s">
        <v>1568</v>
      </c>
      <c r="C546" t="s">
        <v>1</v>
      </c>
      <c r="D546">
        <v>0.42553192377090454</v>
      </c>
      <c r="E546" t="s">
        <v>2987</v>
      </c>
    </row>
    <row r="547" spans="1:5" x14ac:dyDescent="0.2">
      <c r="A547" t="s">
        <v>2661</v>
      </c>
      <c r="B547" t="s">
        <v>1568</v>
      </c>
      <c r="C547" t="s">
        <v>1</v>
      </c>
      <c r="D547">
        <v>0.34210526943206787</v>
      </c>
      <c r="E547" t="s">
        <v>2987</v>
      </c>
    </row>
    <row r="548" spans="1:5" x14ac:dyDescent="0.2">
      <c r="A548" t="s">
        <v>2662</v>
      </c>
      <c r="B548" t="s">
        <v>1261</v>
      </c>
      <c r="C548" t="s">
        <v>1</v>
      </c>
      <c r="D548">
        <v>0.72727274894714355</v>
      </c>
      <c r="E548" t="s">
        <v>2987</v>
      </c>
    </row>
    <row r="549" spans="1:5" x14ac:dyDescent="0.2">
      <c r="A549" t="s">
        <v>2663</v>
      </c>
      <c r="B549" t="s">
        <v>1285</v>
      </c>
      <c r="C549" t="s">
        <v>1</v>
      </c>
      <c r="D549">
        <v>0.5</v>
      </c>
      <c r="E549" t="s">
        <v>2987</v>
      </c>
    </row>
    <row r="550" spans="1:5" x14ac:dyDescent="0.2">
      <c r="A550" t="s">
        <v>2664</v>
      </c>
      <c r="B550" t="s">
        <v>1261</v>
      </c>
      <c r="C550" t="s">
        <v>1</v>
      </c>
      <c r="D550">
        <v>0.37777778506278992</v>
      </c>
      <c r="E550" t="s">
        <v>2987</v>
      </c>
    </row>
    <row r="551" spans="1:5" x14ac:dyDescent="0.2">
      <c r="A551" t="s">
        <v>2665</v>
      </c>
      <c r="B551" t="s">
        <v>156</v>
      </c>
      <c r="C551" t="s">
        <v>0</v>
      </c>
      <c r="D551">
        <v>0.5</v>
      </c>
      <c r="E551" t="s">
        <v>2987</v>
      </c>
    </row>
    <row r="552" spans="1:5" x14ac:dyDescent="0.2">
      <c r="A552" t="s">
        <v>2666</v>
      </c>
      <c r="B552" t="s">
        <v>128</v>
      </c>
      <c r="C552" t="s">
        <v>0</v>
      </c>
      <c r="D552">
        <v>0.48387095332145691</v>
      </c>
      <c r="E552" t="s">
        <v>2987</v>
      </c>
    </row>
    <row r="553" spans="1:5" x14ac:dyDescent="0.2">
      <c r="A553" t="s">
        <v>2667</v>
      </c>
      <c r="B553" t="s">
        <v>1570</v>
      </c>
      <c r="C553" t="s">
        <v>1</v>
      </c>
      <c r="D553">
        <v>0.35294118523597717</v>
      </c>
      <c r="E553" t="s">
        <v>2987</v>
      </c>
    </row>
    <row r="554" spans="1:5" x14ac:dyDescent="0.2">
      <c r="A554" t="s">
        <v>2668</v>
      </c>
      <c r="B554" t="s">
        <v>1570</v>
      </c>
      <c r="C554" t="s">
        <v>1</v>
      </c>
      <c r="D554">
        <v>0.58536583185195923</v>
      </c>
      <c r="E554" t="s">
        <v>2987</v>
      </c>
    </row>
    <row r="555" spans="1:5" x14ac:dyDescent="0.2">
      <c r="A555" t="s">
        <v>2669</v>
      </c>
      <c r="B555" t="s">
        <v>2988</v>
      </c>
      <c r="C555" t="s">
        <v>2988</v>
      </c>
      <c r="D555">
        <v>0</v>
      </c>
      <c r="E555" t="s">
        <v>2987</v>
      </c>
    </row>
    <row r="556" spans="1:5" x14ac:dyDescent="0.2">
      <c r="A556" t="s">
        <v>2670</v>
      </c>
      <c r="B556" t="s">
        <v>900</v>
      </c>
      <c r="C556" t="s">
        <v>0</v>
      </c>
      <c r="D556">
        <v>0.7450980544090271</v>
      </c>
      <c r="E556" t="s">
        <v>2987</v>
      </c>
    </row>
    <row r="557" spans="1:5" x14ac:dyDescent="0.2">
      <c r="A557" t="s">
        <v>2671</v>
      </c>
      <c r="B557" t="s">
        <v>900</v>
      </c>
      <c r="C557" t="s">
        <v>0</v>
      </c>
      <c r="D557">
        <v>0.45454546809196472</v>
      </c>
      <c r="E557" t="s">
        <v>2987</v>
      </c>
    </row>
    <row r="558" spans="1:5" x14ac:dyDescent="0.2">
      <c r="A558" t="s">
        <v>2672</v>
      </c>
      <c r="B558" t="s">
        <v>900</v>
      </c>
      <c r="C558" t="s">
        <v>0</v>
      </c>
      <c r="D558">
        <v>0.41379311680793762</v>
      </c>
      <c r="E558" t="s">
        <v>2987</v>
      </c>
    </row>
    <row r="559" spans="1:5" x14ac:dyDescent="0.2">
      <c r="A559" t="s">
        <v>2673</v>
      </c>
      <c r="B559" t="s">
        <v>900</v>
      </c>
      <c r="C559" t="s">
        <v>0</v>
      </c>
      <c r="D559">
        <v>0.43859648704528809</v>
      </c>
      <c r="E559" t="s">
        <v>2987</v>
      </c>
    </row>
    <row r="560" spans="1:5" x14ac:dyDescent="0.2">
      <c r="A560" t="s">
        <v>2674</v>
      </c>
      <c r="B560" t="s">
        <v>2988</v>
      </c>
      <c r="C560" t="s">
        <v>2988</v>
      </c>
      <c r="D560">
        <v>0</v>
      </c>
      <c r="E560" t="s">
        <v>2987</v>
      </c>
    </row>
    <row r="561" spans="1:5" x14ac:dyDescent="0.2">
      <c r="A561" t="s">
        <v>2675</v>
      </c>
      <c r="B561" t="s">
        <v>2988</v>
      </c>
      <c r="C561" t="s">
        <v>2988</v>
      </c>
      <c r="D561">
        <v>0</v>
      </c>
      <c r="E561" t="s">
        <v>2987</v>
      </c>
    </row>
    <row r="562" spans="1:5" x14ac:dyDescent="0.2">
      <c r="A562" t="s">
        <v>2676</v>
      </c>
      <c r="B562" t="s">
        <v>506</v>
      </c>
      <c r="C562" t="s">
        <v>0</v>
      </c>
      <c r="D562">
        <v>1</v>
      </c>
      <c r="E562" t="s">
        <v>2987</v>
      </c>
    </row>
    <row r="563" spans="1:5" x14ac:dyDescent="0.2">
      <c r="A563" t="s">
        <v>2677</v>
      </c>
      <c r="B563" t="s">
        <v>508</v>
      </c>
      <c r="C563" t="s">
        <v>0</v>
      </c>
      <c r="D563">
        <v>1</v>
      </c>
      <c r="E563" t="s">
        <v>2987</v>
      </c>
    </row>
    <row r="564" spans="1:5" x14ac:dyDescent="0.2">
      <c r="A564" t="s">
        <v>2678</v>
      </c>
      <c r="B564" t="s">
        <v>1529</v>
      </c>
      <c r="C564" t="s">
        <v>0</v>
      </c>
      <c r="D564">
        <v>0.54545456171035767</v>
      </c>
      <c r="E564" t="s">
        <v>2987</v>
      </c>
    </row>
    <row r="565" spans="1:5" x14ac:dyDescent="0.2">
      <c r="A565" t="s">
        <v>2679</v>
      </c>
      <c r="B565" t="s">
        <v>1531</v>
      </c>
      <c r="C565" t="s">
        <v>0</v>
      </c>
      <c r="D565">
        <v>0.59090906381607056</v>
      </c>
      <c r="E565" t="s">
        <v>2987</v>
      </c>
    </row>
    <row r="566" spans="1:5" x14ac:dyDescent="0.2">
      <c r="A566" t="s">
        <v>2680</v>
      </c>
      <c r="B566" t="s">
        <v>98</v>
      </c>
      <c r="C566" t="s">
        <v>0</v>
      </c>
      <c r="D566">
        <v>1</v>
      </c>
      <c r="E566" t="s">
        <v>2987</v>
      </c>
    </row>
    <row r="567" spans="1:5" x14ac:dyDescent="0.2">
      <c r="A567" t="s">
        <v>2681</v>
      </c>
      <c r="B567" t="s">
        <v>374</v>
      </c>
      <c r="C567" t="s">
        <v>0</v>
      </c>
      <c r="D567">
        <v>0.53846156597137451</v>
      </c>
      <c r="E567" t="s">
        <v>2987</v>
      </c>
    </row>
    <row r="568" spans="1:5" x14ac:dyDescent="0.2">
      <c r="A568" t="s">
        <v>2682</v>
      </c>
      <c r="B568" t="s">
        <v>656</v>
      </c>
      <c r="C568" t="s">
        <v>0</v>
      </c>
      <c r="D568">
        <v>0.3571428656578064</v>
      </c>
      <c r="E568" t="s">
        <v>2987</v>
      </c>
    </row>
    <row r="569" spans="1:5" x14ac:dyDescent="0.2">
      <c r="A569" t="s">
        <v>2683</v>
      </c>
      <c r="B569" t="s">
        <v>204</v>
      </c>
      <c r="C569" t="s">
        <v>0</v>
      </c>
      <c r="D569">
        <v>0.41379311680793762</v>
      </c>
      <c r="E569" t="s">
        <v>2987</v>
      </c>
    </row>
    <row r="570" spans="1:5" x14ac:dyDescent="0.2">
      <c r="A570" t="s">
        <v>2684</v>
      </c>
      <c r="B570" t="s">
        <v>1572</v>
      </c>
      <c r="C570" t="s">
        <v>1</v>
      </c>
      <c r="D570">
        <v>0.6111111044883728</v>
      </c>
      <c r="E570" t="s">
        <v>2987</v>
      </c>
    </row>
    <row r="571" spans="1:5" x14ac:dyDescent="0.2">
      <c r="A571" t="s">
        <v>2685</v>
      </c>
      <c r="B571" t="s">
        <v>1137</v>
      </c>
      <c r="C571" t="s">
        <v>0</v>
      </c>
      <c r="D571">
        <v>1</v>
      </c>
      <c r="E571" t="s">
        <v>2987</v>
      </c>
    </row>
    <row r="572" spans="1:5" x14ac:dyDescent="0.2">
      <c r="A572" t="s">
        <v>2686</v>
      </c>
      <c r="B572" t="s">
        <v>100</v>
      </c>
      <c r="C572" t="s">
        <v>0</v>
      </c>
      <c r="D572">
        <v>1</v>
      </c>
      <c r="E572" t="s">
        <v>2987</v>
      </c>
    </row>
    <row r="573" spans="1:5" x14ac:dyDescent="0.2">
      <c r="A573" t="s">
        <v>2687</v>
      </c>
      <c r="B573" t="s">
        <v>2988</v>
      </c>
      <c r="C573" t="s">
        <v>2988</v>
      </c>
      <c r="D573">
        <v>0.15384615957736969</v>
      </c>
      <c r="E573" t="s">
        <v>2987</v>
      </c>
    </row>
    <row r="574" spans="1:5" x14ac:dyDescent="0.2">
      <c r="A574" t="s">
        <v>2688</v>
      </c>
      <c r="B574" t="s">
        <v>100</v>
      </c>
      <c r="C574" t="s">
        <v>0</v>
      </c>
      <c r="D574">
        <v>0.53333336114883423</v>
      </c>
      <c r="E574" t="s">
        <v>2987</v>
      </c>
    </row>
    <row r="575" spans="1:5" x14ac:dyDescent="0.2">
      <c r="A575" t="s">
        <v>2689</v>
      </c>
      <c r="B575" t="s">
        <v>1169</v>
      </c>
      <c r="C575" t="s">
        <v>0</v>
      </c>
      <c r="D575">
        <v>0.56818181276321411</v>
      </c>
      <c r="E575" t="s">
        <v>2987</v>
      </c>
    </row>
    <row r="576" spans="1:5" x14ac:dyDescent="0.2">
      <c r="A576" t="s">
        <v>2690</v>
      </c>
      <c r="B576" t="s">
        <v>1483</v>
      </c>
      <c r="C576" t="s">
        <v>1</v>
      </c>
      <c r="D576">
        <v>1</v>
      </c>
      <c r="E576" t="s">
        <v>2987</v>
      </c>
    </row>
    <row r="577" spans="1:5" x14ac:dyDescent="0.2">
      <c r="A577" t="s">
        <v>2691</v>
      </c>
      <c r="B577" t="s">
        <v>2988</v>
      </c>
      <c r="C577" t="s">
        <v>2988</v>
      </c>
      <c r="D577">
        <v>3.0303031206130981E-2</v>
      </c>
      <c r="E577" t="s">
        <v>2987</v>
      </c>
    </row>
    <row r="578" spans="1:5" x14ac:dyDescent="0.2">
      <c r="A578" t="s">
        <v>2692</v>
      </c>
      <c r="B578" t="s">
        <v>1483</v>
      </c>
      <c r="C578" t="s">
        <v>1</v>
      </c>
      <c r="D578">
        <v>0.57142859697341919</v>
      </c>
      <c r="E578" t="s">
        <v>2987</v>
      </c>
    </row>
    <row r="579" spans="1:5" x14ac:dyDescent="0.2">
      <c r="A579" t="s">
        <v>2693</v>
      </c>
      <c r="B579" t="s">
        <v>2988</v>
      </c>
      <c r="C579" t="s">
        <v>2988</v>
      </c>
      <c r="D579">
        <v>0</v>
      </c>
      <c r="E579" t="s">
        <v>2987</v>
      </c>
    </row>
    <row r="580" spans="1:5" x14ac:dyDescent="0.2">
      <c r="A580" t="s">
        <v>2694</v>
      </c>
      <c r="B580" t="s">
        <v>2988</v>
      </c>
      <c r="C580" t="s">
        <v>2988</v>
      </c>
      <c r="D580">
        <v>0.28571429848670959</v>
      </c>
      <c r="E580" t="s">
        <v>2987</v>
      </c>
    </row>
    <row r="581" spans="1:5" x14ac:dyDescent="0.2">
      <c r="A581" t="s">
        <v>2695</v>
      </c>
      <c r="B581" t="s">
        <v>1917</v>
      </c>
      <c r="C581" t="s">
        <v>1</v>
      </c>
      <c r="D581">
        <v>0.53846156597137451</v>
      </c>
      <c r="E581" t="s">
        <v>2987</v>
      </c>
    </row>
    <row r="582" spans="1:5" x14ac:dyDescent="0.2">
      <c r="A582" t="s">
        <v>2696</v>
      </c>
      <c r="B582" t="s">
        <v>2988</v>
      </c>
      <c r="C582" t="s">
        <v>2988</v>
      </c>
      <c r="D582">
        <v>0.1428571492433548</v>
      </c>
      <c r="E582" t="s">
        <v>2987</v>
      </c>
    </row>
    <row r="583" spans="1:5" x14ac:dyDescent="0.2">
      <c r="A583" t="s">
        <v>2697</v>
      </c>
      <c r="B583" t="s">
        <v>306</v>
      </c>
      <c r="C583" t="s">
        <v>0</v>
      </c>
      <c r="D583">
        <v>0.5</v>
      </c>
      <c r="E583" t="s">
        <v>2987</v>
      </c>
    </row>
    <row r="584" spans="1:5" x14ac:dyDescent="0.2">
      <c r="A584" t="s">
        <v>2698</v>
      </c>
      <c r="B584" t="s">
        <v>809</v>
      </c>
      <c r="C584" t="s">
        <v>1</v>
      </c>
      <c r="D584">
        <v>0.46666666865348816</v>
      </c>
      <c r="E584" t="s">
        <v>2987</v>
      </c>
    </row>
    <row r="585" spans="1:5" x14ac:dyDescent="0.2">
      <c r="A585" t="s">
        <v>2699</v>
      </c>
      <c r="B585" t="s">
        <v>1941</v>
      </c>
      <c r="C585" t="s">
        <v>1</v>
      </c>
      <c r="D585">
        <v>0.39130434393882751</v>
      </c>
      <c r="E585" t="s">
        <v>2987</v>
      </c>
    </row>
    <row r="586" spans="1:5" x14ac:dyDescent="0.2">
      <c r="A586" t="s">
        <v>2700</v>
      </c>
      <c r="B586" t="s">
        <v>1941</v>
      </c>
      <c r="C586" t="s">
        <v>1</v>
      </c>
      <c r="D586">
        <v>0.55882352590560913</v>
      </c>
      <c r="E586" t="s">
        <v>2987</v>
      </c>
    </row>
    <row r="587" spans="1:5" x14ac:dyDescent="0.2">
      <c r="A587" t="s">
        <v>2701</v>
      </c>
      <c r="B587" t="s">
        <v>992</v>
      </c>
      <c r="C587" t="s">
        <v>1</v>
      </c>
      <c r="D587">
        <v>0.46666666865348816</v>
      </c>
      <c r="E587" t="s">
        <v>2987</v>
      </c>
    </row>
    <row r="588" spans="1:5" x14ac:dyDescent="0.2">
      <c r="A588" t="s">
        <v>2702</v>
      </c>
      <c r="B588" t="s">
        <v>686</v>
      </c>
      <c r="C588" t="s">
        <v>1</v>
      </c>
      <c r="D588">
        <v>0.47999998927116394</v>
      </c>
      <c r="E588" t="s">
        <v>2987</v>
      </c>
    </row>
    <row r="589" spans="1:5" x14ac:dyDescent="0.2">
      <c r="A589" t="s">
        <v>2703</v>
      </c>
      <c r="B589" t="s">
        <v>2988</v>
      </c>
      <c r="C589" t="s">
        <v>2988</v>
      </c>
      <c r="D589">
        <v>0.1111111119389534</v>
      </c>
      <c r="E589" t="s">
        <v>2987</v>
      </c>
    </row>
    <row r="590" spans="1:5" x14ac:dyDescent="0.2">
      <c r="A590" t="s">
        <v>2704</v>
      </c>
      <c r="B590" t="s">
        <v>1705</v>
      </c>
      <c r="C590" t="s">
        <v>1</v>
      </c>
      <c r="D590">
        <v>0.53333336114883423</v>
      </c>
      <c r="E590" t="s">
        <v>2987</v>
      </c>
    </row>
    <row r="591" spans="1:5" x14ac:dyDescent="0.2">
      <c r="A591" t="s">
        <v>2705</v>
      </c>
      <c r="B591" t="s">
        <v>2988</v>
      </c>
      <c r="C591" t="s">
        <v>2988</v>
      </c>
      <c r="D591">
        <v>7.6923079788684845E-2</v>
      </c>
      <c r="E591" t="s">
        <v>2987</v>
      </c>
    </row>
    <row r="592" spans="1:5" x14ac:dyDescent="0.2">
      <c r="A592" t="s">
        <v>2706</v>
      </c>
      <c r="B592" t="s">
        <v>566</v>
      </c>
      <c r="C592" t="s">
        <v>0</v>
      </c>
      <c r="D592">
        <v>0.46666666865348816</v>
      </c>
      <c r="E592" t="s">
        <v>2987</v>
      </c>
    </row>
    <row r="593" spans="1:5" x14ac:dyDescent="0.2">
      <c r="A593" t="s">
        <v>2707</v>
      </c>
      <c r="B593" t="s">
        <v>994</v>
      </c>
      <c r="C593" t="s">
        <v>1</v>
      </c>
      <c r="D593">
        <v>0.52173912525177002</v>
      </c>
      <c r="E593" t="s">
        <v>2987</v>
      </c>
    </row>
    <row r="594" spans="1:5" x14ac:dyDescent="0.2">
      <c r="A594" t="s">
        <v>2708</v>
      </c>
      <c r="B594" t="s">
        <v>994</v>
      </c>
      <c r="C594" t="s">
        <v>1</v>
      </c>
      <c r="D594">
        <v>0.53846156597137451</v>
      </c>
      <c r="E594" t="s">
        <v>2987</v>
      </c>
    </row>
    <row r="595" spans="1:5" x14ac:dyDescent="0.2">
      <c r="A595" t="s">
        <v>2709</v>
      </c>
      <c r="B595" t="s">
        <v>994</v>
      </c>
      <c r="C595" t="s">
        <v>1</v>
      </c>
      <c r="D595">
        <v>0.56410259008407593</v>
      </c>
      <c r="E595" t="s">
        <v>2987</v>
      </c>
    </row>
    <row r="596" spans="1:5" x14ac:dyDescent="0.2">
      <c r="A596" t="s">
        <v>2710</v>
      </c>
      <c r="B596" t="s">
        <v>944</v>
      </c>
      <c r="C596" t="s">
        <v>1</v>
      </c>
      <c r="D596">
        <v>0.80000001192092896</v>
      </c>
      <c r="E596" t="s">
        <v>2987</v>
      </c>
    </row>
    <row r="597" spans="1:5" x14ac:dyDescent="0.2">
      <c r="A597" t="s">
        <v>2711</v>
      </c>
      <c r="B597" t="s">
        <v>944</v>
      </c>
      <c r="C597" t="s">
        <v>1</v>
      </c>
      <c r="D597">
        <v>0.51999998092651367</v>
      </c>
      <c r="E597" t="s">
        <v>2987</v>
      </c>
    </row>
    <row r="598" spans="1:5" x14ac:dyDescent="0.2">
      <c r="A598" t="s">
        <v>2712</v>
      </c>
      <c r="B598" t="s">
        <v>944</v>
      </c>
      <c r="C598" t="s">
        <v>1</v>
      </c>
      <c r="D598">
        <v>0.66666668653488159</v>
      </c>
      <c r="E598" t="s">
        <v>2987</v>
      </c>
    </row>
    <row r="599" spans="1:5" x14ac:dyDescent="0.2">
      <c r="A599" t="s">
        <v>2713</v>
      </c>
      <c r="B599" t="s">
        <v>2988</v>
      </c>
      <c r="C599" t="s">
        <v>2988</v>
      </c>
      <c r="D599">
        <v>0</v>
      </c>
      <c r="E599" t="s">
        <v>2987</v>
      </c>
    </row>
    <row r="600" spans="1:5" x14ac:dyDescent="0.2">
      <c r="A600" t="s">
        <v>2714</v>
      </c>
      <c r="B600" t="s">
        <v>2988</v>
      </c>
      <c r="C600" t="s">
        <v>2988</v>
      </c>
      <c r="D600">
        <v>0</v>
      </c>
      <c r="E600" t="s">
        <v>2987</v>
      </c>
    </row>
    <row r="601" spans="1:5" x14ac:dyDescent="0.2">
      <c r="A601" t="s">
        <v>2715</v>
      </c>
      <c r="B601" t="s">
        <v>40</v>
      </c>
      <c r="C601" t="s">
        <v>0</v>
      </c>
      <c r="D601">
        <v>0.60000002384185791</v>
      </c>
      <c r="E601" t="s">
        <v>2987</v>
      </c>
    </row>
    <row r="602" spans="1:5" x14ac:dyDescent="0.2">
      <c r="A602" t="s">
        <v>2716</v>
      </c>
      <c r="B602" t="s">
        <v>40</v>
      </c>
      <c r="C602" t="s">
        <v>0</v>
      </c>
      <c r="D602">
        <v>0.66666668653488159</v>
      </c>
      <c r="E602" t="s">
        <v>2987</v>
      </c>
    </row>
    <row r="603" spans="1:5" x14ac:dyDescent="0.2">
      <c r="A603" t="s">
        <v>2717</v>
      </c>
      <c r="B603" t="s">
        <v>40</v>
      </c>
      <c r="C603" t="s">
        <v>0</v>
      </c>
      <c r="D603">
        <v>0.46153846383094788</v>
      </c>
      <c r="E603" t="s">
        <v>2987</v>
      </c>
    </row>
    <row r="604" spans="1:5" x14ac:dyDescent="0.2">
      <c r="A604" t="s">
        <v>2718</v>
      </c>
      <c r="B604" t="s">
        <v>2988</v>
      </c>
      <c r="C604" t="s">
        <v>2988</v>
      </c>
      <c r="D604">
        <v>0</v>
      </c>
      <c r="E604" t="s">
        <v>2987</v>
      </c>
    </row>
    <row r="605" spans="1:5" x14ac:dyDescent="0.2">
      <c r="A605" t="s">
        <v>2719</v>
      </c>
      <c r="B605" t="s">
        <v>1328</v>
      </c>
      <c r="C605" t="s">
        <v>1</v>
      </c>
      <c r="D605">
        <v>0.43636363744735718</v>
      </c>
      <c r="E605" t="s">
        <v>2987</v>
      </c>
    </row>
    <row r="606" spans="1:5" x14ac:dyDescent="0.2">
      <c r="A606" t="s">
        <v>2720</v>
      </c>
      <c r="B606" t="s">
        <v>402</v>
      </c>
      <c r="C606" t="s">
        <v>0</v>
      </c>
      <c r="D606">
        <v>0.74193549156188965</v>
      </c>
      <c r="E606" t="s">
        <v>2987</v>
      </c>
    </row>
    <row r="607" spans="1:5" x14ac:dyDescent="0.2">
      <c r="A607" t="s">
        <v>2721</v>
      </c>
      <c r="B607" t="s">
        <v>402</v>
      </c>
      <c r="C607" t="s">
        <v>0</v>
      </c>
      <c r="D607">
        <v>0.62162160873413086</v>
      </c>
      <c r="E607" t="s">
        <v>2987</v>
      </c>
    </row>
    <row r="608" spans="1:5" x14ac:dyDescent="0.2">
      <c r="A608" t="s">
        <v>2722</v>
      </c>
      <c r="B608" t="s">
        <v>815</v>
      </c>
      <c r="C608" t="s">
        <v>1</v>
      </c>
      <c r="D608">
        <v>0.53846156597137451</v>
      </c>
      <c r="E608" t="s">
        <v>2987</v>
      </c>
    </row>
    <row r="609" spans="1:5" x14ac:dyDescent="0.2">
      <c r="A609" t="s">
        <v>2723</v>
      </c>
      <c r="B609" t="s">
        <v>838</v>
      </c>
      <c r="C609" t="s">
        <v>0</v>
      </c>
      <c r="D609">
        <v>0.42105263471603394</v>
      </c>
      <c r="E609" t="s">
        <v>2987</v>
      </c>
    </row>
    <row r="610" spans="1:5" x14ac:dyDescent="0.2">
      <c r="A610" t="s">
        <v>2724</v>
      </c>
      <c r="B610" t="s">
        <v>2988</v>
      </c>
      <c r="C610" t="s">
        <v>2988</v>
      </c>
      <c r="D610">
        <v>0</v>
      </c>
      <c r="E610" t="s">
        <v>2987</v>
      </c>
    </row>
    <row r="611" spans="1:5" x14ac:dyDescent="0.2">
      <c r="A611" t="s">
        <v>2725</v>
      </c>
      <c r="B611" t="s">
        <v>1651</v>
      </c>
      <c r="C611" t="s">
        <v>1</v>
      </c>
      <c r="D611">
        <v>0.53333336114883423</v>
      </c>
      <c r="E611" t="s">
        <v>2987</v>
      </c>
    </row>
    <row r="612" spans="1:5" x14ac:dyDescent="0.2">
      <c r="A612" t="s">
        <v>2726</v>
      </c>
      <c r="B612" t="s">
        <v>817</v>
      </c>
      <c r="C612" t="s">
        <v>1</v>
      </c>
      <c r="D612">
        <v>0.46153846383094788</v>
      </c>
      <c r="E612" t="s">
        <v>2987</v>
      </c>
    </row>
    <row r="613" spans="1:5" x14ac:dyDescent="0.2">
      <c r="A613" t="s">
        <v>2727</v>
      </c>
      <c r="B613" t="s">
        <v>946</v>
      </c>
      <c r="C613" t="s">
        <v>1</v>
      </c>
      <c r="D613">
        <v>0.5</v>
      </c>
      <c r="E613" t="s">
        <v>2987</v>
      </c>
    </row>
    <row r="614" spans="1:5" x14ac:dyDescent="0.2">
      <c r="A614" t="s">
        <v>2728</v>
      </c>
      <c r="B614" t="s">
        <v>2988</v>
      </c>
      <c r="C614" t="s">
        <v>2988</v>
      </c>
      <c r="D614">
        <v>0</v>
      </c>
      <c r="E614" t="s">
        <v>2987</v>
      </c>
    </row>
    <row r="615" spans="1:5" x14ac:dyDescent="0.2">
      <c r="A615" t="s">
        <v>2729</v>
      </c>
      <c r="B615" t="s">
        <v>2988</v>
      </c>
      <c r="C615" t="s">
        <v>2988</v>
      </c>
      <c r="D615">
        <v>0</v>
      </c>
      <c r="E615" t="s">
        <v>2987</v>
      </c>
    </row>
    <row r="616" spans="1:5" x14ac:dyDescent="0.2">
      <c r="A616" t="s">
        <v>2730</v>
      </c>
      <c r="B616" t="s">
        <v>2988</v>
      </c>
      <c r="C616" t="s">
        <v>2988</v>
      </c>
      <c r="D616">
        <v>0</v>
      </c>
      <c r="E616" t="s">
        <v>2987</v>
      </c>
    </row>
    <row r="617" spans="1:5" x14ac:dyDescent="0.2">
      <c r="A617" t="s">
        <v>2731</v>
      </c>
      <c r="B617" t="s">
        <v>290</v>
      </c>
      <c r="C617" t="s">
        <v>0</v>
      </c>
      <c r="D617">
        <v>0.32258063554763794</v>
      </c>
      <c r="E617" t="s">
        <v>2987</v>
      </c>
    </row>
    <row r="618" spans="1:5" x14ac:dyDescent="0.2">
      <c r="A618" t="s">
        <v>2732</v>
      </c>
      <c r="B618" t="s">
        <v>449</v>
      </c>
      <c r="C618" t="s">
        <v>1</v>
      </c>
      <c r="D618">
        <v>0.5</v>
      </c>
      <c r="E618" t="s">
        <v>2987</v>
      </c>
    </row>
    <row r="619" spans="1:5" x14ac:dyDescent="0.2">
      <c r="A619" t="s">
        <v>2733</v>
      </c>
      <c r="B619" t="s">
        <v>2988</v>
      </c>
      <c r="C619" t="s">
        <v>2988</v>
      </c>
      <c r="D619">
        <v>7.6923079788684845E-2</v>
      </c>
      <c r="E619" t="s">
        <v>2987</v>
      </c>
    </row>
    <row r="620" spans="1:5" x14ac:dyDescent="0.2">
      <c r="A620" t="s">
        <v>2734</v>
      </c>
      <c r="B620" t="s">
        <v>2988</v>
      </c>
      <c r="C620" t="s">
        <v>2988</v>
      </c>
      <c r="D620">
        <v>0.125</v>
      </c>
      <c r="E620" t="s">
        <v>2987</v>
      </c>
    </row>
    <row r="621" spans="1:5" x14ac:dyDescent="0.2">
      <c r="A621" t="s">
        <v>2735</v>
      </c>
      <c r="B621" t="s">
        <v>996</v>
      </c>
      <c r="C621" t="s">
        <v>1</v>
      </c>
      <c r="D621">
        <v>0.53846156597137451</v>
      </c>
      <c r="E621" t="s">
        <v>2987</v>
      </c>
    </row>
    <row r="622" spans="1:5" x14ac:dyDescent="0.2">
      <c r="A622" t="s">
        <v>2736</v>
      </c>
      <c r="B622" t="s">
        <v>2988</v>
      </c>
      <c r="C622" t="s">
        <v>2988</v>
      </c>
      <c r="D622">
        <v>0.125</v>
      </c>
      <c r="E622" t="s">
        <v>2987</v>
      </c>
    </row>
    <row r="623" spans="1:5" x14ac:dyDescent="0.2">
      <c r="A623" t="s">
        <v>2737</v>
      </c>
      <c r="B623" t="s">
        <v>2988</v>
      </c>
      <c r="C623" t="s">
        <v>2988</v>
      </c>
      <c r="D623">
        <v>0.1428571492433548</v>
      </c>
      <c r="E623" t="s">
        <v>2987</v>
      </c>
    </row>
    <row r="624" spans="1:5" x14ac:dyDescent="0.2">
      <c r="A624" t="s">
        <v>2738</v>
      </c>
      <c r="B624" t="s">
        <v>1009</v>
      </c>
      <c r="C624" t="s">
        <v>1</v>
      </c>
      <c r="D624">
        <v>0.53846156597137451</v>
      </c>
      <c r="E624" t="s">
        <v>2987</v>
      </c>
    </row>
    <row r="625" spans="1:5" x14ac:dyDescent="0.2">
      <c r="A625" t="s">
        <v>2739</v>
      </c>
      <c r="B625" t="s">
        <v>1684</v>
      </c>
      <c r="C625" t="s">
        <v>1</v>
      </c>
      <c r="D625">
        <v>0.43478259444236755</v>
      </c>
      <c r="E625" t="s">
        <v>2987</v>
      </c>
    </row>
    <row r="626" spans="1:5" x14ac:dyDescent="0.2">
      <c r="A626" t="s">
        <v>2740</v>
      </c>
      <c r="B626" t="s">
        <v>2988</v>
      </c>
      <c r="C626" t="s">
        <v>2988</v>
      </c>
      <c r="D626">
        <v>0</v>
      </c>
      <c r="E626" t="s">
        <v>2987</v>
      </c>
    </row>
    <row r="627" spans="1:5" x14ac:dyDescent="0.2">
      <c r="A627" t="s">
        <v>2741</v>
      </c>
      <c r="B627" t="s">
        <v>2988</v>
      </c>
      <c r="C627" t="s">
        <v>2988</v>
      </c>
      <c r="D627">
        <v>0</v>
      </c>
      <c r="E627" t="s">
        <v>2987</v>
      </c>
    </row>
    <row r="628" spans="1:5" x14ac:dyDescent="0.2">
      <c r="A628" t="s">
        <v>2742</v>
      </c>
      <c r="B628" t="s">
        <v>1355</v>
      </c>
      <c r="C628" t="s">
        <v>0</v>
      </c>
      <c r="D628">
        <v>0.3684210479259491</v>
      </c>
      <c r="E628" t="s">
        <v>2987</v>
      </c>
    </row>
    <row r="629" spans="1:5" x14ac:dyDescent="0.2">
      <c r="A629" t="s">
        <v>2743</v>
      </c>
      <c r="B629" t="s">
        <v>998</v>
      </c>
      <c r="C629" t="s">
        <v>1</v>
      </c>
      <c r="D629">
        <v>0.5517241358757019</v>
      </c>
      <c r="E629" t="s">
        <v>2987</v>
      </c>
    </row>
    <row r="630" spans="1:5" x14ac:dyDescent="0.2">
      <c r="A630" t="s">
        <v>2744</v>
      </c>
      <c r="B630" t="s">
        <v>1000</v>
      </c>
      <c r="C630" t="s">
        <v>1</v>
      </c>
      <c r="D630">
        <v>0.62857145071029663</v>
      </c>
      <c r="E630" t="s">
        <v>2987</v>
      </c>
    </row>
    <row r="631" spans="1:5" x14ac:dyDescent="0.2">
      <c r="A631" t="s">
        <v>2745</v>
      </c>
      <c r="B631" t="s">
        <v>1333</v>
      </c>
      <c r="C631" t="s">
        <v>0</v>
      </c>
      <c r="D631">
        <v>0.96296298503875732</v>
      </c>
      <c r="E631" t="s">
        <v>2987</v>
      </c>
    </row>
    <row r="632" spans="1:5" x14ac:dyDescent="0.2">
      <c r="A632" t="s">
        <v>2746</v>
      </c>
      <c r="B632" t="s">
        <v>138</v>
      </c>
      <c r="C632" t="s">
        <v>0</v>
      </c>
      <c r="D632">
        <v>0.48387095332145691</v>
      </c>
      <c r="E632" t="s">
        <v>2987</v>
      </c>
    </row>
    <row r="633" spans="1:5" x14ac:dyDescent="0.2">
      <c r="A633" t="s">
        <v>2747</v>
      </c>
      <c r="B633" t="s">
        <v>1492</v>
      </c>
      <c r="C633" t="s">
        <v>1</v>
      </c>
      <c r="D633">
        <v>0.58064514398574829</v>
      </c>
      <c r="E633" t="s">
        <v>2987</v>
      </c>
    </row>
    <row r="634" spans="1:5" x14ac:dyDescent="0.2">
      <c r="A634" t="s">
        <v>2748</v>
      </c>
      <c r="B634" t="s">
        <v>1788</v>
      </c>
      <c r="C634" t="s">
        <v>1</v>
      </c>
      <c r="D634">
        <v>0.3333333432674408</v>
      </c>
      <c r="E634" t="s">
        <v>2987</v>
      </c>
    </row>
    <row r="635" spans="1:5" x14ac:dyDescent="0.2">
      <c r="A635" t="s">
        <v>2749</v>
      </c>
      <c r="B635" t="s">
        <v>33</v>
      </c>
      <c r="C635" t="s">
        <v>1</v>
      </c>
      <c r="D635">
        <v>0.43859648704528809</v>
      </c>
      <c r="E635" t="s">
        <v>2987</v>
      </c>
    </row>
    <row r="636" spans="1:5" x14ac:dyDescent="0.2">
      <c r="A636" t="s">
        <v>2750</v>
      </c>
      <c r="B636" t="s">
        <v>1425</v>
      </c>
      <c r="C636" t="s">
        <v>1</v>
      </c>
      <c r="D636">
        <v>0.4375</v>
      </c>
      <c r="E636" t="s">
        <v>2987</v>
      </c>
    </row>
    <row r="637" spans="1:5" x14ac:dyDescent="0.2">
      <c r="A637" t="s">
        <v>2751</v>
      </c>
      <c r="B637" t="s">
        <v>802</v>
      </c>
      <c r="C637" t="s">
        <v>0</v>
      </c>
      <c r="D637">
        <v>0.53846156597137451</v>
      </c>
      <c r="E637" t="s">
        <v>2987</v>
      </c>
    </row>
    <row r="638" spans="1:5" x14ac:dyDescent="0.2">
      <c r="A638" t="s">
        <v>2752</v>
      </c>
      <c r="B638" t="s">
        <v>2988</v>
      </c>
      <c r="C638" t="s">
        <v>2988</v>
      </c>
      <c r="D638">
        <v>0.125</v>
      </c>
      <c r="E638" t="s">
        <v>2987</v>
      </c>
    </row>
    <row r="639" spans="1:5" x14ac:dyDescent="0.2">
      <c r="A639" t="s">
        <v>2753</v>
      </c>
      <c r="B639" t="s">
        <v>2988</v>
      </c>
      <c r="C639" t="s">
        <v>2988</v>
      </c>
      <c r="D639">
        <v>0.1111111119389534</v>
      </c>
      <c r="E639" t="s">
        <v>2987</v>
      </c>
    </row>
    <row r="640" spans="1:5" x14ac:dyDescent="0.2">
      <c r="A640" t="s">
        <v>2754</v>
      </c>
      <c r="B640" t="s">
        <v>2988</v>
      </c>
      <c r="C640" t="s">
        <v>2988</v>
      </c>
      <c r="D640">
        <v>8.3333335816860199E-2</v>
      </c>
      <c r="E640" t="s">
        <v>2987</v>
      </c>
    </row>
    <row r="641" spans="1:5" x14ac:dyDescent="0.2">
      <c r="A641" t="s">
        <v>2755</v>
      </c>
      <c r="B641" t="s">
        <v>1429</v>
      </c>
      <c r="C641" t="s">
        <v>1</v>
      </c>
      <c r="D641">
        <v>0.4117647111415863</v>
      </c>
      <c r="E641" t="s">
        <v>2987</v>
      </c>
    </row>
    <row r="642" spans="1:5" x14ac:dyDescent="0.2">
      <c r="A642" t="s">
        <v>2756</v>
      </c>
      <c r="B642" t="s">
        <v>916</v>
      </c>
      <c r="C642" t="s">
        <v>0</v>
      </c>
      <c r="D642">
        <v>0.39024388790130615</v>
      </c>
      <c r="E642" t="s">
        <v>2987</v>
      </c>
    </row>
    <row r="643" spans="1:5" x14ac:dyDescent="0.2">
      <c r="A643" t="s">
        <v>2757</v>
      </c>
      <c r="B643" t="s">
        <v>2988</v>
      </c>
      <c r="C643" t="s">
        <v>2988</v>
      </c>
      <c r="D643">
        <v>0.1666666716337204</v>
      </c>
      <c r="E643" t="s">
        <v>2987</v>
      </c>
    </row>
    <row r="644" spans="1:5" x14ac:dyDescent="0.2">
      <c r="A644" t="s">
        <v>2758</v>
      </c>
      <c r="B644" t="s">
        <v>1261</v>
      </c>
      <c r="C644" t="s">
        <v>1</v>
      </c>
      <c r="D644">
        <v>0.3214285671710968</v>
      </c>
      <c r="E644" t="s">
        <v>2987</v>
      </c>
    </row>
    <row r="645" spans="1:5" x14ac:dyDescent="0.2">
      <c r="A645" t="s">
        <v>2759</v>
      </c>
      <c r="B645" t="s">
        <v>1929</v>
      </c>
      <c r="C645" t="s">
        <v>1</v>
      </c>
      <c r="D645">
        <v>0.3571428656578064</v>
      </c>
      <c r="E645" t="s">
        <v>2987</v>
      </c>
    </row>
    <row r="646" spans="1:5" x14ac:dyDescent="0.2">
      <c r="A646" t="s">
        <v>2760</v>
      </c>
      <c r="B646" t="s">
        <v>1929</v>
      </c>
      <c r="C646" t="s">
        <v>1</v>
      </c>
      <c r="D646">
        <v>1</v>
      </c>
      <c r="E646" t="s">
        <v>2987</v>
      </c>
    </row>
    <row r="647" spans="1:5" x14ac:dyDescent="0.2">
      <c r="A647" t="s">
        <v>2761</v>
      </c>
      <c r="B647" t="s">
        <v>926</v>
      </c>
      <c r="C647" t="s">
        <v>0</v>
      </c>
      <c r="D647">
        <v>0.4583333432674408</v>
      </c>
      <c r="E647" t="s">
        <v>2987</v>
      </c>
    </row>
    <row r="648" spans="1:5" x14ac:dyDescent="0.2">
      <c r="A648" t="s">
        <v>2762</v>
      </c>
      <c r="B648" t="s">
        <v>650</v>
      </c>
      <c r="C648" t="s">
        <v>0</v>
      </c>
      <c r="D648">
        <v>0.4285714328289032</v>
      </c>
      <c r="E648" t="s">
        <v>2987</v>
      </c>
    </row>
    <row r="649" spans="1:5" x14ac:dyDescent="0.2">
      <c r="A649" t="s">
        <v>2763</v>
      </c>
      <c r="B649" t="s">
        <v>2988</v>
      </c>
      <c r="C649" t="s">
        <v>2988</v>
      </c>
      <c r="D649">
        <v>0.1428571492433548</v>
      </c>
      <c r="E649" t="s">
        <v>2987</v>
      </c>
    </row>
    <row r="650" spans="1:5" x14ac:dyDescent="0.2">
      <c r="A650" t="s">
        <v>2764</v>
      </c>
      <c r="B650" t="s">
        <v>1203</v>
      </c>
      <c r="C650" t="s">
        <v>0</v>
      </c>
      <c r="D650">
        <v>0.53333336114883423</v>
      </c>
      <c r="E650" t="s">
        <v>2987</v>
      </c>
    </row>
    <row r="651" spans="1:5" x14ac:dyDescent="0.2">
      <c r="A651" t="s">
        <v>2765</v>
      </c>
      <c r="B651" t="s">
        <v>2988</v>
      </c>
      <c r="C651" t="s">
        <v>2988</v>
      </c>
      <c r="D651">
        <v>0.1428571492433548</v>
      </c>
      <c r="E651" t="s">
        <v>2987</v>
      </c>
    </row>
    <row r="652" spans="1:5" x14ac:dyDescent="0.2">
      <c r="A652" t="s">
        <v>2766</v>
      </c>
      <c r="B652" t="s">
        <v>650</v>
      </c>
      <c r="C652" t="s">
        <v>0</v>
      </c>
      <c r="D652">
        <v>0.57142859697341919</v>
      </c>
      <c r="E652" t="s">
        <v>2987</v>
      </c>
    </row>
    <row r="653" spans="1:5" x14ac:dyDescent="0.2">
      <c r="A653" t="s">
        <v>2767</v>
      </c>
      <c r="B653" t="s">
        <v>650</v>
      </c>
      <c r="C653" t="s">
        <v>0</v>
      </c>
      <c r="D653">
        <v>0.54545456171035767</v>
      </c>
      <c r="E653" t="s">
        <v>2987</v>
      </c>
    </row>
    <row r="654" spans="1:5" x14ac:dyDescent="0.2">
      <c r="A654" t="s">
        <v>2768</v>
      </c>
      <c r="B654" t="s">
        <v>821</v>
      </c>
      <c r="C654" t="s">
        <v>1</v>
      </c>
      <c r="D654">
        <v>1</v>
      </c>
      <c r="E654" t="s">
        <v>2987</v>
      </c>
    </row>
    <row r="655" spans="1:5" x14ac:dyDescent="0.2">
      <c r="A655" t="s">
        <v>2769</v>
      </c>
      <c r="B655" t="s">
        <v>648</v>
      </c>
      <c r="C655" t="s">
        <v>0</v>
      </c>
      <c r="D655">
        <v>0.54545456171035767</v>
      </c>
      <c r="E655" t="s">
        <v>2987</v>
      </c>
    </row>
    <row r="656" spans="1:5" x14ac:dyDescent="0.2">
      <c r="A656" t="s">
        <v>2770</v>
      </c>
      <c r="B656" t="s">
        <v>1431</v>
      </c>
      <c r="C656" t="s">
        <v>1</v>
      </c>
      <c r="D656">
        <v>0.43589743971824646</v>
      </c>
      <c r="E656" t="s">
        <v>2987</v>
      </c>
    </row>
    <row r="657" spans="1:5" x14ac:dyDescent="0.2">
      <c r="A657" t="s">
        <v>2771</v>
      </c>
      <c r="B657" t="s">
        <v>650</v>
      </c>
      <c r="C657" t="s">
        <v>0</v>
      </c>
      <c r="D657">
        <v>0.57142859697341919</v>
      </c>
      <c r="E657" t="s">
        <v>2987</v>
      </c>
    </row>
    <row r="658" spans="1:5" x14ac:dyDescent="0.2">
      <c r="A658" t="s">
        <v>2772</v>
      </c>
      <c r="B658" t="s">
        <v>2988</v>
      </c>
      <c r="C658" t="s">
        <v>2988</v>
      </c>
      <c r="D658">
        <v>0.125</v>
      </c>
      <c r="E658" t="s">
        <v>2987</v>
      </c>
    </row>
    <row r="659" spans="1:5" x14ac:dyDescent="0.2">
      <c r="A659" t="s">
        <v>2773</v>
      </c>
      <c r="B659" t="s">
        <v>706</v>
      </c>
      <c r="C659" t="s">
        <v>0</v>
      </c>
      <c r="D659">
        <v>0.51724135875701904</v>
      </c>
      <c r="E659" t="s">
        <v>2987</v>
      </c>
    </row>
    <row r="660" spans="1:5" x14ac:dyDescent="0.2">
      <c r="A660" t="s">
        <v>2774</v>
      </c>
      <c r="B660" t="s">
        <v>1241</v>
      </c>
      <c r="C660" t="s">
        <v>1</v>
      </c>
      <c r="D660">
        <v>0.46153846383094788</v>
      </c>
      <c r="E660" t="s">
        <v>2987</v>
      </c>
    </row>
    <row r="661" spans="1:5" x14ac:dyDescent="0.2">
      <c r="A661" t="s">
        <v>2775</v>
      </c>
      <c r="B661" t="s">
        <v>2988</v>
      </c>
      <c r="C661" t="s">
        <v>2988</v>
      </c>
      <c r="D661">
        <v>0.125</v>
      </c>
      <c r="E661" t="s">
        <v>2987</v>
      </c>
    </row>
    <row r="662" spans="1:5" x14ac:dyDescent="0.2">
      <c r="A662" t="s">
        <v>2776</v>
      </c>
      <c r="B662" t="s">
        <v>2002</v>
      </c>
      <c r="C662" t="s">
        <v>1</v>
      </c>
      <c r="D662">
        <v>0.63157892227172852</v>
      </c>
      <c r="E662" t="s">
        <v>2987</v>
      </c>
    </row>
    <row r="663" spans="1:5" x14ac:dyDescent="0.2">
      <c r="A663" t="s">
        <v>2777</v>
      </c>
      <c r="B663" t="s">
        <v>513</v>
      </c>
      <c r="C663" t="s">
        <v>1</v>
      </c>
      <c r="D663">
        <v>0.3684210479259491</v>
      </c>
      <c r="E663" t="s">
        <v>2987</v>
      </c>
    </row>
    <row r="664" spans="1:5" x14ac:dyDescent="0.2">
      <c r="A664" t="s">
        <v>2778</v>
      </c>
      <c r="B664" t="s">
        <v>1679</v>
      </c>
      <c r="C664" t="s">
        <v>1</v>
      </c>
      <c r="D664">
        <v>0.52941179275512695</v>
      </c>
      <c r="E664" t="s">
        <v>2987</v>
      </c>
    </row>
    <row r="665" spans="1:5" x14ac:dyDescent="0.2">
      <c r="A665" t="s">
        <v>2779</v>
      </c>
      <c r="B665" t="s">
        <v>1685</v>
      </c>
      <c r="C665" t="s">
        <v>1</v>
      </c>
      <c r="D665">
        <v>0.39130434393882751</v>
      </c>
      <c r="E665" t="s">
        <v>2987</v>
      </c>
    </row>
    <row r="666" spans="1:5" x14ac:dyDescent="0.2">
      <c r="A666" t="s">
        <v>2780</v>
      </c>
      <c r="B666" t="s">
        <v>816</v>
      </c>
      <c r="C666" t="s">
        <v>0</v>
      </c>
      <c r="D666">
        <v>0.57142859697341919</v>
      </c>
      <c r="E666" t="s">
        <v>2987</v>
      </c>
    </row>
    <row r="667" spans="1:5" x14ac:dyDescent="0.2">
      <c r="A667" t="s">
        <v>2781</v>
      </c>
      <c r="B667" t="s">
        <v>1330</v>
      </c>
      <c r="C667" t="s">
        <v>1</v>
      </c>
      <c r="D667">
        <v>0.50877195596694946</v>
      </c>
      <c r="E667" t="s">
        <v>2987</v>
      </c>
    </row>
    <row r="668" spans="1:5" x14ac:dyDescent="0.2">
      <c r="A668" t="s">
        <v>2782</v>
      </c>
      <c r="B668" t="s">
        <v>694</v>
      </c>
      <c r="C668" t="s">
        <v>0</v>
      </c>
      <c r="D668">
        <v>0.57142859697341919</v>
      </c>
      <c r="E668" t="s">
        <v>2987</v>
      </c>
    </row>
    <row r="669" spans="1:5" x14ac:dyDescent="0.2">
      <c r="A669" t="s">
        <v>2783</v>
      </c>
      <c r="B669" t="s">
        <v>406</v>
      </c>
      <c r="C669" t="s">
        <v>0</v>
      </c>
      <c r="D669">
        <v>0.53333336114883423</v>
      </c>
      <c r="E669" t="s">
        <v>2987</v>
      </c>
    </row>
    <row r="670" spans="1:5" x14ac:dyDescent="0.2">
      <c r="A670" t="s">
        <v>2784</v>
      </c>
      <c r="B670" t="s">
        <v>823</v>
      </c>
      <c r="C670" t="s">
        <v>1</v>
      </c>
      <c r="D670">
        <v>0.4117647111415863</v>
      </c>
      <c r="E670" t="s">
        <v>2987</v>
      </c>
    </row>
    <row r="671" spans="1:5" x14ac:dyDescent="0.2">
      <c r="A671" t="s">
        <v>2785</v>
      </c>
      <c r="B671" t="s">
        <v>1367</v>
      </c>
      <c r="C671" t="s">
        <v>0</v>
      </c>
      <c r="D671">
        <v>0.71428573131561279</v>
      </c>
      <c r="E671" t="s">
        <v>2987</v>
      </c>
    </row>
    <row r="672" spans="1:5" x14ac:dyDescent="0.2">
      <c r="A672" t="s">
        <v>2786</v>
      </c>
      <c r="B672" t="s">
        <v>1898</v>
      </c>
      <c r="C672" t="s">
        <v>1</v>
      </c>
      <c r="D672">
        <v>0.52941179275512695</v>
      </c>
      <c r="E672" t="s">
        <v>2987</v>
      </c>
    </row>
    <row r="673" spans="1:5" x14ac:dyDescent="0.2">
      <c r="A673" t="s">
        <v>2787</v>
      </c>
      <c r="B673" t="s">
        <v>1301</v>
      </c>
      <c r="C673" t="s">
        <v>0</v>
      </c>
      <c r="D673">
        <v>0.625</v>
      </c>
      <c r="E673" t="s">
        <v>2987</v>
      </c>
    </row>
    <row r="674" spans="1:5" x14ac:dyDescent="0.2">
      <c r="A674" t="s">
        <v>2788</v>
      </c>
      <c r="B674" t="s">
        <v>823</v>
      </c>
      <c r="C674" t="s">
        <v>1</v>
      </c>
      <c r="D674">
        <v>0.53333336114883423</v>
      </c>
      <c r="E674" t="s">
        <v>2987</v>
      </c>
    </row>
    <row r="675" spans="1:5" x14ac:dyDescent="0.2">
      <c r="A675" t="s">
        <v>2789</v>
      </c>
      <c r="B675" t="s">
        <v>2988</v>
      </c>
      <c r="C675" t="s">
        <v>2988</v>
      </c>
      <c r="D675">
        <v>8.3333335816860199E-2</v>
      </c>
      <c r="E675" t="s">
        <v>2987</v>
      </c>
    </row>
    <row r="676" spans="1:5" x14ac:dyDescent="0.2">
      <c r="A676" t="s">
        <v>2790</v>
      </c>
      <c r="B676" t="s">
        <v>2988</v>
      </c>
      <c r="C676" t="s">
        <v>2988</v>
      </c>
      <c r="D676">
        <v>0</v>
      </c>
      <c r="E676" t="s">
        <v>2987</v>
      </c>
    </row>
    <row r="677" spans="1:5" x14ac:dyDescent="0.2">
      <c r="A677" t="s">
        <v>2791</v>
      </c>
      <c r="B677" t="s">
        <v>2988</v>
      </c>
      <c r="C677" t="s">
        <v>2988</v>
      </c>
      <c r="D677">
        <v>0</v>
      </c>
      <c r="E677" t="s">
        <v>2987</v>
      </c>
    </row>
    <row r="678" spans="1:5" x14ac:dyDescent="0.2">
      <c r="A678" t="s">
        <v>2792</v>
      </c>
      <c r="B678" t="s">
        <v>2988</v>
      </c>
      <c r="C678" t="s">
        <v>2988</v>
      </c>
      <c r="D678">
        <v>0</v>
      </c>
      <c r="E678" t="s">
        <v>2987</v>
      </c>
    </row>
    <row r="679" spans="1:5" x14ac:dyDescent="0.2">
      <c r="A679" t="s">
        <v>2793</v>
      </c>
      <c r="B679" t="s">
        <v>1038</v>
      </c>
      <c r="C679" t="s">
        <v>0</v>
      </c>
      <c r="D679">
        <v>0.4285714328289032</v>
      </c>
      <c r="E679" t="s">
        <v>2987</v>
      </c>
    </row>
    <row r="680" spans="1:5" x14ac:dyDescent="0.2">
      <c r="A680" t="s">
        <v>2794</v>
      </c>
      <c r="B680" t="s">
        <v>2988</v>
      </c>
      <c r="C680" t="s">
        <v>2988</v>
      </c>
      <c r="D680">
        <v>0</v>
      </c>
      <c r="E680" t="s">
        <v>2987</v>
      </c>
    </row>
    <row r="681" spans="1:5" x14ac:dyDescent="0.2">
      <c r="A681" t="s">
        <v>2795</v>
      </c>
      <c r="B681" t="s">
        <v>2988</v>
      </c>
      <c r="C681" t="s">
        <v>2988</v>
      </c>
      <c r="D681">
        <v>0</v>
      </c>
      <c r="E681" t="s">
        <v>2987</v>
      </c>
    </row>
    <row r="682" spans="1:5" x14ac:dyDescent="0.2">
      <c r="A682" t="s">
        <v>2796</v>
      </c>
      <c r="B682" t="s">
        <v>256</v>
      </c>
      <c r="C682" t="s">
        <v>0</v>
      </c>
      <c r="D682">
        <v>0.56756758689880371</v>
      </c>
      <c r="E682" t="s">
        <v>2987</v>
      </c>
    </row>
    <row r="683" spans="1:5" x14ac:dyDescent="0.2">
      <c r="A683" t="s">
        <v>2797</v>
      </c>
      <c r="B683" t="s">
        <v>2988</v>
      </c>
      <c r="C683" t="s">
        <v>2988</v>
      </c>
      <c r="D683">
        <v>0.1428571492433548</v>
      </c>
      <c r="E683" t="s">
        <v>2987</v>
      </c>
    </row>
    <row r="684" spans="1:5" x14ac:dyDescent="0.2">
      <c r="A684" t="s">
        <v>2798</v>
      </c>
      <c r="B684" t="s">
        <v>2988</v>
      </c>
      <c r="C684" t="s">
        <v>2988</v>
      </c>
      <c r="D684">
        <v>0.28571429848670959</v>
      </c>
      <c r="E684" t="s">
        <v>2987</v>
      </c>
    </row>
    <row r="685" spans="1:5" x14ac:dyDescent="0.2">
      <c r="A685" t="s">
        <v>2799</v>
      </c>
      <c r="B685" t="s">
        <v>2988</v>
      </c>
      <c r="C685" t="s">
        <v>2988</v>
      </c>
      <c r="D685">
        <v>0.1111111119389534</v>
      </c>
      <c r="E685" t="s">
        <v>2987</v>
      </c>
    </row>
    <row r="686" spans="1:5" x14ac:dyDescent="0.2">
      <c r="A686" t="s">
        <v>2800</v>
      </c>
      <c r="B686" t="s">
        <v>825</v>
      </c>
      <c r="C686" t="s">
        <v>1</v>
      </c>
      <c r="D686">
        <v>0.5517241358757019</v>
      </c>
      <c r="E686" t="s">
        <v>2987</v>
      </c>
    </row>
    <row r="687" spans="1:5" x14ac:dyDescent="0.2">
      <c r="A687" t="s">
        <v>2801</v>
      </c>
      <c r="B687" t="s">
        <v>687</v>
      </c>
      <c r="C687" t="s">
        <v>0</v>
      </c>
      <c r="D687">
        <v>1</v>
      </c>
      <c r="E687" t="s">
        <v>2987</v>
      </c>
    </row>
    <row r="688" spans="1:5" x14ac:dyDescent="0.2">
      <c r="A688" t="s">
        <v>2802</v>
      </c>
      <c r="B688" t="s">
        <v>687</v>
      </c>
      <c r="C688" t="s">
        <v>0</v>
      </c>
      <c r="D688">
        <v>0.53333336114883423</v>
      </c>
      <c r="E688" t="s">
        <v>2987</v>
      </c>
    </row>
    <row r="689" spans="1:5" x14ac:dyDescent="0.2">
      <c r="A689" t="s">
        <v>2803</v>
      </c>
      <c r="B689" t="s">
        <v>827</v>
      </c>
      <c r="C689" t="s">
        <v>1</v>
      </c>
      <c r="D689">
        <v>0.53333336114883423</v>
      </c>
      <c r="E689" t="s">
        <v>2987</v>
      </c>
    </row>
    <row r="690" spans="1:5" x14ac:dyDescent="0.2">
      <c r="A690" t="s">
        <v>2804</v>
      </c>
      <c r="B690" t="s">
        <v>1692</v>
      </c>
      <c r="C690" t="s">
        <v>1</v>
      </c>
      <c r="D690">
        <v>0.57142859697341919</v>
      </c>
      <c r="E690" t="s">
        <v>2987</v>
      </c>
    </row>
    <row r="691" spans="1:5" x14ac:dyDescent="0.2">
      <c r="A691" t="s">
        <v>2805</v>
      </c>
      <c r="B691" t="s">
        <v>829</v>
      </c>
      <c r="C691" t="s">
        <v>1</v>
      </c>
      <c r="D691">
        <v>0.53333336114883423</v>
      </c>
      <c r="E691" t="s">
        <v>2987</v>
      </c>
    </row>
    <row r="692" spans="1:5" x14ac:dyDescent="0.2">
      <c r="A692" t="s">
        <v>2806</v>
      </c>
      <c r="B692" t="s">
        <v>1173</v>
      </c>
      <c r="C692" t="s">
        <v>0</v>
      </c>
      <c r="D692">
        <v>0.5</v>
      </c>
      <c r="E692" t="s">
        <v>2987</v>
      </c>
    </row>
    <row r="693" spans="1:5" x14ac:dyDescent="0.2">
      <c r="A693" t="s">
        <v>2807</v>
      </c>
      <c r="B693" t="s">
        <v>412</v>
      </c>
      <c r="C693" t="s">
        <v>0</v>
      </c>
      <c r="D693">
        <v>0.53846156597137451</v>
      </c>
      <c r="E693" t="s">
        <v>2987</v>
      </c>
    </row>
    <row r="694" spans="1:5" x14ac:dyDescent="0.2">
      <c r="A694" t="s">
        <v>2808</v>
      </c>
      <c r="B694" t="s">
        <v>2988</v>
      </c>
      <c r="C694" t="s">
        <v>2988</v>
      </c>
      <c r="D694">
        <v>0.1428571492433548</v>
      </c>
      <c r="E694" t="s">
        <v>2987</v>
      </c>
    </row>
    <row r="695" spans="1:5" x14ac:dyDescent="0.2">
      <c r="A695" t="s">
        <v>2809</v>
      </c>
      <c r="B695" t="s">
        <v>687</v>
      </c>
      <c r="C695" t="s">
        <v>0</v>
      </c>
      <c r="D695">
        <v>0.55555558204650879</v>
      </c>
      <c r="E695" t="s">
        <v>2987</v>
      </c>
    </row>
    <row r="696" spans="1:5" x14ac:dyDescent="0.2">
      <c r="A696" t="s">
        <v>2810</v>
      </c>
      <c r="B696" t="s">
        <v>2988</v>
      </c>
      <c r="C696" t="s">
        <v>2988</v>
      </c>
      <c r="D696">
        <v>0</v>
      </c>
      <c r="E696" t="s">
        <v>2987</v>
      </c>
    </row>
    <row r="697" spans="1:5" x14ac:dyDescent="0.2">
      <c r="A697" t="s">
        <v>2811</v>
      </c>
      <c r="B697" t="s">
        <v>681</v>
      </c>
      <c r="C697" t="s">
        <v>0</v>
      </c>
      <c r="D697">
        <v>0.4444444477558136</v>
      </c>
      <c r="E697" t="s">
        <v>2987</v>
      </c>
    </row>
    <row r="698" spans="1:5" x14ac:dyDescent="0.2">
      <c r="A698" t="s">
        <v>2812</v>
      </c>
      <c r="B698" t="s">
        <v>2988</v>
      </c>
      <c r="C698" t="s">
        <v>2988</v>
      </c>
      <c r="D698">
        <v>0</v>
      </c>
      <c r="E698" t="s">
        <v>2987</v>
      </c>
    </row>
    <row r="699" spans="1:5" x14ac:dyDescent="0.2">
      <c r="A699" t="s">
        <v>2813</v>
      </c>
      <c r="B699" t="s">
        <v>2988</v>
      </c>
      <c r="C699" t="s">
        <v>2988</v>
      </c>
      <c r="D699">
        <v>0</v>
      </c>
      <c r="E699" t="s">
        <v>2987</v>
      </c>
    </row>
    <row r="700" spans="1:5" x14ac:dyDescent="0.2">
      <c r="A700" t="s">
        <v>2814</v>
      </c>
      <c r="B700" t="s">
        <v>1799</v>
      </c>
      <c r="C700" t="s">
        <v>1</v>
      </c>
      <c r="D700">
        <v>0.72500002384185791</v>
      </c>
      <c r="E700" t="s">
        <v>2987</v>
      </c>
    </row>
    <row r="701" spans="1:5" x14ac:dyDescent="0.2">
      <c r="A701" t="s">
        <v>2815</v>
      </c>
      <c r="B701" t="s">
        <v>126</v>
      </c>
      <c r="C701" t="s">
        <v>0</v>
      </c>
      <c r="D701">
        <v>1</v>
      </c>
      <c r="E701" t="s">
        <v>2987</v>
      </c>
    </row>
    <row r="702" spans="1:5" x14ac:dyDescent="0.2">
      <c r="A702" t="s">
        <v>2816</v>
      </c>
      <c r="B702" t="s">
        <v>2988</v>
      </c>
      <c r="C702" t="s">
        <v>2988</v>
      </c>
      <c r="D702">
        <v>0.1428571492433548</v>
      </c>
      <c r="E702" t="s">
        <v>2987</v>
      </c>
    </row>
    <row r="703" spans="1:5" x14ac:dyDescent="0.2">
      <c r="A703" t="s">
        <v>2817</v>
      </c>
      <c r="B703" t="s">
        <v>1173</v>
      </c>
      <c r="C703" t="s">
        <v>0</v>
      </c>
      <c r="D703">
        <v>1</v>
      </c>
      <c r="E703" t="s">
        <v>2987</v>
      </c>
    </row>
    <row r="704" spans="1:5" x14ac:dyDescent="0.2">
      <c r="A704" t="s">
        <v>2818</v>
      </c>
      <c r="B704" t="s">
        <v>1209</v>
      </c>
      <c r="C704" t="s">
        <v>1</v>
      </c>
      <c r="D704">
        <v>1</v>
      </c>
      <c r="E704" t="s">
        <v>2987</v>
      </c>
    </row>
    <row r="705" spans="1:5" x14ac:dyDescent="0.2">
      <c r="A705" t="s">
        <v>2819</v>
      </c>
      <c r="B705" t="s">
        <v>1159</v>
      </c>
      <c r="C705" t="s">
        <v>0</v>
      </c>
      <c r="D705">
        <v>1</v>
      </c>
      <c r="E705" t="s">
        <v>2987</v>
      </c>
    </row>
    <row r="706" spans="1:5" x14ac:dyDescent="0.2">
      <c r="A706" t="s">
        <v>2820</v>
      </c>
      <c r="B706" t="s">
        <v>1178</v>
      </c>
      <c r="C706" t="s">
        <v>1</v>
      </c>
      <c r="D706">
        <v>0.5</v>
      </c>
      <c r="E706" t="s">
        <v>2987</v>
      </c>
    </row>
    <row r="707" spans="1:5" x14ac:dyDescent="0.2">
      <c r="A707" t="s">
        <v>2821</v>
      </c>
      <c r="B707" t="s">
        <v>2988</v>
      </c>
      <c r="C707" t="s">
        <v>2988</v>
      </c>
      <c r="D707">
        <v>7.6923079788684845E-2</v>
      </c>
      <c r="E707" t="s">
        <v>2987</v>
      </c>
    </row>
    <row r="708" spans="1:5" x14ac:dyDescent="0.2">
      <c r="A708" t="s">
        <v>2822</v>
      </c>
      <c r="B708" t="s">
        <v>2988</v>
      </c>
      <c r="C708" t="s">
        <v>2988</v>
      </c>
      <c r="D708">
        <v>7.6923079788684845E-2</v>
      </c>
      <c r="E708" t="s">
        <v>2987</v>
      </c>
    </row>
    <row r="709" spans="1:5" x14ac:dyDescent="0.2">
      <c r="A709" t="s">
        <v>2823</v>
      </c>
      <c r="B709" t="s">
        <v>2988</v>
      </c>
      <c r="C709" t="s">
        <v>2988</v>
      </c>
      <c r="D709">
        <v>0</v>
      </c>
      <c r="E709" t="s">
        <v>2987</v>
      </c>
    </row>
    <row r="710" spans="1:5" x14ac:dyDescent="0.2">
      <c r="A710" t="s">
        <v>2824</v>
      </c>
      <c r="B710" t="s">
        <v>1354</v>
      </c>
      <c r="C710" t="s">
        <v>1</v>
      </c>
      <c r="D710">
        <v>0.66666668653488159</v>
      </c>
      <c r="E710" t="s">
        <v>2987</v>
      </c>
    </row>
    <row r="711" spans="1:5" x14ac:dyDescent="0.2">
      <c r="A711" t="s">
        <v>2825</v>
      </c>
      <c r="B711" t="s">
        <v>228</v>
      </c>
      <c r="C711" t="s">
        <v>0</v>
      </c>
      <c r="D711">
        <v>0.4285714328289032</v>
      </c>
      <c r="E711" t="s">
        <v>2987</v>
      </c>
    </row>
    <row r="712" spans="1:5" x14ac:dyDescent="0.2">
      <c r="A712" t="s">
        <v>2826</v>
      </c>
      <c r="B712" t="s">
        <v>1846</v>
      </c>
      <c r="C712" t="s">
        <v>1</v>
      </c>
      <c r="D712">
        <v>0.40845069289207458</v>
      </c>
      <c r="E712" t="s">
        <v>2987</v>
      </c>
    </row>
    <row r="713" spans="1:5" x14ac:dyDescent="0.2">
      <c r="A713" t="s">
        <v>2827</v>
      </c>
      <c r="B713" t="s">
        <v>1218</v>
      </c>
      <c r="C713" t="s">
        <v>0</v>
      </c>
      <c r="D713">
        <v>1</v>
      </c>
      <c r="E713" t="s">
        <v>2987</v>
      </c>
    </row>
    <row r="714" spans="1:5" x14ac:dyDescent="0.2">
      <c r="A714" t="s">
        <v>2828</v>
      </c>
      <c r="B714" t="s">
        <v>230</v>
      </c>
      <c r="C714" t="s">
        <v>0</v>
      </c>
      <c r="D714">
        <v>0.54285717010498047</v>
      </c>
      <c r="E714" t="s">
        <v>2987</v>
      </c>
    </row>
    <row r="715" spans="1:5" x14ac:dyDescent="0.2">
      <c r="A715" t="s">
        <v>2829</v>
      </c>
      <c r="B715" t="s">
        <v>228</v>
      </c>
      <c r="C715" t="s">
        <v>0</v>
      </c>
      <c r="D715">
        <v>1</v>
      </c>
      <c r="E715" t="s">
        <v>2987</v>
      </c>
    </row>
    <row r="716" spans="1:5" x14ac:dyDescent="0.2">
      <c r="A716" t="s">
        <v>2830</v>
      </c>
      <c r="B716" t="s">
        <v>2988</v>
      </c>
      <c r="C716" t="s">
        <v>2988</v>
      </c>
      <c r="D716">
        <v>0.2222222238779068</v>
      </c>
      <c r="E716" t="s">
        <v>2987</v>
      </c>
    </row>
    <row r="717" spans="1:5" x14ac:dyDescent="0.2">
      <c r="A717" t="s">
        <v>2831</v>
      </c>
      <c r="B717" t="s">
        <v>989</v>
      </c>
      <c r="C717" t="s">
        <v>0</v>
      </c>
      <c r="D717">
        <v>0.5625</v>
      </c>
      <c r="E717" t="s">
        <v>2987</v>
      </c>
    </row>
    <row r="718" spans="1:5" x14ac:dyDescent="0.2">
      <c r="A718" t="s">
        <v>2832</v>
      </c>
      <c r="B718" t="s">
        <v>987</v>
      </c>
      <c r="C718" t="s">
        <v>0</v>
      </c>
      <c r="D718">
        <v>0.47499999403953552</v>
      </c>
      <c r="E718" t="s">
        <v>2987</v>
      </c>
    </row>
    <row r="719" spans="1:5" x14ac:dyDescent="0.2">
      <c r="A719" t="s">
        <v>2833</v>
      </c>
      <c r="B719" t="s">
        <v>1936</v>
      </c>
      <c r="C719" t="s">
        <v>1</v>
      </c>
      <c r="D719">
        <v>0.59259259700775146</v>
      </c>
      <c r="E719" t="s">
        <v>2987</v>
      </c>
    </row>
    <row r="720" spans="1:5" x14ac:dyDescent="0.2">
      <c r="A720" t="s">
        <v>2834</v>
      </c>
      <c r="B720" t="s">
        <v>528</v>
      </c>
      <c r="C720" t="s">
        <v>0</v>
      </c>
      <c r="D720">
        <v>0.37142857909202576</v>
      </c>
      <c r="E720" t="s">
        <v>2987</v>
      </c>
    </row>
    <row r="721" spans="1:5" x14ac:dyDescent="0.2">
      <c r="A721" t="s">
        <v>2835</v>
      </c>
      <c r="B721" t="s">
        <v>102</v>
      </c>
      <c r="C721" t="s">
        <v>0</v>
      </c>
      <c r="D721">
        <v>1</v>
      </c>
      <c r="E721" t="s">
        <v>2987</v>
      </c>
    </row>
    <row r="722" spans="1:5" x14ac:dyDescent="0.2">
      <c r="A722" t="s">
        <v>2836</v>
      </c>
      <c r="B722" t="s">
        <v>1578</v>
      </c>
      <c r="C722" t="s">
        <v>1</v>
      </c>
      <c r="D722">
        <v>0.45454546809196472</v>
      </c>
      <c r="E722" t="s">
        <v>2987</v>
      </c>
    </row>
    <row r="723" spans="1:5" x14ac:dyDescent="0.2">
      <c r="A723" t="s">
        <v>2837</v>
      </c>
      <c r="B723" t="s">
        <v>1675</v>
      </c>
      <c r="C723" t="s">
        <v>1</v>
      </c>
      <c r="D723">
        <v>0.5</v>
      </c>
      <c r="E723" t="s">
        <v>2987</v>
      </c>
    </row>
    <row r="724" spans="1:5" x14ac:dyDescent="0.2">
      <c r="A724" t="s">
        <v>2838</v>
      </c>
      <c r="B724" t="s">
        <v>1675</v>
      </c>
      <c r="C724" t="s">
        <v>1</v>
      </c>
      <c r="D724">
        <v>0.37999999523162842</v>
      </c>
      <c r="E724" t="s">
        <v>2987</v>
      </c>
    </row>
    <row r="725" spans="1:5" x14ac:dyDescent="0.2">
      <c r="A725" t="s">
        <v>2839</v>
      </c>
      <c r="B725" t="s">
        <v>1675</v>
      </c>
      <c r="C725" t="s">
        <v>1</v>
      </c>
      <c r="D725">
        <v>0.37999999523162842</v>
      </c>
      <c r="E725" t="s">
        <v>2987</v>
      </c>
    </row>
    <row r="726" spans="1:5" x14ac:dyDescent="0.2">
      <c r="A726" t="s">
        <v>2840</v>
      </c>
      <c r="B726" t="s">
        <v>61</v>
      </c>
      <c r="C726" t="s">
        <v>1</v>
      </c>
      <c r="D726">
        <v>0.5</v>
      </c>
      <c r="E726" t="s">
        <v>2987</v>
      </c>
    </row>
    <row r="727" spans="1:5" x14ac:dyDescent="0.2">
      <c r="A727" t="s">
        <v>2841</v>
      </c>
      <c r="B727" t="s">
        <v>270</v>
      </c>
      <c r="C727" t="s">
        <v>0</v>
      </c>
      <c r="D727">
        <v>0.57142859697341919</v>
      </c>
      <c r="E727" t="s">
        <v>2987</v>
      </c>
    </row>
    <row r="728" spans="1:5" x14ac:dyDescent="0.2">
      <c r="A728" t="s">
        <v>2842</v>
      </c>
      <c r="B728" t="s">
        <v>2988</v>
      </c>
      <c r="C728" t="s">
        <v>2988</v>
      </c>
      <c r="D728">
        <v>0.1111111119389534</v>
      </c>
      <c r="E728" t="s">
        <v>2987</v>
      </c>
    </row>
    <row r="729" spans="1:5" x14ac:dyDescent="0.2">
      <c r="A729" t="s">
        <v>2843</v>
      </c>
      <c r="B729" t="s">
        <v>1371</v>
      </c>
      <c r="C729" t="s">
        <v>0</v>
      </c>
      <c r="D729">
        <v>0.57142859697341919</v>
      </c>
      <c r="E729" t="s">
        <v>2987</v>
      </c>
    </row>
    <row r="730" spans="1:5" x14ac:dyDescent="0.2">
      <c r="A730" t="s">
        <v>2844</v>
      </c>
      <c r="B730" t="s">
        <v>2988</v>
      </c>
      <c r="C730" t="s">
        <v>2988</v>
      </c>
      <c r="D730">
        <v>0.125</v>
      </c>
      <c r="E730" t="s">
        <v>2987</v>
      </c>
    </row>
    <row r="731" spans="1:5" x14ac:dyDescent="0.2">
      <c r="A731" t="s">
        <v>2845</v>
      </c>
      <c r="B731" t="s">
        <v>467</v>
      </c>
      <c r="C731" t="s">
        <v>1</v>
      </c>
      <c r="D731">
        <v>0.56521737575531006</v>
      </c>
      <c r="E731" t="s">
        <v>2987</v>
      </c>
    </row>
    <row r="732" spans="1:5" x14ac:dyDescent="0.2">
      <c r="A732" t="s">
        <v>2846</v>
      </c>
      <c r="B732" t="s">
        <v>2988</v>
      </c>
      <c r="C732" t="s">
        <v>2988</v>
      </c>
      <c r="D732">
        <v>0.125</v>
      </c>
      <c r="E732" t="s">
        <v>2987</v>
      </c>
    </row>
    <row r="733" spans="1:5" x14ac:dyDescent="0.2">
      <c r="A733" t="s">
        <v>2847</v>
      </c>
      <c r="B733" t="s">
        <v>966</v>
      </c>
      <c r="C733" t="s">
        <v>0</v>
      </c>
      <c r="D733">
        <v>0.5625</v>
      </c>
      <c r="E733" t="s">
        <v>2987</v>
      </c>
    </row>
    <row r="734" spans="1:5" x14ac:dyDescent="0.2">
      <c r="A734" t="s">
        <v>2848</v>
      </c>
      <c r="B734" t="s">
        <v>1371</v>
      </c>
      <c r="C734" t="s">
        <v>0</v>
      </c>
      <c r="D734">
        <v>0.46153846383094788</v>
      </c>
      <c r="E734" t="s">
        <v>2987</v>
      </c>
    </row>
    <row r="735" spans="1:5" x14ac:dyDescent="0.2">
      <c r="A735" t="s">
        <v>2849</v>
      </c>
      <c r="B735" t="s">
        <v>193</v>
      </c>
      <c r="C735" t="s">
        <v>1</v>
      </c>
      <c r="D735">
        <v>0.4444444477558136</v>
      </c>
      <c r="E735" t="s">
        <v>2987</v>
      </c>
    </row>
    <row r="736" spans="1:5" x14ac:dyDescent="0.2">
      <c r="A736" t="s">
        <v>2850</v>
      </c>
      <c r="B736" t="s">
        <v>2988</v>
      </c>
      <c r="C736" t="s">
        <v>2988</v>
      </c>
      <c r="D736">
        <v>0</v>
      </c>
      <c r="E736" t="s">
        <v>2987</v>
      </c>
    </row>
    <row r="737" spans="1:5" x14ac:dyDescent="0.2">
      <c r="A737" t="s">
        <v>2851</v>
      </c>
      <c r="B737" t="s">
        <v>1394</v>
      </c>
      <c r="C737" t="s">
        <v>0</v>
      </c>
      <c r="D737">
        <v>0.46666666865348816</v>
      </c>
      <c r="E737" t="s">
        <v>2987</v>
      </c>
    </row>
    <row r="738" spans="1:5" x14ac:dyDescent="0.2">
      <c r="A738" t="s">
        <v>2852</v>
      </c>
      <c r="B738" t="s">
        <v>2988</v>
      </c>
      <c r="C738" t="s">
        <v>2988</v>
      </c>
      <c r="D738">
        <v>0.1428571492433548</v>
      </c>
      <c r="E738" t="s">
        <v>2987</v>
      </c>
    </row>
    <row r="739" spans="1:5" x14ac:dyDescent="0.2">
      <c r="A739" t="s">
        <v>2853</v>
      </c>
      <c r="B739" t="s">
        <v>560</v>
      </c>
      <c r="C739" t="s">
        <v>0</v>
      </c>
      <c r="D739">
        <v>0.47999998927116394</v>
      </c>
      <c r="E739" t="s">
        <v>2987</v>
      </c>
    </row>
    <row r="740" spans="1:5" x14ac:dyDescent="0.2">
      <c r="A740" t="s">
        <v>2854</v>
      </c>
      <c r="B740" t="s">
        <v>1175</v>
      </c>
      <c r="C740" t="s">
        <v>0</v>
      </c>
      <c r="D740">
        <v>0.5</v>
      </c>
      <c r="E740" t="s">
        <v>2987</v>
      </c>
    </row>
    <row r="741" spans="1:5" x14ac:dyDescent="0.2">
      <c r="A741" t="s">
        <v>2855</v>
      </c>
      <c r="B741" t="s">
        <v>1449</v>
      </c>
      <c r="C741" t="s">
        <v>1</v>
      </c>
      <c r="D741">
        <v>0.3571428656578064</v>
      </c>
      <c r="E741" t="s">
        <v>2987</v>
      </c>
    </row>
    <row r="742" spans="1:5" x14ac:dyDescent="0.2">
      <c r="A742" t="s">
        <v>2856</v>
      </c>
      <c r="B742" t="s">
        <v>1944</v>
      </c>
      <c r="C742" t="s">
        <v>1</v>
      </c>
      <c r="D742">
        <v>0.48387095332145691</v>
      </c>
      <c r="E742" t="s">
        <v>2987</v>
      </c>
    </row>
    <row r="743" spans="1:5" x14ac:dyDescent="0.2">
      <c r="A743" t="s">
        <v>2857</v>
      </c>
      <c r="B743" t="s">
        <v>2988</v>
      </c>
      <c r="C743" t="s">
        <v>2988</v>
      </c>
      <c r="D743">
        <v>0.15384615957736969</v>
      </c>
      <c r="E743" t="s">
        <v>2987</v>
      </c>
    </row>
    <row r="744" spans="1:5" x14ac:dyDescent="0.2">
      <c r="A744" t="s">
        <v>2858</v>
      </c>
      <c r="B744" t="s">
        <v>351</v>
      </c>
      <c r="C744" t="s">
        <v>0</v>
      </c>
      <c r="D744">
        <v>0.51851850748062134</v>
      </c>
      <c r="E744" t="s">
        <v>2987</v>
      </c>
    </row>
    <row r="745" spans="1:5" x14ac:dyDescent="0.2">
      <c r="A745" t="s">
        <v>2859</v>
      </c>
      <c r="B745" t="s">
        <v>48</v>
      </c>
      <c r="C745" t="s">
        <v>0</v>
      </c>
      <c r="D745">
        <v>0.4285714328289032</v>
      </c>
      <c r="E745" t="s">
        <v>2987</v>
      </c>
    </row>
    <row r="746" spans="1:5" x14ac:dyDescent="0.2">
      <c r="A746" t="s">
        <v>2860</v>
      </c>
      <c r="B746" t="s">
        <v>2988</v>
      </c>
      <c r="C746" t="s">
        <v>2988</v>
      </c>
      <c r="D746">
        <v>0</v>
      </c>
      <c r="E746" t="s">
        <v>2987</v>
      </c>
    </row>
    <row r="747" spans="1:5" x14ac:dyDescent="0.2">
      <c r="A747" t="s">
        <v>2861</v>
      </c>
      <c r="B747" t="s">
        <v>2988</v>
      </c>
      <c r="C747" t="s">
        <v>2988</v>
      </c>
      <c r="D747">
        <v>0.28571429848670959</v>
      </c>
      <c r="E747" t="s">
        <v>2987</v>
      </c>
    </row>
    <row r="748" spans="1:5" x14ac:dyDescent="0.2">
      <c r="A748" t="s">
        <v>2862</v>
      </c>
      <c r="B748" t="s">
        <v>1388</v>
      </c>
      <c r="C748" t="s">
        <v>0</v>
      </c>
      <c r="D748">
        <v>0.57575756311416626</v>
      </c>
      <c r="E748" t="s">
        <v>2987</v>
      </c>
    </row>
    <row r="749" spans="1:5" x14ac:dyDescent="0.2">
      <c r="A749" t="s">
        <v>2863</v>
      </c>
      <c r="B749" t="s">
        <v>1388</v>
      </c>
      <c r="C749" t="s">
        <v>0</v>
      </c>
      <c r="D749">
        <v>0.58064514398574829</v>
      </c>
      <c r="E749" t="s">
        <v>2987</v>
      </c>
    </row>
    <row r="750" spans="1:5" x14ac:dyDescent="0.2">
      <c r="A750" t="s">
        <v>2864</v>
      </c>
      <c r="B750" t="s">
        <v>488</v>
      </c>
      <c r="C750" t="s">
        <v>0</v>
      </c>
      <c r="D750">
        <v>0.4166666567325592</v>
      </c>
      <c r="E750" t="s">
        <v>2987</v>
      </c>
    </row>
    <row r="751" spans="1:5" x14ac:dyDescent="0.2">
      <c r="A751" t="s">
        <v>2865</v>
      </c>
      <c r="B751" t="s">
        <v>2988</v>
      </c>
      <c r="C751" t="s">
        <v>2988</v>
      </c>
      <c r="D751">
        <v>0</v>
      </c>
      <c r="E751" t="s">
        <v>2987</v>
      </c>
    </row>
    <row r="752" spans="1:5" x14ac:dyDescent="0.2">
      <c r="A752" t="s">
        <v>2866</v>
      </c>
      <c r="B752" t="s">
        <v>128</v>
      </c>
      <c r="C752" t="s">
        <v>0</v>
      </c>
      <c r="D752">
        <v>0.72000002861022949</v>
      </c>
      <c r="E752" t="s">
        <v>2987</v>
      </c>
    </row>
    <row r="753" spans="1:5" x14ac:dyDescent="0.2">
      <c r="A753" t="s">
        <v>2867</v>
      </c>
      <c r="B753" t="s">
        <v>2988</v>
      </c>
      <c r="C753" t="s">
        <v>2988</v>
      </c>
      <c r="D753">
        <v>0</v>
      </c>
      <c r="E753" t="s">
        <v>2987</v>
      </c>
    </row>
    <row r="754" spans="1:5" x14ac:dyDescent="0.2">
      <c r="A754" t="s">
        <v>2868</v>
      </c>
      <c r="B754" t="s">
        <v>2988</v>
      </c>
      <c r="C754" t="s">
        <v>2988</v>
      </c>
      <c r="D754">
        <v>0.2222222238779068</v>
      </c>
      <c r="E754" t="s">
        <v>2987</v>
      </c>
    </row>
    <row r="755" spans="1:5" x14ac:dyDescent="0.2">
      <c r="A755" t="s">
        <v>2869</v>
      </c>
      <c r="B755" t="s">
        <v>845</v>
      </c>
      <c r="C755" t="s">
        <v>1</v>
      </c>
      <c r="D755">
        <v>0.53333336114883423</v>
      </c>
      <c r="E755" t="s">
        <v>2987</v>
      </c>
    </row>
    <row r="756" spans="1:5" x14ac:dyDescent="0.2">
      <c r="A756" t="s">
        <v>2870</v>
      </c>
      <c r="B756" t="s">
        <v>2988</v>
      </c>
      <c r="C756" t="s">
        <v>2988</v>
      </c>
      <c r="D756">
        <v>0.1428571492433548</v>
      </c>
      <c r="E756" t="s">
        <v>2987</v>
      </c>
    </row>
    <row r="757" spans="1:5" x14ac:dyDescent="0.2">
      <c r="A757" t="s">
        <v>2871</v>
      </c>
      <c r="B757" t="s">
        <v>2108</v>
      </c>
      <c r="C757" t="s">
        <v>1</v>
      </c>
      <c r="D757">
        <v>0.75</v>
      </c>
      <c r="E757" t="s">
        <v>2987</v>
      </c>
    </row>
    <row r="758" spans="1:5" x14ac:dyDescent="0.2">
      <c r="A758" t="s">
        <v>2872</v>
      </c>
      <c r="B758" t="s">
        <v>272</v>
      </c>
      <c r="C758" t="s">
        <v>0</v>
      </c>
      <c r="D758">
        <v>0.42105263471603394</v>
      </c>
      <c r="E758" t="s">
        <v>2987</v>
      </c>
    </row>
    <row r="759" spans="1:5" x14ac:dyDescent="0.2">
      <c r="A759" t="s">
        <v>2873</v>
      </c>
      <c r="B759" t="s">
        <v>1038</v>
      </c>
      <c r="C759" t="s">
        <v>0</v>
      </c>
      <c r="D759">
        <v>0.57142859697341919</v>
      </c>
      <c r="E759" t="s">
        <v>2987</v>
      </c>
    </row>
    <row r="760" spans="1:5" x14ac:dyDescent="0.2">
      <c r="A760" t="s">
        <v>2874</v>
      </c>
      <c r="B760" t="s">
        <v>2988</v>
      </c>
      <c r="C760" t="s">
        <v>2988</v>
      </c>
      <c r="D760">
        <v>0.2222222238779068</v>
      </c>
      <c r="E760" t="s">
        <v>2987</v>
      </c>
    </row>
    <row r="761" spans="1:5" x14ac:dyDescent="0.2">
      <c r="A761" t="s">
        <v>2875</v>
      </c>
      <c r="B761" t="s">
        <v>1386</v>
      </c>
      <c r="C761" t="s">
        <v>0</v>
      </c>
      <c r="D761">
        <v>0.59259259700775146</v>
      </c>
      <c r="E761" t="s">
        <v>2987</v>
      </c>
    </row>
    <row r="762" spans="1:5" x14ac:dyDescent="0.2">
      <c r="A762" t="s">
        <v>2876</v>
      </c>
      <c r="B762" t="s">
        <v>716</v>
      </c>
      <c r="C762" t="s">
        <v>0</v>
      </c>
      <c r="D762">
        <v>0.66666668653488159</v>
      </c>
      <c r="E762" t="s">
        <v>2987</v>
      </c>
    </row>
    <row r="763" spans="1:5" x14ac:dyDescent="0.2">
      <c r="A763" t="s">
        <v>2877</v>
      </c>
      <c r="B763" t="s">
        <v>748</v>
      </c>
      <c r="C763" t="s">
        <v>0</v>
      </c>
      <c r="D763">
        <v>0.58823531866073608</v>
      </c>
      <c r="E763" t="s">
        <v>2987</v>
      </c>
    </row>
    <row r="764" spans="1:5" x14ac:dyDescent="0.2">
      <c r="A764" t="s">
        <v>2878</v>
      </c>
      <c r="B764" t="s">
        <v>1004</v>
      </c>
      <c r="C764" t="s">
        <v>1</v>
      </c>
      <c r="D764">
        <v>0.60000002384185791</v>
      </c>
      <c r="E764" t="s">
        <v>2987</v>
      </c>
    </row>
    <row r="765" spans="1:5" x14ac:dyDescent="0.2">
      <c r="A765" t="s">
        <v>2879</v>
      </c>
      <c r="B765" t="s">
        <v>847</v>
      </c>
      <c r="C765" t="s">
        <v>1</v>
      </c>
      <c r="D765">
        <v>0.53333336114883423</v>
      </c>
      <c r="E765" t="s">
        <v>2987</v>
      </c>
    </row>
    <row r="766" spans="1:5" x14ac:dyDescent="0.2">
      <c r="A766" t="s">
        <v>2880</v>
      </c>
      <c r="B766" t="s">
        <v>535</v>
      </c>
      <c r="C766" t="s">
        <v>1</v>
      </c>
      <c r="D766">
        <v>0.32692307233810425</v>
      </c>
      <c r="E766" t="s">
        <v>2987</v>
      </c>
    </row>
    <row r="767" spans="1:5" x14ac:dyDescent="0.2">
      <c r="A767" t="s">
        <v>2881</v>
      </c>
      <c r="B767" t="s">
        <v>1727</v>
      </c>
      <c r="C767" t="s">
        <v>1</v>
      </c>
      <c r="D767">
        <v>0.42424243688583374</v>
      </c>
      <c r="E767" t="s">
        <v>2987</v>
      </c>
    </row>
    <row r="768" spans="1:5" x14ac:dyDescent="0.2">
      <c r="A768" t="s">
        <v>2882</v>
      </c>
      <c r="B768" t="s">
        <v>968</v>
      </c>
      <c r="C768" t="s">
        <v>0</v>
      </c>
      <c r="D768">
        <v>0.5</v>
      </c>
      <c r="E768" t="s">
        <v>2987</v>
      </c>
    </row>
    <row r="769" spans="1:5" x14ac:dyDescent="0.2">
      <c r="A769" t="s">
        <v>2883</v>
      </c>
      <c r="B769" t="s">
        <v>2988</v>
      </c>
      <c r="C769" t="s">
        <v>2988</v>
      </c>
      <c r="D769">
        <v>3.9999999105930328E-2</v>
      </c>
      <c r="E769" t="s">
        <v>2987</v>
      </c>
    </row>
    <row r="770" spans="1:5" x14ac:dyDescent="0.2">
      <c r="A770" t="s">
        <v>2884</v>
      </c>
      <c r="B770" t="s">
        <v>528</v>
      </c>
      <c r="C770" t="s">
        <v>0</v>
      </c>
      <c r="D770">
        <v>0.31428572535514832</v>
      </c>
      <c r="E770" t="s">
        <v>2987</v>
      </c>
    </row>
    <row r="771" spans="1:5" x14ac:dyDescent="0.2">
      <c r="A771" t="s">
        <v>2885</v>
      </c>
      <c r="B771" t="s">
        <v>469</v>
      </c>
      <c r="C771" t="s">
        <v>1</v>
      </c>
      <c r="D771">
        <v>0.58823531866073608</v>
      </c>
      <c r="E771" t="s">
        <v>2987</v>
      </c>
    </row>
    <row r="772" spans="1:5" x14ac:dyDescent="0.2">
      <c r="A772" t="s">
        <v>2886</v>
      </c>
      <c r="B772" t="s">
        <v>473</v>
      </c>
      <c r="C772" t="s">
        <v>1</v>
      </c>
      <c r="D772">
        <v>0.45454546809196472</v>
      </c>
      <c r="E772" t="s">
        <v>2987</v>
      </c>
    </row>
    <row r="773" spans="1:5" x14ac:dyDescent="0.2">
      <c r="A773" t="s">
        <v>2887</v>
      </c>
      <c r="B773" t="s">
        <v>475</v>
      </c>
      <c r="C773" t="s">
        <v>1</v>
      </c>
      <c r="D773">
        <v>0.5517241358757019</v>
      </c>
      <c r="E773" t="s">
        <v>2987</v>
      </c>
    </row>
    <row r="774" spans="1:5" x14ac:dyDescent="0.2">
      <c r="A774" t="s">
        <v>2888</v>
      </c>
      <c r="B774" t="s">
        <v>523</v>
      </c>
      <c r="C774" t="s">
        <v>1</v>
      </c>
      <c r="D774">
        <v>0.51851850748062134</v>
      </c>
      <c r="E774" t="s">
        <v>2987</v>
      </c>
    </row>
    <row r="775" spans="1:5" x14ac:dyDescent="0.2">
      <c r="A775" t="s">
        <v>2889</v>
      </c>
      <c r="B775" t="s">
        <v>1808</v>
      </c>
      <c r="C775" t="s">
        <v>1</v>
      </c>
      <c r="D775">
        <v>0.53333336114883423</v>
      </c>
      <c r="E775" t="s">
        <v>2987</v>
      </c>
    </row>
    <row r="776" spans="1:5" x14ac:dyDescent="0.2">
      <c r="A776" t="s">
        <v>2890</v>
      </c>
      <c r="B776" t="s">
        <v>477</v>
      </c>
      <c r="C776" t="s">
        <v>1</v>
      </c>
      <c r="D776">
        <v>0.47999998927116394</v>
      </c>
      <c r="E776" t="s">
        <v>2987</v>
      </c>
    </row>
    <row r="777" spans="1:5" x14ac:dyDescent="0.2">
      <c r="A777" t="s">
        <v>2891</v>
      </c>
      <c r="B777" t="s">
        <v>276</v>
      </c>
      <c r="C777" t="s">
        <v>0</v>
      </c>
      <c r="D777">
        <v>0.375</v>
      </c>
      <c r="E777" t="s">
        <v>2987</v>
      </c>
    </row>
    <row r="778" spans="1:5" x14ac:dyDescent="0.2">
      <c r="A778" t="s">
        <v>2892</v>
      </c>
      <c r="B778" t="s">
        <v>2988</v>
      </c>
      <c r="C778" t="s">
        <v>2988</v>
      </c>
      <c r="D778">
        <v>9.0909093618392944E-2</v>
      </c>
      <c r="E778" t="s">
        <v>2987</v>
      </c>
    </row>
    <row r="779" spans="1:5" x14ac:dyDescent="0.2">
      <c r="A779" t="s">
        <v>2893</v>
      </c>
      <c r="B779" t="s">
        <v>2988</v>
      </c>
      <c r="C779" t="s">
        <v>2988</v>
      </c>
      <c r="D779">
        <v>8.3333335816860199E-2</v>
      </c>
      <c r="E779" t="s">
        <v>2987</v>
      </c>
    </row>
    <row r="780" spans="1:5" x14ac:dyDescent="0.2">
      <c r="A780" t="s">
        <v>2894</v>
      </c>
      <c r="B780" t="s">
        <v>2988</v>
      </c>
      <c r="C780" t="s">
        <v>2988</v>
      </c>
      <c r="D780">
        <v>0.10000000149011612</v>
      </c>
      <c r="E780" t="s">
        <v>2987</v>
      </c>
    </row>
    <row r="781" spans="1:5" x14ac:dyDescent="0.2">
      <c r="A781" t="s">
        <v>2895</v>
      </c>
      <c r="B781" t="s">
        <v>2988</v>
      </c>
      <c r="C781" t="s">
        <v>2988</v>
      </c>
      <c r="D781">
        <v>7.1428574621677399E-2</v>
      </c>
      <c r="E781" t="s">
        <v>2987</v>
      </c>
    </row>
    <row r="782" spans="1:5" x14ac:dyDescent="0.2">
      <c r="A782" t="s">
        <v>2896</v>
      </c>
      <c r="B782" t="s">
        <v>2988</v>
      </c>
      <c r="C782" t="s">
        <v>2988</v>
      </c>
      <c r="D782">
        <v>9.0909093618392944E-2</v>
      </c>
      <c r="E782" t="s">
        <v>2987</v>
      </c>
    </row>
    <row r="783" spans="1:5" x14ac:dyDescent="0.2">
      <c r="A783" t="s">
        <v>2897</v>
      </c>
      <c r="B783" t="s">
        <v>2988</v>
      </c>
      <c r="C783" t="s">
        <v>2988</v>
      </c>
      <c r="D783">
        <v>6.25E-2</v>
      </c>
      <c r="E783" t="s">
        <v>2987</v>
      </c>
    </row>
    <row r="784" spans="1:5" x14ac:dyDescent="0.2">
      <c r="A784" t="s">
        <v>2898</v>
      </c>
      <c r="B784" t="s">
        <v>2988</v>
      </c>
      <c r="C784" t="s">
        <v>2988</v>
      </c>
      <c r="D784">
        <v>7.6923079788684845E-2</v>
      </c>
      <c r="E784" t="s">
        <v>2987</v>
      </c>
    </row>
    <row r="785" spans="1:5" x14ac:dyDescent="0.2">
      <c r="A785" t="s">
        <v>2899</v>
      </c>
      <c r="B785" t="s">
        <v>849</v>
      </c>
      <c r="C785" t="s">
        <v>1</v>
      </c>
      <c r="D785">
        <v>0.5</v>
      </c>
      <c r="E785" t="s">
        <v>2987</v>
      </c>
    </row>
    <row r="786" spans="1:5" x14ac:dyDescent="0.2">
      <c r="A786" t="s">
        <v>2900</v>
      </c>
      <c r="B786" t="s">
        <v>849</v>
      </c>
      <c r="C786" t="s">
        <v>1</v>
      </c>
      <c r="D786">
        <v>0.5</v>
      </c>
      <c r="E786" t="s">
        <v>2987</v>
      </c>
    </row>
    <row r="787" spans="1:5" x14ac:dyDescent="0.2">
      <c r="A787" t="s">
        <v>2901</v>
      </c>
      <c r="B787" t="s">
        <v>1899</v>
      </c>
      <c r="C787" t="s">
        <v>1</v>
      </c>
      <c r="D787">
        <v>0.5517241358757019</v>
      </c>
      <c r="E787" t="s">
        <v>2987</v>
      </c>
    </row>
    <row r="788" spans="1:5" x14ac:dyDescent="0.2">
      <c r="A788" t="s">
        <v>2902</v>
      </c>
      <c r="B788" t="s">
        <v>851</v>
      </c>
      <c r="C788" t="s">
        <v>1</v>
      </c>
      <c r="D788">
        <v>0.53333336114883423</v>
      </c>
      <c r="E788" t="s">
        <v>2987</v>
      </c>
    </row>
    <row r="789" spans="1:5" x14ac:dyDescent="0.2">
      <c r="A789" t="s">
        <v>2903</v>
      </c>
      <c r="B789" t="s">
        <v>1550</v>
      </c>
      <c r="C789" t="s">
        <v>1</v>
      </c>
      <c r="D789">
        <v>0.5517241358757019</v>
      </c>
      <c r="E789" t="s">
        <v>2987</v>
      </c>
    </row>
    <row r="790" spans="1:5" x14ac:dyDescent="0.2">
      <c r="A790" t="s">
        <v>2904</v>
      </c>
      <c r="B790" t="s">
        <v>1601</v>
      </c>
      <c r="C790" t="s">
        <v>1</v>
      </c>
      <c r="D790">
        <v>0.67391306161880493</v>
      </c>
      <c r="E790" t="s">
        <v>2987</v>
      </c>
    </row>
    <row r="791" spans="1:5" x14ac:dyDescent="0.2">
      <c r="A791" t="s">
        <v>2905</v>
      </c>
      <c r="B791" t="s">
        <v>1602</v>
      </c>
      <c r="C791" t="s">
        <v>1</v>
      </c>
      <c r="D791">
        <v>0.52307695150375366</v>
      </c>
      <c r="E791" t="s">
        <v>2987</v>
      </c>
    </row>
    <row r="792" spans="1:5" x14ac:dyDescent="0.2">
      <c r="A792" t="s">
        <v>2906</v>
      </c>
      <c r="B792" t="s">
        <v>1479</v>
      </c>
      <c r="C792" t="s">
        <v>1</v>
      </c>
      <c r="D792">
        <v>0.5</v>
      </c>
      <c r="E792" t="s">
        <v>2987</v>
      </c>
    </row>
    <row r="793" spans="1:5" x14ac:dyDescent="0.2">
      <c r="A793" t="s">
        <v>2907</v>
      </c>
      <c r="B793" t="s">
        <v>420</v>
      </c>
      <c r="C793" t="s">
        <v>0</v>
      </c>
      <c r="D793">
        <v>0.57142859697341919</v>
      </c>
      <c r="E793" t="s">
        <v>2987</v>
      </c>
    </row>
    <row r="794" spans="1:5" x14ac:dyDescent="0.2">
      <c r="A794" t="s">
        <v>2908</v>
      </c>
      <c r="B794" t="s">
        <v>1595</v>
      </c>
      <c r="C794" t="s">
        <v>1</v>
      </c>
      <c r="D794">
        <v>0.51851850748062134</v>
      </c>
      <c r="E794" t="s">
        <v>2987</v>
      </c>
    </row>
    <row r="795" spans="1:5" x14ac:dyDescent="0.2">
      <c r="A795" t="s">
        <v>2909</v>
      </c>
      <c r="B795" t="s">
        <v>1036</v>
      </c>
      <c r="C795" t="s">
        <v>0</v>
      </c>
      <c r="D795">
        <v>0.38461539149284363</v>
      </c>
      <c r="E795" t="s">
        <v>2987</v>
      </c>
    </row>
    <row r="796" spans="1:5" x14ac:dyDescent="0.2">
      <c r="A796" t="s">
        <v>2910</v>
      </c>
      <c r="B796" t="s">
        <v>516</v>
      </c>
      <c r="C796" t="s">
        <v>0</v>
      </c>
      <c r="D796">
        <v>0.5</v>
      </c>
      <c r="E796" t="s">
        <v>2987</v>
      </c>
    </row>
    <row r="797" spans="1:5" x14ac:dyDescent="0.2">
      <c r="A797" t="s">
        <v>2911</v>
      </c>
      <c r="B797" t="s">
        <v>461</v>
      </c>
      <c r="C797" t="s">
        <v>1</v>
      </c>
      <c r="D797">
        <v>0.39130434393882751</v>
      </c>
      <c r="E797" t="s">
        <v>2987</v>
      </c>
    </row>
    <row r="798" spans="1:5" x14ac:dyDescent="0.2">
      <c r="A798" t="s">
        <v>2912</v>
      </c>
      <c r="B798" t="s">
        <v>937</v>
      </c>
      <c r="C798" t="s">
        <v>1</v>
      </c>
      <c r="D798">
        <v>0.36363637447357178</v>
      </c>
      <c r="E798" t="s">
        <v>2987</v>
      </c>
    </row>
    <row r="799" spans="1:5" x14ac:dyDescent="0.2">
      <c r="A799" t="s">
        <v>2913</v>
      </c>
      <c r="B799" t="s">
        <v>693</v>
      </c>
      <c r="C799" t="s">
        <v>1</v>
      </c>
      <c r="D799">
        <v>0.38709676265716553</v>
      </c>
      <c r="E799" t="s">
        <v>2987</v>
      </c>
    </row>
    <row r="800" spans="1:5" x14ac:dyDescent="0.2">
      <c r="A800" t="s">
        <v>2914</v>
      </c>
      <c r="B800" t="s">
        <v>2988</v>
      </c>
      <c r="C800" t="s">
        <v>2988</v>
      </c>
      <c r="D800">
        <v>0</v>
      </c>
      <c r="E800" t="s">
        <v>2987</v>
      </c>
    </row>
    <row r="801" spans="1:5" x14ac:dyDescent="0.2">
      <c r="A801" t="s">
        <v>2915</v>
      </c>
      <c r="B801" t="s">
        <v>2988</v>
      </c>
      <c r="C801" t="s">
        <v>2988</v>
      </c>
      <c r="D801">
        <v>0.25</v>
      </c>
      <c r="E801" t="s">
        <v>2987</v>
      </c>
    </row>
    <row r="802" spans="1:5" x14ac:dyDescent="0.2">
      <c r="A802" t="s">
        <v>2916</v>
      </c>
      <c r="B802" t="s">
        <v>2988</v>
      </c>
      <c r="C802" t="s">
        <v>2988</v>
      </c>
      <c r="D802">
        <v>0.125</v>
      </c>
      <c r="E802" t="s">
        <v>2987</v>
      </c>
    </row>
    <row r="803" spans="1:5" x14ac:dyDescent="0.2">
      <c r="A803" t="s">
        <v>2917</v>
      </c>
      <c r="B803" t="s">
        <v>1177</v>
      </c>
      <c r="C803" t="s">
        <v>0</v>
      </c>
      <c r="D803">
        <v>0.5151515007019043</v>
      </c>
      <c r="E803" t="s">
        <v>2987</v>
      </c>
    </row>
    <row r="804" spans="1:5" x14ac:dyDescent="0.2">
      <c r="A804" t="s">
        <v>2918</v>
      </c>
      <c r="B804" t="s">
        <v>2988</v>
      </c>
      <c r="C804" t="s">
        <v>2988</v>
      </c>
      <c r="D804">
        <v>7.6923079788684845E-2</v>
      </c>
      <c r="E804" t="s">
        <v>2987</v>
      </c>
    </row>
    <row r="805" spans="1:5" x14ac:dyDescent="0.2">
      <c r="A805" t="s">
        <v>2919</v>
      </c>
      <c r="B805" t="s">
        <v>2988</v>
      </c>
      <c r="C805" t="s">
        <v>2988</v>
      </c>
      <c r="D805">
        <v>7.6923079788684845E-2</v>
      </c>
      <c r="E805" t="s">
        <v>2987</v>
      </c>
    </row>
    <row r="806" spans="1:5" x14ac:dyDescent="0.2">
      <c r="A806" t="s">
        <v>2920</v>
      </c>
      <c r="B806" t="s">
        <v>2080</v>
      </c>
      <c r="C806" t="s">
        <v>1</v>
      </c>
      <c r="D806">
        <v>0.43478259444236755</v>
      </c>
      <c r="E806" t="s">
        <v>2987</v>
      </c>
    </row>
    <row r="807" spans="1:5" x14ac:dyDescent="0.2">
      <c r="A807" t="s">
        <v>2921</v>
      </c>
      <c r="B807" t="s">
        <v>2988</v>
      </c>
      <c r="C807" t="s">
        <v>2988</v>
      </c>
      <c r="D807">
        <v>7.6923079788684845E-2</v>
      </c>
      <c r="E807" t="s">
        <v>2987</v>
      </c>
    </row>
    <row r="808" spans="1:5" x14ac:dyDescent="0.2">
      <c r="A808" t="s">
        <v>2922</v>
      </c>
      <c r="B808" t="s">
        <v>840</v>
      </c>
      <c r="C808" t="s">
        <v>0</v>
      </c>
      <c r="D808">
        <v>0.4285714328289032</v>
      </c>
      <c r="E808" t="s">
        <v>2987</v>
      </c>
    </row>
    <row r="809" spans="1:5" x14ac:dyDescent="0.2">
      <c r="A809" t="s">
        <v>2923</v>
      </c>
      <c r="B809" t="s">
        <v>1933</v>
      </c>
      <c r="C809" t="s">
        <v>1</v>
      </c>
      <c r="D809">
        <v>0.5</v>
      </c>
      <c r="E809" t="s">
        <v>2987</v>
      </c>
    </row>
    <row r="810" spans="1:5" x14ac:dyDescent="0.2">
      <c r="A810" t="s">
        <v>2924</v>
      </c>
      <c r="B810" t="s">
        <v>840</v>
      </c>
      <c r="C810" t="s">
        <v>0</v>
      </c>
      <c r="D810">
        <v>0.5</v>
      </c>
      <c r="E810" t="s">
        <v>2987</v>
      </c>
    </row>
    <row r="811" spans="1:5" x14ac:dyDescent="0.2">
      <c r="A811" t="s">
        <v>2925</v>
      </c>
      <c r="B811" t="s">
        <v>422</v>
      </c>
      <c r="C811" t="s">
        <v>0</v>
      </c>
      <c r="D811">
        <v>0.48571428656578064</v>
      </c>
      <c r="E811" t="s">
        <v>2987</v>
      </c>
    </row>
    <row r="812" spans="1:5" x14ac:dyDescent="0.2">
      <c r="A812" t="s">
        <v>2926</v>
      </c>
      <c r="B812" t="s">
        <v>210</v>
      </c>
      <c r="C812" t="s">
        <v>0</v>
      </c>
      <c r="D812">
        <v>0.5</v>
      </c>
      <c r="E812" t="s">
        <v>2987</v>
      </c>
    </row>
    <row r="813" spans="1:5" x14ac:dyDescent="0.2">
      <c r="A813" t="s">
        <v>2927</v>
      </c>
      <c r="B813" t="s">
        <v>2988</v>
      </c>
      <c r="C813" t="s">
        <v>2988</v>
      </c>
      <c r="D813">
        <v>7.1428574621677399E-2</v>
      </c>
      <c r="E813" t="s">
        <v>2987</v>
      </c>
    </row>
    <row r="814" spans="1:5" x14ac:dyDescent="0.2">
      <c r="A814" t="s">
        <v>2928</v>
      </c>
      <c r="B814" t="s">
        <v>2988</v>
      </c>
      <c r="C814" t="s">
        <v>2988</v>
      </c>
      <c r="D814">
        <v>0.1428571492433548</v>
      </c>
      <c r="E814" t="s">
        <v>2987</v>
      </c>
    </row>
    <row r="815" spans="1:5" x14ac:dyDescent="0.2">
      <c r="A815" t="s">
        <v>2929</v>
      </c>
      <c r="B815" t="s">
        <v>2988</v>
      </c>
      <c r="C815" t="s">
        <v>2988</v>
      </c>
      <c r="D815">
        <v>5.000000074505806E-2</v>
      </c>
      <c r="E815" t="s">
        <v>2987</v>
      </c>
    </row>
    <row r="816" spans="1:5" x14ac:dyDescent="0.2">
      <c r="A816" t="s">
        <v>2930</v>
      </c>
      <c r="B816" t="s">
        <v>2988</v>
      </c>
      <c r="C816" t="s">
        <v>2988</v>
      </c>
      <c r="D816">
        <v>4.3478261679410934E-2</v>
      </c>
      <c r="E816" t="s">
        <v>2987</v>
      </c>
    </row>
    <row r="817" spans="1:5" x14ac:dyDescent="0.2">
      <c r="A817" t="s">
        <v>2931</v>
      </c>
      <c r="B817" t="s">
        <v>2988</v>
      </c>
      <c r="C817" t="s">
        <v>2988</v>
      </c>
      <c r="D817">
        <v>0.15384615957736969</v>
      </c>
      <c r="E817" t="s">
        <v>2987</v>
      </c>
    </row>
    <row r="818" spans="1:5" x14ac:dyDescent="0.2">
      <c r="A818" t="s">
        <v>2932</v>
      </c>
      <c r="B818" t="s">
        <v>2988</v>
      </c>
      <c r="C818" t="s">
        <v>2988</v>
      </c>
      <c r="D818">
        <v>0</v>
      </c>
      <c r="E818" t="s">
        <v>2987</v>
      </c>
    </row>
    <row r="819" spans="1:5" x14ac:dyDescent="0.2">
      <c r="A819" t="s">
        <v>2933</v>
      </c>
      <c r="B819" t="s">
        <v>1451</v>
      </c>
      <c r="C819" t="s">
        <v>1</v>
      </c>
      <c r="D819">
        <v>0.45161288976669312</v>
      </c>
      <c r="E819" t="s">
        <v>2987</v>
      </c>
    </row>
    <row r="820" spans="1:5" x14ac:dyDescent="0.2">
      <c r="A820" t="s">
        <v>2934</v>
      </c>
      <c r="B820" t="s">
        <v>88</v>
      </c>
      <c r="C820" t="s">
        <v>0</v>
      </c>
      <c r="D820">
        <v>0.55555558204650879</v>
      </c>
      <c r="E820" t="s">
        <v>2987</v>
      </c>
    </row>
    <row r="821" spans="1:5" x14ac:dyDescent="0.2">
      <c r="A821" t="s">
        <v>2935</v>
      </c>
      <c r="B821" t="s">
        <v>2988</v>
      </c>
      <c r="C821" t="s">
        <v>2988</v>
      </c>
      <c r="D821">
        <v>0.15384615957736969</v>
      </c>
      <c r="E821" t="s">
        <v>2987</v>
      </c>
    </row>
    <row r="822" spans="1:5" x14ac:dyDescent="0.2">
      <c r="A822" t="s">
        <v>2936</v>
      </c>
      <c r="B822" t="s">
        <v>1686</v>
      </c>
      <c r="C822" t="s">
        <v>1</v>
      </c>
      <c r="D822">
        <v>0.40909090638160706</v>
      </c>
      <c r="E822" t="s">
        <v>2987</v>
      </c>
    </row>
    <row r="823" spans="1:5" x14ac:dyDescent="0.2">
      <c r="A823" t="s">
        <v>2937</v>
      </c>
      <c r="B823" t="s">
        <v>2988</v>
      </c>
      <c r="C823" t="s">
        <v>2988</v>
      </c>
      <c r="D823">
        <v>0.15384615957736969</v>
      </c>
      <c r="E823" t="s">
        <v>2987</v>
      </c>
    </row>
    <row r="824" spans="1:5" x14ac:dyDescent="0.2">
      <c r="A824" t="s">
        <v>2938</v>
      </c>
      <c r="B824" t="s">
        <v>590</v>
      </c>
      <c r="C824" t="s">
        <v>0</v>
      </c>
      <c r="D824">
        <v>0.53846156597137451</v>
      </c>
      <c r="E824" t="s">
        <v>2987</v>
      </c>
    </row>
    <row r="825" spans="1:5" x14ac:dyDescent="0.2">
      <c r="A825" t="s">
        <v>2939</v>
      </c>
      <c r="B825" t="s">
        <v>1042</v>
      </c>
      <c r="C825" t="s">
        <v>0</v>
      </c>
      <c r="D825">
        <v>0.44999998807907104</v>
      </c>
      <c r="E825" t="s">
        <v>2987</v>
      </c>
    </row>
    <row r="826" spans="1:5" x14ac:dyDescent="0.2">
      <c r="A826" t="s">
        <v>2940</v>
      </c>
      <c r="B826" t="s">
        <v>1263</v>
      </c>
      <c r="C826" t="s">
        <v>1</v>
      </c>
      <c r="D826">
        <v>0.59459459781646729</v>
      </c>
      <c r="E826" t="s">
        <v>2987</v>
      </c>
    </row>
    <row r="827" spans="1:5" x14ac:dyDescent="0.2">
      <c r="A827" t="s">
        <v>2941</v>
      </c>
      <c r="B827" t="s">
        <v>424</v>
      </c>
      <c r="C827" t="s">
        <v>0</v>
      </c>
      <c r="D827">
        <v>0.4444444477558136</v>
      </c>
      <c r="E827" t="s">
        <v>2987</v>
      </c>
    </row>
    <row r="828" spans="1:5" x14ac:dyDescent="0.2">
      <c r="A828" t="s">
        <v>2942</v>
      </c>
      <c r="B828" t="s">
        <v>2988</v>
      </c>
      <c r="C828" t="s">
        <v>2988</v>
      </c>
      <c r="D828">
        <v>7.6923079788684845E-2</v>
      </c>
      <c r="E828" t="s">
        <v>2987</v>
      </c>
    </row>
    <row r="829" spans="1:5" x14ac:dyDescent="0.2">
      <c r="A829" t="s">
        <v>2943</v>
      </c>
      <c r="B829" t="s">
        <v>826</v>
      </c>
      <c r="C829" t="s">
        <v>0</v>
      </c>
      <c r="D829">
        <v>0.375</v>
      </c>
      <c r="E829" t="s">
        <v>2987</v>
      </c>
    </row>
    <row r="830" spans="1:5" x14ac:dyDescent="0.2">
      <c r="A830" t="s">
        <v>2944</v>
      </c>
      <c r="B830" t="s">
        <v>1915</v>
      </c>
      <c r="C830" t="s">
        <v>1</v>
      </c>
      <c r="D830">
        <v>0.53333336114883423</v>
      </c>
      <c r="E830" t="s">
        <v>2987</v>
      </c>
    </row>
    <row r="831" spans="1:5" x14ac:dyDescent="0.2">
      <c r="A831" t="s">
        <v>2945</v>
      </c>
      <c r="B831" t="s">
        <v>1541</v>
      </c>
      <c r="C831" t="s">
        <v>0</v>
      </c>
      <c r="D831">
        <v>0.37037035822868347</v>
      </c>
      <c r="E831" t="s">
        <v>2987</v>
      </c>
    </row>
    <row r="832" spans="1:5" x14ac:dyDescent="0.2">
      <c r="A832" t="s">
        <v>2946</v>
      </c>
      <c r="B832" t="s">
        <v>1032</v>
      </c>
      <c r="C832" t="s">
        <v>0</v>
      </c>
      <c r="D832">
        <v>0.36363637447357178</v>
      </c>
      <c r="E832" t="s">
        <v>2987</v>
      </c>
    </row>
    <row r="833" spans="1:5" x14ac:dyDescent="0.2">
      <c r="A833" t="s">
        <v>2947</v>
      </c>
      <c r="B833" t="s">
        <v>2988</v>
      </c>
      <c r="C833" t="s">
        <v>2988</v>
      </c>
      <c r="D833">
        <v>7.6923079788684845E-2</v>
      </c>
      <c r="E833" t="s">
        <v>2987</v>
      </c>
    </row>
    <row r="834" spans="1:5" x14ac:dyDescent="0.2">
      <c r="A834" t="s">
        <v>2948</v>
      </c>
      <c r="B834" t="s">
        <v>2988</v>
      </c>
      <c r="C834" t="s">
        <v>2988</v>
      </c>
      <c r="D834">
        <v>7.6923079788684845E-2</v>
      </c>
      <c r="E834" t="s">
        <v>2987</v>
      </c>
    </row>
    <row r="835" spans="1:5" x14ac:dyDescent="0.2">
      <c r="A835" t="s">
        <v>2949</v>
      </c>
      <c r="B835" t="s">
        <v>2988</v>
      </c>
      <c r="C835" t="s">
        <v>2988</v>
      </c>
      <c r="D835">
        <v>0</v>
      </c>
      <c r="E835" t="s">
        <v>2987</v>
      </c>
    </row>
    <row r="836" spans="1:5" x14ac:dyDescent="0.2">
      <c r="A836" t="s">
        <v>2950</v>
      </c>
      <c r="B836" t="s">
        <v>1912</v>
      </c>
      <c r="C836" t="s">
        <v>1</v>
      </c>
      <c r="D836">
        <v>0.44999998807907104</v>
      </c>
      <c r="E836" t="s">
        <v>2987</v>
      </c>
    </row>
    <row r="837" spans="1:5" x14ac:dyDescent="0.2">
      <c r="A837" t="s">
        <v>2951</v>
      </c>
      <c r="B837" t="s">
        <v>1453</v>
      </c>
      <c r="C837" t="s">
        <v>1</v>
      </c>
      <c r="D837">
        <v>0.4375</v>
      </c>
      <c r="E837" t="s">
        <v>2987</v>
      </c>
    </row>
    <row r="838" spans="1:5" x14ac:dyDescent="0.2">
      <c r="A838" t="s">
        <v>2952</v>
      </c>
      <c r="B838" t="s">
        <v>2988</v>
      </c>
      <c r="C838" t="s">
        <v>2988</v>
      </c>
      <c r="D838">
        <v>4.8780485987663269E-2</v>
      </c>
      <c r="E838" t="s">
        <v>2987</v>
      </c>
    </row>
    <row r="839" spans="1:5" x14ac:dyDescent="0.2">
      <c r="A839" t="s">
        <v>2953</v>
      </c>
      <c r="B839" t="s">
        <v>1455</v>
      </c>
      <c r="C839" t="s">
        <v>1</v>
      </c>
      <c r="D839">
        <v>0.4375</v>
      </c>
      <c r="E839" t="s">
        <v>2987</v>
      </c>
    </row>
    <row r="840" spans="1:5" x14ac:dyDescent="0.2">
      <c r="A840" t="s">
        <v>2954</v>
      </c>
      <c r="B840" t="s">
        <v>1398</v>
      </c>
      <c r="C840" t="s">
        <v>0</v>
      </c>
      <c r="D840">
        <v>0.4285714328289032</v>
      </c>
      <c r="E840" t="s">
        <v>2987</v>
      </c>
    </row>
    <row r="841" spans="1:5" x14ac:dyDescent="0.2">
      <c r="A841" t="s">
        <v>2955</v>
      </c>
      <c r="B841" t="s">
        <v>2988</v>
      </c>
      <c r="C841" t="s">
        <v>2988</v>
      </c>
      <c r="D841">
        <v>0</v>
      </c>
      <c r="E841" t="s">
        <v>2987</v>
      </c>
    </row>
    <row r="842" spans="1:5" x14ac:dyDescent="0.2">
      <c r="A842" t="s">
        <v>2956</v>
      </c>
      <c r="B842" t="s">
        <v>1986</v>
      </c>
      <c r="C842" t="s">
        <v>1</v>
      </c>
      <c r="D842">
        <v>0.625</v>
      </c>
      <c r="E842" t="s">
        <v>2987</v>
      </c>
    </row>
    <row r="843" spans="1:5" x14ac:dyDescent="0.2">
      <c r="A843" t="s">
        <v>2957</v>
      </c>
      <c r="B843" t="s">
        <v>1400</v>
      </c>
      <c r="C843" t="s">
        <v>0</v>
      </c>
      <c r="D843">
        <v>0.60000002384185791</v>
      </c>
      <c r="E843" t="s">
        <v>2987</v>
      </c>
    </row>
    <row r="844" spans="1:5" x14ac:dyDescent="0.2">
      <c r="A844" t="s">
        <v>2958</v>
      </c>
      <c r="B844" t="s">
        <v>456</v>
      </c>
      <c r="C844" t="s">
        <v>0</v>
      </c>
      <c r="D844">
        <v>0.46666666865348816</v>
      </c>
      <c r="E844" t="s">
        <v>2987</v>
      </c>
    </row>
    <row r="845" spans="1:5" x14ac:dyDescent="0.2">
      <c r="A845" t="s">
        <v>2959</v>
      </c>
      <c r="B845" t="s">
        <v>663</v>
      </c>
      <c r="C845" t="s">
        <v>1</v>
      </c>
      <c r="D845">
        <v>0.5517241358757019</v>
      </c>
      <c r="E845" t="s">
        <v>2987</v>
      </c>
    </row>
    <row r="846" spans="1:5" x14ac:dyDescent="0.2">
      <c r="A846" t="s">
        <v>2960</v>
      </c>
      <c r="B846" t="s">
        <v>141</v>
      </c>
      <c r="C846" t="s">
        <v>1</v>
      </c>
      <c r="D846">
        <v>0.58823531866073608</v>
      </c>
      <c r="E846" t="s">
        <v>2987</v>
      </c>
    </row>
    <row r="847" spans="1:5" x14ac:dyDescent="0.2">
      <c r="A847" t="s">
        <v>2961</v>
      </c>
      <c r="B847" t="s">
        <v>434</v>
      </c>
      <c r="C847" t="s">
        <v>0</v>
      </c>
      <c r="D847">
        <v>0.5</v>
      </c>
      <c r="E847" t="s">
        <v>2987</v>
      </c>
    </row>
    <row r="848" spans="1:5" x14ac:dyDescent="0.2">
      <c r="A848" t="s">
        <v>2962</v>
      </c>
      <c r="B848" t="s">
        <v>1972</v>
      </c>
      <c r="C848" t="s">
        <v>1</v>
      </c>
      <c r="D848">
        <v>0.5</v>
      </c>
      <c r="E848" t="s">
        <v>2987</v>
      </c>
    </row>
    <row r="849" spans="1:5" x14ac:dyDescent="0.2">
      <c r="A849" t="s">
        <v>2963</v>
      </c>
      <c r="B849" t="s">
        <v>1801</v>
      </c>
      <c r="C849" t="s">
        <v>1</v>
      </c>
      <c r="D849">
        <v>0.56000000238418579</v>
      </c>
      <c r="E849" t="s">
        <v>2987</v>
      </c>
    </row>
    <row r="850" spans="1:5" x14ac:dyDescent="0.2">
      <c r="A850" t="s">
        <v>2964</v>
      </c>
      <c r="B850" t="s">
        <v>2988</v>
      </c>
      <c r="C850" t="s">
        <v>2988</v>
      </c>
      <c r="D850">
        <v>0.125</v>
      </c>
      <c r="E850" t="s">
        <v>2987</v>
      </c>
    </row>
    <row r="851" spans="1:5" x14ac:dyDescent="0.2">
      <c r="A851" t="s">
        <v>2965</v>
      </c>
      <c r="B851" t="s">
        <v>1293</v>
      </c>
      <c r="C851" t="s">
        <v>0</v>
      </c>
      <c r="D851">
        <v>0.51219511032104492</v>
      </c>
      <c r="E851" t="s">
        <v>2987</v>
      </c>
    </row>
    <row r="852" spans="1:5" x14ac:dyDescent="0.2">
      <c r="A852" t="s">
        <v>2966</v>
      </c>
      <c r="B852" t="s">
        <v>1730</v>
      </c>
      <c r="C852" t="s">
        <v>1</v>
      </c>
      <c r="D852">
        <v>0.55555558204650879</v>
      </c>
      <c r="E852" t="s">
        <v>2987</v>
      </c>
    </row>
    <row r="853" spans="1:5" x14ac:dyDescent="0.2">
      <c r="A853" t="s">
        <v>2967</v>
      </c>
      <c r="B853" t="s">
        <v>2988</v>
      </c>
      <c r="C853" t="s">
        <v>2988</v>
      </c>
      <c r="D853">
        <v>0</v>
      </c>
      <c r="E853" t="s">
        <v>2987</v>
      </c>
    </row>
    <row r="854" spans="1:5" x14ac:dyDescent="0.2">
      <c r="A854" t="s">
        <v>2968</v>
      </c>
      <c r="B854" t="s">
        <v>518</v>
      </c>
      <c r="C854" t="s">
        <v>0</v>
      </c>
      <c r="D854">
        <v>1</v>
      </c>
      <c r="E854" t="s">
        <v>2987</v>
      </c>
    </row>
    <row r="855" spans="1:5" x14ac:dyDescent="0.2">
      <c r="A855" t="s">
        <v>2969</v>
      </c>
      <c r="B855" t="s">
        <v>2988</v>
      </c>
      <c r="C855" t="s">
        <v>2988</v>
      </c>
      <c r="D855">
        <v>0.1428571492433548</v>
      </c>
      <c r="E855" t="s">
        <v>2987</v>
      </c>
    </row>
    <row r="856" spans="1:5" x14ac:dyDescent="0.2">
      <c r="A856" t="s">
        <v>2970</v>
      </c>
      <c r="B856" t="s">
        <v>2988</v>
      </c>
      <c r="C856" t="s">
        <v>2988</v>
      </c>
      <c r="D856">
        <v>0.1111111119389534</v>
      </c>
      <c r="E856" t="s">
        <v>2987</v>
      </c>
    </row>
    <row r="857" spans="1:5" x14ac:dyDescent="0.2">
      <c r="A857" t="s">
        <v>2971</v>
      </c>
      <c r="B857" t="s">
        <v>1988</v>
      </c>
      <c r="C857" t="s">
        <v>1</v>
      </c>
      <c r="D857">
        <v>0.84210526943206787</v>
      </c>
      <c r="E857" t="s">
        <v>2987</v>
      </c>
    </row>
    <row r="858" spans="1:5" x14ac:dyDescent="0.2">
      <c r="A858" t="s">
        <v>2972</v>
      </c>
      <c r="B858" t="s">
        <v>1988</v>
      </c>
      <c r="C858" t="s">
        <v>1</v>
      </c>
      <c r="D858">
        <v>0.90909093618392944</v>
      </c>
      <c r="E858" t="s">
        <v>2987</v>
      </c>
    </row>
    <row r="859" spans="1:5" x14ac:dyDescent="0.2">
      <c r="A859" t="s">
        <v>2973</v>
      </c>
      <c r="B859" t="s">
        <v>236</v>
      </c>
      <c r="C859" t="s">
        <v>0</v>
      </c>
      <c r="D859">
        <v>0.77777779102325439</v>
      </c>
      <c r="E859" t="s">
        <v>2987</v>
      </c>
    </row>
    <row r="860" spans="1:5" x14ac:dyDescent="0.2">
      <c r="A860" t="s">
        <v>2974</v>
      </c>
      <c r="B860" t="s">
        <v>320</v>
      </c>
      <c r="C860" t="s">
        <v>0</v>
      </c>
      <c r="D860">
        <v>0.39473685622215271</v>
      </c>
      <c r="E860" t="s">
        <v>2987</v>
      </c>
    </row>
    <row r="861" spans="1:5" x14ac:dyDescent="0.2">
      <c r="A861" t="s">
        <v>2975</v>
      </c>
      <c r="B861" t="s">
        <v>72</v>
      </c>
      <c r="C861" t="s">
        <v>0</v>
      </c>
      <c r="D861">
        <v>0.3611111044883728</v>
      </c>
      <c r="E861" t="s">
        <v>2987</v>
      </c>
    </row>
    <row r="862" spans="1:5" x14ac:dyDescent="0.2">
      <c r="A862" t="s">
        <v>2976</v>
      </c>
      <c r="B862" t="s">
        <v>240</v>
      </c>
      <c r="C862" t="s">
        <v>0</v>
      </c>
      <c r="D862">
        <v>0.47999998927116394</v>
      </c>
      <c r="E862" t="s">
        <v>2987</v>
      </c>
    </row>
    <row r="863" spans="1:5" x14ac:dyDescent="0.2">
      <c r="A863" t="s">
        <v>2977</v>
      </c>
      <c r="B863" t="s">
        <v>529</v>
      </c>
      <c r="C863" t="s">
        <v>1</v>
      </c>
      <c r="D863">
        <v>0.5517241358757019</v>
      </c>
      <c r="E863" t="s">
        <v>2987</v>
      </c>
    </row>
    <row r="864" spans="1:5" x14ac:dyDescent="0.2">
      <c r="A864" t="s">
        <v>2978</v>
      </c>
      <c r="B864" t="s">
        <v>2988</v>
      </c>
      <c r="C864" t="s">
        <v>2988</v>
      </c>
      <c r="D864">
        <v>0.25</v>
      </c>
      <c r="E864" t="s">
        <v>2987</v>
      </c>
    </row>
    <row r="865" spans="1:5" x14ac:dyDescent="0.2">
      <c r="A865" t="s">
        <v>2979</v>
      </c>
      <c r="B865" t="s">
        <v>949</v>
      </c>
      <c r="C865" t="s">
        <v>1</v>
      </c>
      <c r="D865">
        <v>0.51851850748062134</v>
      </c>
      <c r="E865" t="s">
        <v>2987</v>
      </c>
    </row>
    <row r="866" spans="1:5" x14ac:dyDescent="0.2">
      <c r="A866" t="s">
        <v>2980</v>
      </c>
      <c r="B866" t="s">
        <v>1007</v>
      </c>
      <c r="C866" t="s">
        <v>1</v>
      </c>
      <c r="D866">
        <v>0.66666668653488159</v>
      </c>
      <c r="E866" t="s">
        <v>2987</v>
      </c>
    </row>
    <row r="867" spans="1:5" x14ac:dyDescent="0.2">
      <c r="A867" t="s">
        <v>2981</v>
      </c>
      <c r="B867" t="s">
        <v>951</v>
      </c>
      <c r="C867" t="s">
        <v>1</v>
      </c>
      <c r="D867">
        <v>0.71111112833023071</v>
      </c>
      <c r="E867" t="s">
        <v>2987</v>
      </c>
    </row>
  </sheetData>
  <autoFilter ref="A1:E867" xr:uid="{01585BF0-F389-A84A-B109-DF8DFBCAE209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Algorithm 3</vt:lpstr>
      <vt:lpstr>Algorithm 3 Results</vt:lpstr>
      <vt:lpstr>Algorithm 2</vt:lpstr>
      <vt:lpstr>Algorithm 2 Results</vt:lpstr>
      <vt:lpstr>Sheet7</vt:lpstr>
      <vt:lpstr>Algorithm 1</vt:lpstr>
      <vt:lpstr>Algorithm 1 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Hunter Garrison</dc:creator>
  <cp:lastModifiedBy>Hunter Garrison</cp:lastModifiedBy>
  <dcterms:created xsi:type="dcterms:W3CDTF">2025-02-12T15:36:15Z</dcterms:created>
  <dcterms:modified xsi:type="dcterms:W3CDTF">2025-02-12T17:49:09Z</dcterms:modified>
</cp:coreProperties>
</file>